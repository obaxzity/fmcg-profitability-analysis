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ANIMASHAUN SULAIMON\Desktop\New User\"/>
    </mc:Choice>
  </mc:AlternateContent>
  <xr:revisionPtr revIDLastSave="0" documentId="13_ncr:1_{DA8D614D-451B-4E9B-B2C6-CEAABE875FE4}" xr6:coauthVersionLast="47" xr6:coauthVersionMax="47" xr10:uidLastSave="{00000000-0000-0000-0000-000000000000}"/>
  <bookViews>
    <workbookView xWindow="-120" yWindow="-120" windowWidth="20730" windowHeight="11160" firstSheet="1" activeTab="1" xr2:uid="{00000000-000D-0000-FFFF-FFFF00000000}"/>
  </bookViews>
  <sheets>
    <sheet name="ANALYSIS" sheetId="5" state="hidden" r:id="rId1"/>
    <sheet name="DASHBOARD" sheetId="6" r:id="rId2"/>
    <sheet name="Transactions" sheetId="2" state="hidden" r:id="rId3"/>
  </sheets>
  <definedNames>
    <definedName name="_xlnm._FilterDatabase" localSheetId="2" hidden="1">Transactions!$A$1:$Y$1441</definedName>
    <definedName name="Slicer_Category">#N/A</definedName>
  </definedNames>
  <calcPr calcId="191029"/>
  <pivotCaches>
    <pivotCache cacheId="15"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Lst>
</workbook>
</file>

<file path=xl/calcChain.xml><?xml version="1.0" encoding="utf-8"?>
<calcChain xmlns="http://schemas.openxmlformats.org/spreadsheetml/2006/main">
  <c r="B70" i="5" l="1"/>
  <c r="F70" i="5"/>
  <c r="B64" i="5"/>
  <c r="F59" i="5"/>
  <c r="B59" i="5"/>
  <c r="Z3" i="2"/>
  <c r="Z4" i="2"/>
  <c r="Z5" i="2"/>
  <c r="Z6" i="2"/>
  <c r="Z7" i="2"/>
  <c r="Z8" i="2"/>
  <c r="Z9" i="2"/>
  <c r="Z10" i="2"/>
  <c r="Z11" i="2"/>
  <c r="Z12" i="2"/>
  <c r="Z13" i="2"/>
  <c r="Z14" i="2"/>
  <c r="Z15" i="2"/>
  <c r="Z16" i="2"/>
  <c r="Z17" i="2"/>
  <c r="Z18" i="2"/>
  <c r="Z19" i="2"/>
  <c r="Z20" i="2"/>
  <c r="Z21" i="2"/>
  <c r="Z22" i="2"/>
  <c r="Z23" i="2"/>
  <c r="Z24" i="2"/>
  <c r="Z25" i="2"/>
  <c r="Z26" i="2"/>
  <c r="Z27" i="2"/>
  <c r="Z28" i="2"/>
  <c r="Z29" i="2"/>
  <c r="Z30" i="2"/>
  <c r="Z31" i="2"/>
  <c r="Z32" i="2"/>
  <c r="Z33" i="2"/>
  <c r="Z34" i="2"/>
  <c r="Z35" i="2"/>
  <c r="Z36" i="2"/>
  <c r="Z37" i="2"/>
  <c r="Z38" i="2"/>
  <c r="Z39" i="2"/>
  <c r="Z40" i="2"/>
  <c r="Z41" i="2"/>
  <c r="Z42" i="2"/>
  <c r="Z43" i="2"/>
  <c r="Z44" i="2"/>
  <c r="Z45" i="2"/>
  <c r="Z46" i="2"/>
  <c r="Z47" i="2"/>
  <c r="Z48" i="2"/>
  <c r="Z49" i="2"/>
  <c r="Z50" i="2"/>
  <c r="Z51" i="2"/>
  <c r="Z52" i="2"/>
  <c r="Z53" i="2"/>
  <c r="Z54" i="2"/>
  <c r="Z55" i="2"/>
  <c r="Z56" i="2"/>
  <c r="Z57" i="2"/>
  <c r="Z58" i="2"/>
  <c r="Z59" i="2"/>
  <c r="Z60" i="2"/>
  <c r="Z61" i="2"/>
  <c r="Z62" i="2"/>
  <c r="Z63" i="2"/>
  <c r="Z64" i="2"/>
  <c r="Z65" i="2"/>
  <c r="Z66" i="2"/>
  <c r="Z67" i="2"/>
  <c r="Z68" i="2"/>
  <c r="Z69" i="2"/>
  <c r="Z70" i="2"/>
  <c r="Z71" i="2"/>
  <c r="Z72" i="2"/>
  <c r="Z73" i="2"/>
  <c r="Z74" i="2"/>
  <c r="Z75" i="2"/>
  <c r="Z76" i="2"/>
  <c r="Z77" i="2"/>
  <c r="Z78" i="2"/>
  <c r="Z79" i="2"/>
  <c r="Z80" i="2"/>
  <c r="Z81" i="2"/>
  <c r="Z82" i="2"/>
  <c r="Z83" i="2"/>
  <c r="Z84" i="2"/>
  <c r="Z85" i="2"/>
  <c r="Z86" i="2"/>
  <c r="Z87" i="2"/>
  <c r="Z88" i="2"/>
  <c r="Z89" i="2"/>
  <c r="Z90" i="2"/>
  <c r="Z91" i="2"/>
  <c r="Z92" i="2"/>
  <c r="Z93" i="2"/>
  <c r="Z94" i="2"/>
  <c r="Z95" i="2"/>
  <c r="Z96" i="2"/>
  <c r="Z97" i="2"/>
  <c r="Z98" i="2"/>
  <c r="Z99" i="2"/>
  <c r="Z100" i="2"/>
  <c r="Z101" i="2"/>
  <c r="Z102" i="2"/>
  <c r="Z103" i="2"/>
  <c r="Z104" i="2"/>
  <c r="Z105" i="2"/>
  <c r="Z106" i="2"/>
  <c r="Z107" i="2"/>
  <c r="Z108" i="2"/>
  <c r="Z109" i="2"/>
  <c r="Z110" i="2"/>
  <c r="Z111" i="2"/>
  <c r="Z112" i="2"/>
  <c r="Z113" i="2"/>
  <c r="Z114" i="2"/>
  <c r="Z115" i="2"/>
  <c r="Z116" i="2"/>
  <c r="Z117" i="2"/>
  <c r="Z118" i="2"/>
  <c r="Z119" i="2"/>
  <c r="Z120" i="2"/>
  <c r="Z121" i="2"/>
  <c r="Z122" i="2"/>
  <c r="Z123" i="2"/>
  <c r="Z124" i="2"/>
  <c r="Z125" i="2"/>
  <c r="Z126" i="2"/>
  <c r="Z127" i="2"/>
  <c r="Z128" i="2"/>
  <c r="Z129" i="2"/>
  <c r="Z130" i="2"/>
  <c r="Z131" i="2"/>
  <c r="Z132" i="2"/>
  <c r="Z133" i="2"/>
  <c r="Z134" i="2"/>
  <c r="Z135" i="2"/>
  <c r="Z136" i="2"/>
  <c r="Z137" i="2"/>
  <c r="Z138" i="2"/>
  <c r="Z139" i="2"/>
  <c r="Z140" i="2"/>
  <c r="Z141" i="2"/>
  <c r="Z142" i="2"/>
  <c r="Z143" i="2"/>
  <c r="Z144" i="2"/>
  <c r="Z145" i="2"/>
  <c r="Z146" i="2"/>
  <c r="Z147" i="2"/>
  <c r="Z148" i="2"/>
  <c r="Z149" i="2"/>
  <c r="Z150" i="2"/>
  <c r="Z151" i="2"/>
  <c r="Z152" i="2"/>
  <c r="Z153" i="2"/>
  <c r="Z154" i="2"/>
  <c r="Z155" i="2"/>
  <c r="Z156" i="2"/>
  <c r="Z157" i="2"/>
  <c r="Z158" i="2"/>
  <c r="Z159" i="2"/>
  <c r="Z160" i="2"/>
  <c r="Z161" i="2"/>
  <c r="Z162" i="2"/>
  <c r="Z163" i="2"/>
  <c r="Z164" i="2"/>
  <c r="Z165" i="2"/>
  <c r="Z166" i="2"/>
  <c r="Z167" i="2"/>
  <c r="Z168" i="2"/>
  <c r="Z169" i="2"/>
  <c r="Z170" i="2"/>
  <c r="Z171" i="2"/>
  <c r="Z172" i="2"/>
  <c r="Z173" i="2"/>
  <c r="Z174" i="2"/>
  <c r="Z175" i="2"/>
  <c r="Z176" i="2"/>
  <c r="Z177" i="2"/>
  <c r="Z178" i="2"/>
  <c r="Z179" i="2"/>
  <c r="Z180" i="2"/>
  <c r="Z181" i="2"/>
  <c r="Z182" i="2"/>
  <c r="Z183" i="2"/>
  <c r="Z184" i="2"/>
  <c r="Z185" i="2"/>
  <c r="Z186" i="2"/>
  <c r="Z187" i="2"/>
  <c r="Z188" i="2"/>
  <c r="Z189" i="2"/>
  <c r="Z190" i="2"/>
  <c r="Z191" i="2"/>
  <c r="Z192" i="2"/>
  <c r="Z193" i="2"/>
  <c r="Z194" i="2"/>
  <c r="Z195" i="2"/>
  <c r="Z196" i="2"/>
  <c r="Z197" i="2"/>
  <c r="Z198" i="2"/>
  <c r="Z199" i="2"/>
  <c r="Z200" i="2"/>
  <c r="Z201" i="2"/>
  <c r="Z202" i="2"/>
  <c r="Z203" i="2"/>
  <c r="Z204" i="2"/>
  <c r="Z205" i="2"/>
  <c r="Z206" i="2"/>
  <c r="Z207" i="2"/>
  <c r="Z208" i="2"/>
  <c r="Z209" i="2"/>
  <c r="Z210" i="2"/>
  <c r="Z211" i="2"/>
  <c r="Z212" i="2"/>
  <c r="Z213" i="2"/>
  <c r="Z214" i="2"/>
  <c r="Z215" i="2"/>
  <c r="Z216" i="2"/>
  <c r="Z217" i="2"/>
  <c r="Z218" i="2"/>
  <c r="Z219" i="2"/>
  <c r="Z220" i="2"/>
  <c r="Z221" i="2"/>
  <c r="Z222" i="2"/>
  <c r="Z223" i="2"/>
  <c r="Z224" i="2"/>
  <c r="Z225" i="2"/>
  <c r="Z226" i="2"/>
  <c r="Z227" i="2"/>
  <c r="Z228" i="2"/>
  <c r="Z229" i="2"/>
  <c r="Z230" i="2"/>
  <c r="Z231" i="2"/>
  <c r="Z232" i="2"/>
  <c r="Z233" i="2"/>
  <c r="Z234" i="2"/>
  <c r="Z235" i="2"/>
  <c r="Z236" i="2"/>
  <c r="Z237" i="2"/>
  <c r="Z238" i="2"/>
  <c r="Z239" i="2"/>
  <c r="Z240" i="2"/>
  <c r="Z241" i="2"/>
  <c r="Z242" i="2"/>
  <c r="Z243" i="2"/>
  <c r="Z244" i="2"/>
  <c r="Z245" i="2"/>
  <c r="Z246" i="2"/>
  <c r="Z247" i="2"/>
  <c r="Z248" i="2"/>
  <c r="Z249" i="2"/>
  <c r="Z250" i="2"/>
  <c r="Z251" i="2"/>
  <c r="Z252" i="2"/>
  <c r="Z253" i="2"/>
  <c r="Z254" i="2"/>
  <c r="Z255" i="2"/>
  <c r="Z256" i="2"/>
  <c r="Z257" i="2"/>
  <c r="Z258" i="2"/>
  <c r="Z259" i="2"/>
  <c r="Z260" i="2"/>
  <c r="Z261" i="2"/>
  <c r="Z262" i="2"/>
  <c r="Z263" i="2"/>
  <c r="Z264" i="2"/>
  <c r="Z265" i="2"/>
  <c r="Z266" i="2"/>
  <c r="Z267" i="2"/>
  <c r="Z268" i="2"/>
  <c r="Z269" i="2"/>
  <c r="Z270" i="2"/>
  <c r="Z271" i="2"/>
  <c r="Z272" i="2"/>
  <c r="Z273" i="2"/>
  <c r="Z274" i="2"/>
  <c r="Z275" i="2"/>
  <c r="Z276" i="2"/>
  <c r="Z277" i="2"/>
  <c r="Z278" i="2"/>
  <c r="Z279" i="2"/>
  <c r="Z280" i="2"/>
  <c r="Z281" i="2"/>
  <c r="Z282" i="2"/>
  <c r="Z283" i="2"/>
  <c r="Z284" i="2"/>
  <c r="Z285" i="2"/>
  <c r="Z286" i="2"/>
  <c r="Z287" i="2"/>
  <c r="Z288" i="2"/>
  <c r="Z289" i="2"/>
  <c r="Z290" i="2"/>
  <c r="Z291" i="2"/>
  <c r="Z292" i="2"/>
  <c r="Z293" i="2"/>
  <c r="Z294" i="2"/>
  <c r="Z295" i="2"/>
  <c r="Z296" i="2"/>
  <c r="Z297" i="2"/>
  <c r="Z298" i="2"/>
  <c r="Z299" i="2"/>
  <c r="Z300" i="2"/>
  <c r="Z301" i="2"/>
  <c r="Z302" i="2"/>
  <c r="Z303" i="2"/>
  <c r="Z304" i="2"/>
  <c r="Z305" i="2"/>
  <c r="Z306" i="2"/>
  <c r="Z307" i="2"/>
  <c r="Z308" i="2"/>
  <c r="Z309" i="2"/>
  <c r="Z310" i="2"/>
  <c r="Z311" i="2"/>
  <c r="Z312" i="2"/>
  <c r="Z313" i="2"/>
  <c r="Z314" i="2"/>
  <c r="Z315" i="2"/>
  <c r="Z316" i="2"/>
  <c r="Z317" i="2"/>
  <c r="Z318" i="2"/>
  <c r="Z319" i="2"/>
  <c r="Z320" i="2"/>
  <c r="Z321" i="2"/>
  <c r="Z322" i="2"/>
  <c r="Z323" i="2"/>
  <c r="Z324" i="2"/>
  <c r="Z325" i="2"/>
  <c r="Z326" i="2"/>
  <c r="Z327" i="2"/>
  <c r="Z328" i="2"/>
  <c r="Z329" i="2"/>
  <c r="Z330" i="2"/>
  <c r="Z331" i="2"/>
  <c r="Z332" i="2"/>
  <c r="Z333" i="2"/>
  <c r="Z334" i="2"/>
  <c r="Z335" i="2"/>
  <c r="Z336" i="2"/>
  <c r="Z337" i="2"/>
  <c r="Z338" i="2"/>
  <c r="Z339" i="2"/>
  <c r="Z340" i="2"/>
  <c r="Z341" i="2"/>
  <c r="Z342" i="2"/>
  <c r="Z343" i="2"/>
  <c r="Z344" i="2"/>
  <c r="Z345" i="2"/>
  <c r="Z346" i="2"/>
  <c r="Z347" i="2"/>
  <c r="Z348" i="2"/>
  <c r="Z349" i="2"/>
  <c r="Z350" i="2"/>
  <c r="Z351" i="2"/>
  <c r="Z352" i="2"/>
  <c r="Z353" i="2"/>
  <c r="Z354" i="2"/>
  <c r="Z355" i="2"/>
  <c r="Z356" i="2"/>
  <c r="Z357" i="2"/>
  <c r="Z358" i="2"/>
  <c r="Z359" i="2"/>
  <c r="Z360" i="2"/>
  <c r="Z361" i="2"/>
  <c r="Z362" i="2"/>
  <c r="Z363" i="2"/>
  <c r="Z364" i="2"/>
  <c r="Z365" i="2"/>
  <c r="Z366" i="2"/>
  <c r="Z367" i="2"/>
  <c r="Z368" i="2"/>
  <c r="Z369" i="2"/>
  <c r="Z370" i="2"/>
  <c r="Z371" i="2"/>
  <c r="Z372" i="2"/>
  <c r="Z373" i="2"/>
  <c r="Z374" i="2"/>
  <c r="Z375" i="2"/>
  <c r="Z376" i="2"/>
  <c r="Z377" i="2"/>
  <c r="Z378" i="2"/>
  <c r="Z379" i="2"/>
  <c r="Z380" i="2"/>
  <c r="Z381" i="2"/>
  <c r="Z382" i="2"/>
  <c r="Z383" i="2"/>
  <c r="Z384" i="2"/>
  <c r="Z385" i="2"/>
  <c r="Z386" i="2"/>
  <c r="Z387" i="2"/>
  <c r="Z388" i="2"/>
  <c r="Z389" i="2"/>
  <c r="Z390" i="2"/>
  <c r="Z391" i="2"/>
  <c r="Z392" i="2"/>
  <c r="Z393" i="2"/>
  <c r="Z394" i="2"/>
  <c r="Z395" i="2"/>
  <c r="Z396" i="2"/>
  <c r="Z397" i="2"/>
  <c r="Z398" i="2"/>
  <c r="Z399" i="2"/>
  <c r="Z400" i="2"/>
  <c r="Z401" i="2"/>
  <c r="Z402" i="2"/>
  <c r="Z403" i="2"/>
  <c r="Z404" i="2"/>
  <c r="Z405" i="2"/>
  <c r="Z406" i="2"/>
  <c r="Z407" i="2"/>
  <c r="Z408" i="2"/>
  <c r="Z409" i="2"/>
  <c r="Z410" i="2"/>
  <c r="Z411" i="2"/>
  <c r="Z412" i="2"/>
  <c r="Z413" i="2"/>
  <c r="Z414" i="2"/>
  <c r="Z415" i="2"/>
  <c r="Z416" i="2"/>
  <c r="Z417" i="2"/>
  <c r="Z418" i="2"/>
  <c r="Z419" i="2"/>
  <c r="Z420" i="2"/>
  <c r="Z421" i="2"/>
  <c r="Z422" i="2"/>
  <c r="Z423" i="2"/>
  <c r="Z424" i="2"/>
  <c r="Z425" i="2"/>
  <c r="Z426" i="2"/>
  <c r="Z427" i="2"/>
  <c r="Z428" i="2"/>
  <c r="Z429" i="2"/>
  <c r="Z430" i="2"/>
  <c r="Z431" i="2"/>
  <c r="Z432" i="2"/>
  <c r="Z433" i="2"/>
  <c r="Z434" i="2"/>
  <c r="Z435" i="2"/>
  <c r="Z436" i="2"/>
  <c r="Z437" i="2"/>
  <c r="Z438" i="2"/>
  <c r="Z439" i="2"/>
  <c r="Z440" i="2"/>
  <c r="Z441" i="2"/>
  <c r="Z442" i="2"/>
  <c r="Z443" i="2"/>
  <c r="Z444" i="2"/>
  <c r="Z445" i="2"/>
  <c r="Z446" i="2"/>
  <c r="Z447" i="2"/>
  <c r="Z448" i="2"/>
  <c r="Z449" i="2"/>
  <c r="Z450" i="2"/>
  <c r="Z451" i="2"/>
  <c r="Z452" i="2"/>
  <c r="Z453" i="2"/>
  <c r="Z454" i="2"/>
  <c r="Z455" i="2"/>
  <c r="Z456" i="2"/>
  <c r="Z457" i="2"/>
  <c r="Z458" i="2"/>
  <c r="Z459" i="2"/>
  <c r="Z460" i="2"/>
  <c r="Z461" i="2"/>
  <c r="Z462" i="2"/>
  <c r="Z463" i="2"/>
  <c r="Z464" i="2"/>
  <c r="Z465" i="2"/>
  <c r="Z466" i="2"/>
  <c r="Z467" i="2"/>
  <c r="Z468" i="2"/>
  <c r="Z469" i="2"/>
  <c r="Z470" i="2"/>
  <c r="Z471" i="2"/>
  <c r="Z472" i="2"/>
  <c r="Z473" i="2"/>
  <c r="Z474" i="2"/>
  <c r="Z475" i="2"/>
  <c r="Z476" i="2"/>
  <c r="Z477" i="2"/>
  <c r="Z478" i="2"/>
  <c r="Z479" i="2"/>
  <c r="Z480" i="2"/>
  <c r="Z481" i="2"/>
  <c r="Z482" i="2"/>
  <c r="Z483" i="2"/>
  <c r="Z484" i="2"/>
  <c r="Z485" i="2"/>
  <c r="Z486" i="2"/>
  <c r="Z487" i="2"/>
  <c r="Z488" i="2"/>
  <c r="Z489" i="2"/>
  <c r="Z490" i="2"/>
  <c r="Z491" i="2"/>
  <c r="Z492" i="2"/>
  <c r="Z493" i="2"/>
  <c r="Z494" i="2"/>
  <c r="Z495" i="2"/>
  <c r="Z496" i="2"/>
  <c r="Z497" i="2"/>
  <c r="Z498" i="2"/>
  <c r="Z499" i="2"/>
  <c r="Z500" i="2"/>
  <c r="Z501" i="2"/>
  <c r="Z502" i="2"/>
  <c r="Z503" i="2"/>
  <c r="Z504" i="2"/>
  <c r="Z505" i="2"/>
  <c r="Z506" i="2"/>
  <c r="Z507" i="2"/>
  <c r="Z508" i="2"/>
  <c r="Z509" i="2"/>
  <c r="Z510" i="2"/>
  <c r="Z511" i="2"/>
  <c r="Z512" i="2"/>
  <c r="Z513" i="2"/>
  <c r="Z514" i="2"/>
  <c r="Z515" i="2"/>
  <c r="Z516" i="2"/>
  <c r="Z517" i="2"/>
  <c r="Z518" i="2"/>
  <c r="Z519" i="2"/>
  <c r="Z520" i="2"/>
  <c r="Z521" i="2"/>
  <c r="Z522" i="2"/>
  <c r="Z523" i="2"/>
  <c r="Z524" i="2"/>
  <c r="Z525" i="2"/>
  <c r="Z526" i="2"/>
  <c r="Z527" i="2"/>
  <c r="Z528" i="2"/>
  <c r="Z529" i="2"/>
  <c r="Z530" i="2"/>
  <c r="Z531" i="2"/>
  <c r="Z532" i="2"/>
  <c r="Z533" i="2"/>
  <c r="Z534" i="2"/>
  <c r="Z535" i="2"/>
  <c r="Z536" i="2"/>
  <c r="Z537" i="2"/>
  <c r="Z538" i="2"/>
  <c r="Z539" i="2"/>
  <c r="Z540" i="2"/>
  <c r="Z541" i="2"/>
  <c r="Z542" i="2"/>
  <c r="Z543" i="2"/>
  <c r="Z544" i="2"/>
  <c r="Z545" i="2"/>
  <c r="Z546" i="2"/>
  <c r="Z547" i="2"/>
  <c r="Z548" i="2"/>
  <c r="Z549" i="2"/>
  <c r="Z550" i="2"/>
  <c r="Z551" i="2"/>
  <c r="Z552" i="2"/>
  <c r="Z553" i="2"/>
  <c r="Z554" i="2"/>
  <c r="Z555" i="2"/>
  <c r="Z556" i="2"/>
  <c r="Z557" i="2"/>
  <c r="Z558" i="2"/>
  <c r="Z559" i="2"/>
  <c r="Z560" i="2"/>
  <c r="Z561" i="2"/>
  <c r="Z562" i="2"/>
  <c r="Z563" i="2"/>
  <c r="Z564" i="2"/>
  <c r="Z565" i="2"/>
  <c r="Z566" i="2"/>
  <c r="Z567" i="2"/>
  <c r="Z568" i="2"/>
  <c r="Z569" i="2"/>
  <c r="Z570" i="2"/>
  <c r="Z571" i="2"/>
  <c r="Z572" i="2"/>
  <c r="Z573" i="2"/>
  <c r="Z574" i="2"/>
  <c r="Z575" i="2"/>
  <c r="Z576" i="2"/>
  <c r="Z577" i="2"/>
  <c r="Z578" i="2"/>
  <c r="Z579" i="2"/>
  <c r="Z580" i="2"/>
  <c r="Z581" i="2"/>
  <c r="Z582" i="2"/>
  <c r="Z583" i="2"/>
  <c r="Z584" i="2"/>
  <c r="Z585" i="2"/>
  <c r="Z586" i="2"/>
  <c r="Z587" i="2"/>
  <c r="Z588" i="2"/>
  <c r="Z589" i="2"/>
  <c r="Z590" i="2"/>
  <c r="Z591" i="2"/>
  <c r="Z592" i="2"/>
  <c r="Z593" i="2"/>
  <c r="Z594" i="2"/>
  <c r="Z595" i="2"/>
  <c r="Z596" i="2"/>
  <c r="Z597" i="2"/>
  <c r="Z598" i="2"/>
  <c r="Z599" i="2"/>
  <c r="Z600" i="2"/>
  <c r="Z601" i="2"/>
  <c r="Z602" i="2"/>
  <c r="Z603" i="2"/>
  <c r="Z604" i="2"/>
  <c r="Z605" i="2"/>
  <c r="Z606" i="2"/>
  <c r="Z607" i="2"/>
  <c r="Z608" i="2"/>
  <c r="Z609" i="2"/>
  <c r="Z610" i="2"/>
  <c r="Z611" i="2"/>
  <c r="Z612" i="2"/>
  <c r="Z613" i="2"/>
  <c r="Z614" i="2"/>
  <c r="Z615" i="2"/>
  <c r="Z616" i="2"/>
  <c r="Z617" i="2"/>
  <c r="Z618" i="2"/>
  <c r="Z619" i="2"/>
  <c r="Z620" i="2"/>
  <c r="Z621" i="2"/>
  <c r="Z622" i="2"/>
  <c r="Z623" i="2"/>
  <c r="Z624" i="2"/>
  <c r="Z625" i="2"/>
  <c r="Z626" i="2"/>
  <c r="Z627" i="2"/>
  <c r="Z628" i="2"/>
  <c r="Z629" i="2"/>
  <c r="Z630" i="2"/>
  <c r="Z631" i="2"/>
  <c r="Z632" i="2"/>
  <c r="Z633" i="2"/>
  <c r="Z634" i="2"/>
  <c r="Z635" i="2"/>
  <c r="Z636" i="2"/>
  <c r="Z637" i="2"/>
  <c r="Z638" i="2"/>
  <c r="Z639" i="2"/>
  <c r="Z640" i="2"/>
  <c r="Z641" i="2"/>
  <c r="Z642" i="2"/>
  <c r="Z643" i="2"/>
  <c r="Z644" i="2"/>
  <c r="Z645" i="2"/>
  <c r="Z646" i="2"/>
  <c r="Z647" i="2"/>
  <c r="Z648" i="2"/>
  <c r="Z649" i="2"/>
  <c r="Z650" i="2"/>
  <c r="Z651" i="2"/>
  <c r="Z652" i="2"/>
  <c r="Z653" i="2"/>
  <c r="Z654" i="2"/>
  <c r="Z655" i="2"/>
  <c r="Z656" i="2"/>
  <c r="Z657" i="2"/>
  <c r="Z658" i="2"/>
  <c r="Z659" i="2"/>
  <c r="Z660" i="2"/>
  <c r="Z661" i="2"/>
  <c r="Z662" i="2"/>
  <c r="Z663" i="2"/>
  <c r="Z664" i="2"/>
  <c r="Z665" i="2"/>
  <c r="Z666" i="2"/>
  <c r="Z667" i="2"/>
  <c r="Z668" i="2"/>
  <c r="Z669" i="2"/>
  <c r="Z670" i="2"/>
  <c r="Z671" i="2"/>
  <c r="Z672" i="2"/>
  <c r="Z673" i="2"/>
  <c r="Z674" i="2"/>
  <c r="Z675" i="2"/>
  <c r="Z676" i="2"/>
  <c r="Z677" i="2"/>
  <c r="Z678" i="2"/>
  <c r="Z679" i="2"/>
  <c r="Z680" i="2"/>
  <c r="Z681" i="2"/>
  <c r="Z682" i="2"/>
  <c r="Z683" i="2"/>
  <c r="Z684" i="2"/>
  <c r="Z685" i="2"/>
  <c r="Z686" i="2"/>
  <c r="Z687" i="2"/>
  <c r="Z688" i="2"/>
  <c r="Z689" i="2"/>
  <c r="Z690" i="2"/>
  <c r="Z691" i="2"/>
  <c r="Z692" i="2"/>
  <c r="Z693" i="2"/>
  <c r="Z694" i="2"/>
  <c r="Z695" i="2"/>
  <c r="Z696" i="2"/>
  <c r="Z697" i="2"/>
  <c r="Z698" i="2"/>
  <c r="Z699" i="2"/>
  <c r="Z700" i="2"/>
  <c r="Z701" i="2"/>
  <c r="Z702" i="2"/>
  <c r="Z703" i="2"/>
  <c r="Z704" i="2"/>
  <c r="Z705" i="2"/>
  <c r="Z706" i="2"/>
  <c r="Z707" i="2"/>
  <c r="Z708" i="2"/>
  <c r="Z709" i="2"/>
  <c r="Z710" i="2"/>
  <c r="Z711" i="2"/>
  <c r="Z712" i="2"/>
  <c r="Z713" i="2"/>
  <c r="Z714" i="2"/>
  <c r="Z715" i="2"/>
  <c r="Z716" i="2"/>
  <c r="Z717" i="2"/>
  <c r="Z718" i="2"/>
  <c r="Z719" i="2"/>
  <c r="Z720" i="2"/>
  <c r="Z721" i="2"/>
  <c r="Z722" i="2"/>
  <c r="Z723" i="2"/>
  <c r="Z724" i="2"/>
  <c r="Z725" i="2"/>
  <c r="Z726" i="2"/>
  <c r="Z727" i="2"/>
  <c r="Z728" i="2"/>
  <c r="Z729" i="2"/>
  <c r="Z730" i="2"/>
  <c r="Z731" i="2"/>
  <c r="Z732" i="2"/>
  <c r="Z733" i="2"/>
  <c r="Z734" i="2"/>
  <c r="Z735" i="2"/>
  <c r="Z736" i="2"/>
  <c r="Z737" i="2"/>
  <c r="Z738" i="2"/>
  <c r="Z739" i="2"/>
  <c r="Z740" i="2"/>
  <c r="Z741" i="2"/>
  <c r="Z742" i="2"/>
  <c r="Z743" i="2"/>
  <c r="Z744" i="2"/>
  <c r="Z745" i="2"/>
  <c r="Z746" i="2"/>
  <c r="Z747" i="2"/>
  <c r="Z748" i="2"/>
  <c r="Z749" i="2"/>
  <c r="Z750" i="2"/>
  <c r="Z751" i="2"/>
  <c r="Z752" i="2"/>
  <c r="Z753" i="2"/>
  <c r="Z754" i="2"/>
  <c r="Z755" i="2"/>
  <c r="Z756" i="2"/>
  <c r="Z757" i="2"/>
  <c r="Z758" i="2"/>
  <c r="Z759" i="2"/>
  <c r="Z760" i="2"/>
  <c r="Z761" i="2"/>
  <c r="Z762" i="2"/>
  <c r="Z763" i="2"/>
  <c r="Z764" i="2"/>
  <c r="Z765" i="2"/>
  <c r="Z766" i="2"/>
  <c r="Z767" i="2"/>
  <c r="Z768" i="2"/>
  <c r="Z769" i="2"/>
  <c r="Z770" i="2"/>
  <c r="Z771" i="2"/>
  <c r="Z772" i="2"/>
  <c r="Z773" i="2"/>
  <c r="Z774" i="2"/>
  <c r="Z775" i="2"/>
  <c r="Z776" i="2"/>
  <c r="Z777" i="2"/>
  <c r="Z778" i="2"/>
  <c r="Z779" i="2"/>
  <c r="Z780" i="2"/>
  <c r="Z781" i="2"/>
  <c r="Z782" i="2"/>
  <c r="Z783" i="2"/>
  <c r="Z784" i="2"/>
  <c r="Z785" i="2"/>
  <c r="Z786" i="2"/>
  <c r="Z787" i="2"/>
  <c r="Z788" i="2"/>
  <c r="Z789" i="2"/>
  <c r="Z790" i="2"/>
  <c r="Z791" i="2"/>
  <c r="Z792" i="2"/>
  <c r="Z793" i="2"/>
  <c r="Z794" i="2"/>
  <c r="Z795" i="2"/>
  <c r="Z796" i="2"/>
  <c r="Z797" i="2"/>
  <c r="Z798" i="2"/>
  <c r="Z799" i="2"/>
  <c r="Z800" i="2"/>
  <c r="Z801" i="2"/>
  <c r="Z802" i="2"/>
  <c r="Z803" i="2"/>
  <c r="Z804" i="2"/>
  <c r="Z805" i="2"/>
  <c r="Z806" i="2"/>
  <c r="Z807" i="2"/>
  <c r="Z808" i="2"/>
  <c r="Z809" i="2"/>
  <c r="Z810" i="2"/>
  <c r="Z811" i="2"/>
  <c r="Z812" i="2"/>
  <c r="Z813" i="2"/>
  <c r="Z814" i="2"/>
  <c r="Z815" i="2"/>
  <c r="Z816" i="2"/>
  <c r="Z817" i="2"/>
  <c r="Z818" i="2"/>
  <c r="Z819" i="2"/>
  <c r="Z820" i="2"/>
  <c r="Z821" i="2"/>
  <c r="Z822" i="2"/>
  <c r="Z823" i="2"/>
  <c r="Z824" i="2"/>
  <c r="Z825" i="2"/>
  <c r="Z826" i="2"/>
  <c r="Z827" i="2"/>
  <c r="Z828" i="2"/>
  <c r="Z829" i="2"/>
  <c r="Z830" i="2"/>
  <c r="Z831" i="2"/>
  <c r="Z832" i="2"/>
  <c r="Z833" i="2"/>
  <c r="Z834" i="2"/>
  <c r="Z835" i="2"/>
  <c r="Z836" i="2"/>
  <c r="Z837" i="2"/>
  <c r="Z838" i="2"/>
  <c r="Z839" i="2"/>
  <c r="Z840" i="2"/>
  <c r="Z841" i="2"/>
  <c r="Z842" i="2"/>
  <c r="Z843" i="2"/>
  <c r="Z844" i="2"/>
  <c r="Z845" i="2"/>
  <c r="Z846" i="2"/>
  <c r="Z847" i="2"/>
  <c r="Z848" i="2"/>
  <c r="Z849" i="2"/>
  <c r="Z850" i="2"/>
  <c r="Z851" i="2"/>
  <c r="Z852" i="2"/>
  <c r="Z853" i="2"/>
  <c r="Z854" i="2"/>
  <c r="Z855" i="2"/>
  <c r="Z856" i="2"/>
  <c r="Z857" i="2"/>
  <c r="Z858" i="2"/>
  <c r="Z859" i="2"/>
  <c r="Z860" i="2"/>
  <c r="Z861" i="2"/>
  <c r="Z862" i="2"/>
  <c r="Z863" i="2"/>
  <c r="Z864" i="2"/>
  <c r="Z865" i="2"/>
  <c r="Z866" i="2"/>
  <c r="Z867" i="2"/>
  <c r="Z868" i="2"/>
  <c r="Z869" i="2"/>
  <c r="Z870" i="2"/>
  <c r="Z871" i="2"/>
  <c r="Z872" i="2"/>
  <c r="Z873" i="2"/>
  <c r="Z874" i="2"/>
  <c r="Z875" i="2"/>
  <c r="Z876" i="2"/>
  <c r="Z877" i="2"/>
  <c r="Z878" i="2"/>
  <c r="Z879" i="2"/>
  <c r="Z880" i="2"/>
  <c r="Z881" i="2"/>
  <c r="Z882" i="2"/>
  <c r="Z883" i="2"/>
  <c r="Z884" i="2"/>
  <c r="Z885" i="2"/>
  <c r="Z886" i="2"/>
  <c r="Z887" i="2"/>
  <c r="Z888" i="2"/>
  <c r="Z889" i="2"/>
  <c r="Z890" i="2"/>
  <c r="Z891" i="2"/>
  <c r="Z892" i="2"/>
  <c r="Z893" i="2"/>
  <c r="Z894" i="2"/>
  <c r="Z895" i="2"/>
  <c r="Z896" i="2"/>
  <c r="Z897" i="2"/>
  <c r="Z898" i="2"/>
  <c r="Z899" i="2"/>
  <c r="Z900" i="2"/>
  <c r="Z901" i="2"/>
  <c r="Z902" i="2"/>
  <c r="Z903" i="2"/>
  <c r="Z904" i="2"/>
  <c r="Z905" i="2"/>
  <c r="Z906" i="2"/>
  <c r="Z907" i="2"/>
  <c r="Z908" i="2"/>
  <c r="Z909" i="2"/>
  <c r="Z910" i="2"/>
  <c r="Z911" i="2"/>
  <c r="Z912" i="2"/>
  <c r="Z913" i="2"/>
  <c r="Z914" i="2"/>
  <c r="Z915" i="2"/>
  <c r="Z916" i="2"/>
  <c r="Z917" i="2"/>
  <c r="Z918" i="2"/>
  <c r="Z919" i="2"/>
  <c r="Z920" i="2"/>
  <c r="Z921" i="2"/>
  <c r="Z922" i="2"/>
  <c r="Z923" i="2"/>
  <c r="Z924" i="2"/>
  <c r="Z925" i="2"/>
  <c r="Z926" i="2"/>
  <c r="Z927" i="2"/>
  <c r="Z928" i="2"/>
  <c r="Z929" i="2"/>
  <c r="Z930" i="2"/>
  <c r="Z931" i="2"/>
  <c r="Z932" i="2"/>
  <c r="Z933" i="2"/>
  <c r="Z934" i="2"/>
  <c r="Z935" i="2"/>
  <c r="Z936" i="2"/>
  <c r="Z937" i="2"/>
  <c r="Z938" i="2"/>
  <c r="Z939" i="2"/>
  <c r="Z940" i="2"/>
  <c r="Z941" i="2"/>
  <c r="Z942" i="2"/>
  <c r="Z943" i="2"/>
  <c r="Z944" i="2"/>
  <c r="Z945" i="2"/>
  <c r="Z946" i="2"/>
  <c r="Z947" i="2"/>
  <c r="Z948" i="2"/>
  <c r="Z949" i="2"/>
  <c r="Z950" i="2"/>
  <c r="Z951" i="2"/>
  <c r="Z952" i="2"/>
  <c r="Z953" i="2"/>
  <c r="Z954" i="2"/>
  <c r="Z955" i="2"/>
  <c r="Z956" i="2"/>
  <c r="Z957" i="2"/>
  <c r="Z958" i="2"/>
  <c r="Z959" i="2"/>
  <c r="Z960" i="2"/>
  <c r="Z961" i="2"/>
  <c r="Z962" i="2"/>
  <c r="Z963" i="2"/>
  <c r="Z964" i="2"/>
  <c r="Z965" i="2"/>
  <c r="Z966" i="2"/>
  <c r="Z967" i="2"/>
  <c r="Z968" i="2"/>
  <c r="Z969" i="2"/>
  <c r="Z970" i="2"/>
  <c r="Z971" i="2"/>
  <c r="Z972" i="2"/>
  <c r="Z973" i="2"/>
  <c r="Z974" i="2"/>
  <c r="Z975" i="2"/>
  <c r="Z976" i="2"/>
  <c r="Z977" i="2"/>
  <c r="Z978" i="2"/>
  <c r="Z979" i="2"/>
  <c r="Z980" i="2"/>
  <c r="Z981" i="2"/>
  <c r="Z982" i="2"/>
  <c r="Z983" i="2"/>
  <c r="Z984" i="2"/>
  <c r="Z985" i="2"/>
  <c r="Z986" i="2"/>
  <c r="Z987" i="2"/>
  <c r="Z988" i="2"/>
  <c r="Z989" i="2"/>
  <c r="Z990" i="2"/>
  <c r="Z991" i="2"/>
  <c r="Z992" i="2"/>
  <c r="Z993" i="2"/>
  <c r="Z994" i="2"/>
  <c r="Z995" i="2"/>
  <c r="Z996" i="2"/>
  <c r="Z997" i="2"/>
  <c r="Z998" i="2"/>
  <c r="Z999" i="2"/>
  <c r="Z1000" i="2"/>
  <c r="Z1001" i="2"/>
  <c r="Z1002" i="2"/>
  <c r="Z1003" i="2"/>
  <c r="Z1004" i="2"/>
  <c r="Z1005" i="2"/>
  <c r="Z1006" i="2"/>
  <c r="Z1007" i="2"/>
  <c r="Z1008" i="2"/>
  <c r="Z1009" i="2"/>
  <c r="Z1010" i="2"/>
  <c r="Z1011" i="2"/>
  <c r="Z1012" i="2"/>
  <c r="Z1013" i="2"/>
  <c r="Z1014" i="2"/>
  <c r="Z1015" i="2"/>
  <c r="Z1016" i="2"/>
  <c r="Z1017" i="2"/>
  <c r="Z1018" i="2"/>
  <c r="Z1019" i="2"/>
  <c r="Z1020" i="2"/>
  <c r="Z1021" i="2"/>
  <c r="Z1022" i="2"/>
  <c r="Z1023" i="2"/>
  <c r="Z1024" i="2"/>
  <c r="Z1025" i="2"/>
  <c r="Z1026" i="2"/>
  <c r="Z1027" i="2"/>
  <c r="Z1028" i="2"/>
  <c r="Z1029" i="2"/>
  <c r="Z1030" i="2"/>
  <c r="Z1031" i="2"/>
  <c r="Z1032" i="2"/>
  <c r="Z1033" i="2"/>
  <c r="Z1034" i="2"/>
  <c r="Z1035" i="2"/>
  <c r="Z1036" i="2"/>
  <c r="Z1037" i="2"/>
  <c r="Z1038" i="2"/>
  <c r="Z1039" i="2"/>
  <c r="Z1040" i="2"/>
  <c r="Z1041" i="2"/>
  <c r="Z1042" i="2"/>
  <c r="Z1043" i="2"/>
  <c r="Z1044" i="2"/>
  <c r="Z1045" i="2"/>
  <c r="Z1046" i="2"/>
  <c r="Z1047" i="2"/>
  <c r="Z1048" i="2"/>
  <c r="Z1049" i="2"/>
  <c r="Z1050" i="2"/>
  <c r="Z1051" i="2"/>
  <c r="Z1052" i="2"/>
  <c r="Z1053" i="2"/>
  <c r="Z1054" i="2"/>
  <c r="Z1055" i="2"/>
  <c r="Z1056" i="2"/>
  <c r="Z1057" i="2"/>
  <c r="Z1058" i="2"/>
  <c r="Z1059" i="2"/>
  <c r="Z1060" i="2"/>
  <c r="Z1061" i="2"/>
  <c r="Z1062" i="2"/>
  <c r="Z1063" i="2"/>
  <c r="Z1064" i="2"/>
  <c r="Z1065" i="2"/>
  <c r="Z1066" i="2"/>
  <c r="Z1067" i="2"/>
  <c r="Z1068" i="2"/>
  <c r="Z1069" i="2"/>
  <c r="Z1070" i="2"/>
  <c r="Z1071" i="2"/>
  <c r="Z1072" i="2"/>
  <c r="Z1073" i="2"/>
  <c r="Z1074" i="2"/>
  <c r="Z1075" i="2"/>
  <c r="Z1076" i="2"/>
  <c r="Z1077" i="2"/>
  <c r="Z1078" i="2"/>
  <c r="Z1079" i="2"/>
  <c r="Z1080" i="2"/>
  <c r="Z1081" i="2"/>
  <c r="Z1082" i="2"/>
  <c r="Z1083" i="2"/>
  <c r="Z1084" i="2"/>
  <c r="Z1085" i="2"/>
  <c r="Z1086" i="2"/>
  <c r="Z1087" i="2"/>
  <c r="Z1088" i="2"/>
  <c r="Z1089" i="2"/>
  <c r="Z1090" i="2"/>
  <c r="Z1091" i="2"/>
  <c r="Z1092" i="2"/>
  <c r="Z1093" i="2"/>
  <c r="Z1094" i="2"/>
  <c r="Z1095" i="2"/>
  <c r="Z1096" i="2"/>
  <c r="Z1097" i="2"/>
  <c r="Z1098" i="2"/>
  <c r="Z1099" i="2"/>
  <c r="Z1100" i="2"/>
  <c r="Z1101" i="2"/>
  <c r="Z1102" i="2"/>
  <c r="Z1103" i="2"/>
  <c r="Z1104" i="2"/>
  <c r="Z1105" i="2"/>
  <c r="Z1106" i="2"/>
  <c r="Z1107" i="2"/>
  <c r="Z1108" i="2"/>
  <c r="Z1109" i="2"/>
  <c r="Z1110" i="2"/>
  <c r="Z1111" i="2"/>
  <c r="Z1112" i="2"/>
  <c r="Z1113" i="2"/>
  <c r="Z1114" i="2"/>
  <c r="Z1115" i="2"/>
  <c r="Z1116" i="2"/>
  <c r="Z1117" i="2"/>
  <c r="Z1118" i="2"/>
  <c r="Z1119" i="2"/>
  <c r="Z1120" i="2"/>
  <c r="Z1121" i="2"/>
  <c r="Z1122" i="2"/>
  <c r="Z1123" i="2"/>
  <c r="Z1124" i="2"/>
  <c r="Z1125" i="2"/>
  <c r="Z1126" i="2"/>
  <c r="Z1127" i="2"/>
  <c r="Z1128" i="2"/>
  <c r="Z1129" i="2"/>
  <c r="Z1130" i="2"/>
  <c r="Z1131" i="2"/>
  <c r="Z1132" i="2"/>
  <c r="Z1133" i="2"/>
  <c r="Z1134" i="2"/>
  <c r="Z1135" i="2"/>
  <c r="Z1136" i="2"/>
  <c r="Z1137" i="2"/>
  <c r="Z1138" i="2"/>
  <c r="Z1139" i="2"/>
  <c r="Z1140" i="2"/>
  <c r="Z1141" i="2"/>
  <c r="Z1142" i="2"/>
  <c r="Z1143" i="2"/>
  <c r="Z1144" i="2"/>
  <c r="Z1145" i="2"/>
  <c r="Z1146" i="2"/>
  <c r="Z1147" i="2"/>
  <c r="Z1148" i="2"/>
  <c r="Z1149" i="2"/>
  <c r="Z1150" i="2"/>
  <c r="Z1151" i="2"/>
  <c r="Z1152" i="2"/>
  <c r="Z1153" i="2"/>
  <c r="Z1154" i="2"/>
  <c r="Z1155" i="2"/>
  <c r="Z1156" i="2"/>
  <c r="Z1157" i="2"/>
  <c r="Z1158" i="2"/>
  <c r="Z1159" i="2"/>
  <c r="Z1160" i="2"/>
  <c r="Z1161" i="2"/>
  <c r="Z1162" i="2"/>
  <c r="Z1163" i="2"/>
  <c r="Z1164" i="2"/>
  <c r="Z1165" i="2"/>
  <c r="Z1166" i="2"/>
  <c r="Z1167" i="2"/>
  <c r="Z1168" i="2"/>
  <c r="Z1169" i="2"/>
  <c r="Z1170" i="2"/>
  <c r="Z1171" i="2"/>
  <c r="Z1172" i="2"/>
  <c r="Z1173" i="2"/>
  <c r="Z1174" i="2"/>
  <c r="Z1175" i="2"/>
  <c r="Z1176" i="2"/>
  <c r="Z1177" i="2"/>
  <c r="Z1178" i="2"/>
  <c r="Z1179" i="2"/>
  <c r="Z1180" i="2"/>
  <c r="Z1181" i="2"/>
  <c r="Z1182" i="2"/>
  <c r="Z1183" i="2"/>
  <c r="Z1184" i="2"/>
  <c r="Z1185" i="2"/>
  <c r="Z1186" i="2"/>
  <c r="Z1187" i="2"/>
  <c r="Z1188" i="2"/>
  <c r="Z1189" i="2"/>
  <c r="Z1190" i="2"/>
  <c r="Z1191" i="2"/>
  <c r="Z1192" i="2"/>
  <c r="Z1193" i="2"/>
  <c r="Z1194" i="2"/>
  <c r="Z1195" i="2"/>
  <c r="Z1196" i="2"/>
  <c r="Z1197" i="2"/>
  <c r="Z1198" i="2"/>
  <c r="Z1199" i="2"/>
  <c r="Z1200" i="2"/>
  <c r="Z1201" i="2"/>
  <c r="Z1202" i="2"/>
  <c r="Z1203" i="2"/>
  <c r="Z1204" i="2"/>
  <c r="Z1205" i="2"/>
  <c r="Z1206" i="2"/>
  <c r="Z1207" i="2"/>
  <c r="Z1208" i="2"/>
  <c r="Z1209" i="2"/>
  <c r="Z1210" i="2"/>
  <c r="Z1211" i="2"/>
  <c r="Z1212" i="2"/>
  <c r="Z1213" i="2"/>
  <c r="Z1214" i="2"/>
  <c r="Z1215" i="2"/>
  <c r="Z1216" i="2"/>
  <c r="Z1217" i="2"/>
  <c r="Z1218" i="2"/>
  <c r="Z1219" i="2"/>
  <c r="Z1220" i="2"/>
  <c r="Z1221" i="2"/>
  <c r="Z1222" i="2"/>
  <c r="Z1223" i="2"/>
  <c r="Z1224" i="2"/>
  <c r="Z1225" i="2"/>
  <c r="Z1226" i="2"/>
  <c r="Z1227" i="2"/>
  <c r="Z1228" i="2"/>
  <c r="Z1229" i="2"/>
  <c r="Z1230" i="2"/>
  <c r="Z1231" i="2"/>
  <c r="Z1232" i="2"/>
  <c r="Z1233" i="2"/>
  <c r="Z1234" i="2"/>
  <c r="Z1235" i="2"/>
  <c r="Z1236" i="2"/>
  <c r="Z1237" i="2"/>
  <c r="Z1238" i="2"/>
  <c r="Z1239" i="2"/>
  <c r="Z1240" i="2"/>
  <c r="Z1241" i="2"/>
  <c r="Z1242" i="2"/>
  <c r="Z1243" i="2"/>
  <c r="Z1244" i="2"/>
  <c r="Z1245" i="2"/>
  <c r="Z1246" i="2"/>
  <c r="Z1247" i="2"/>
  <c r="Z1248" i="2"/>
  <c r="Z1249" i="2"/>
  <c r="Z1250" i="2"/>
  <c r="Z1251" i="2"/>
  <c r="Z1252" i="2"/>
  <c r="Z1253" i="2"/>
  <c r="Z1254" i="2"/>
  <c r="Z1255" i="2"/>
  <c r="Z1256" i="2"/>
  <c r="Z1257" i="2"/>
  <c r="Z1258" i="2"/>
  <c r="Z1259" i="2"/>
  <c r="Z1260" i="2"/>
  <c r="Z1261" i="2"/>
  <c r="Z1262" i="2"/>
  <c r="Z1263" i="2"/>
  <c r="Z1264" i="2"/>
  <c r="Z1265" i="2"/>
  <c r="Z1266" i="2"/>
  <c r="Z1267" i="2"/>
  <c r="Z1268" i="2"/>
  <c r="Z1269" i="2"/>
  <c r="Z1270" i="2"/>
  <c r="Z1271" i="2"/>
  <c r="Z1272" i="2"/>
  <c r="Z1273" i="2"/>
  <c r="Z1274" i="2"/>
  <c r="Z1275" i="2"/>
  <c r="Z1276" i="2"/>
  <c r="Z1277" i="2"/>
  <c r="Z1278" i="2"/>
  <c r="Z1279" i="2"/>
  <c r="Z1280" i="2"/>
  <c r="Z1281" i="2"/>
  <c r="Z1282" i="2"/>
  <c r="Z1283" i="2"/>
  <c r="Z1284" i="2"/>
  <c r="Z1285" i="2"/>
  <c r="Z1286" i="2"/>
  <c r="Z1287" i="2"/>
  <c r="Z1288" i="2"/>
  <c r="Z1289" i="2"/>
  <c r="Z1290" i="2"/>
  <c r="Z1291" i="2"/>
  <c r="Z1292" i="2"/>
  <c r="Z1293" i="2"/>
  <c r="Z1294" i="2"/>
  <c r="Z1295" i="2"/>
  <c r="Z1296" i="2"/>
  <c r="Z1297" i="2"/>
  <c r="Z1298" i="2"/>
  <c r="Z1299" i="2"/>
  <c r="Z1300" i="2"/>
  <c r="Z1301" i="2"/>
  <c r="Z1302" i="2"/>
  <c r="Z1303" i="2"/>
  <c r="Z1304" i="2"/>
  <c r="Z1305" i="2"/>
  <c r="Z1306" i="2"/>
  <c r="Z1307" i="2"/>
  <c r="Z1308" i="2"/>
  <c r="Z1309" i="2"/>
  <c r="Z1310" i="2"/>
  <c r="Z1311" i="2"/>
  <c r="Z1312" i="2"/>
  <c r="Z1313" i="2"/>
  <c r="Z1314" i="2"/>
  <c r="Z1315" i="2"/>
  <c r="Z1316" i="2"/>
  <c r="Z1317" i="2"/>
  <c r="Z1318" i="2"/>
  <c r="Z1319" i="2"/>
  <c r="Z1320" i="2"/>
  <c r="Z1321" i="2"/>
  <c r="Z1322" i="2"/>
  <c r="Z1323" i="2"/>
  <c r="Z1324" i="2"/>
  <c r="Z1325" i="2"/>
  <c r="Z1326" i="2"/>
  <c r="Z1327" i="2"/>
  <c r="Z1328" i="2"/>
  <c r="Z1329" i="2"/>
  <c r="Z1330" i="2"/>
  <c r="Z1331" i="2"/>
  <c r="Z1332" i="2"/>
  <c r="Z1333" i="2"/>
  <c r="Z1334" i="2"/>
  <c r="Z1335" i="2"/>
  <c r="Z1336" i="2"/>
  <c r="Z1337" i="2"/>
  <c r="Z1338" i="2"/>
  <c r="Z1339" i="2"/>
  <c r="Z1340" i="2"/>
  <c r="Z1341" i="2"/>
  <c r="Z1342" i="2"/>
  <c r="Z1343" i="2"/>
  <c r="Z1344" i="2"/>
  <c r="Z1345" i="2"/>
  <c r="Z1346" i="2"/>
  <c r="Z1347" i="2"/>
  <c r="Z1348" i="2"/>
  <c r="Z1349" i="2"/>
  <c r="Z1350" i="2"/>
  <c r="Z1351" i="2"/>
  <c r="Z1352" i="2"/>
  <c r="Z1353" i="2"/>
  <c r="Z1354" i="2"/>
  <c r="Z1355" i="2"/>
  <c r="Z1356" i="2"/>
  <c r="Z1357" i="2"/>
  <c r="Z1358" i="2"/>
  <c r="Z1359" i="2"/>
  <c r="Z1360" i="2"/>
  <c r="Z1361" i="2"/>
  <c r="Z1362" i="2"/>
  <c r="Z1363" i="2"/>
  <c r="Z1364" i="2"/>
  <c r="Z1365" i="2"/>
  <c r="Z1366" i="2"/>
  <c r="Z1367" i="2"/>
  <c r="Z1368" i="2"/>
  <c r="Z1369" i="2"/>
  <c r="Z1370" i="2"/>
  <c r="Z1371" i="2"/>
  <c r="Z1372" i="2"/>
  <c r="Z1373" i="2"/>
  <c r="Z1374" i="2"/>
  <c r="Z1375" i="2"/>
  <c r="Z1376" i="2"/>
  <c r="Z1377" i="2"/>
  <c r="Z1378" i="2"/>
  <c r="Z1379" i="2"/>
  <c r="Z1380" i="2"/>
  <c r="Z1381" i="2"/>
  <c r="Z1382" i="2"/>
  <c r="Z1383" i="2"/>
  <c r="Z1384" i="2"/>
  <c r="Z1385" i="2"/>
  <c r="Z1386" i="2"/>
  <c r="Z1387" i="2"/>
  <c r="Z1388" i="2"/>
  <c r="Z1389" i="2"/>
  <c r="Z1390" i="2"/>
  <c r="Z1391" i="2"/>
  <c r="Z1392" i="2"/>
  <c r="Z1393" i="2"/>
  <c r="Z1394" i="2"/>
  <c r="Z1395" i="2"/>
  <c r="Z1396" i="2"/>
  <c r="Z1397" i="2"/>
  <c r="Z1398" i="2"/>
  <c r="Z1399" i="2"/>
  <c r="Z1400" i="2"/>
  <c r="Z1401" i="2"/>
  <c r="Z1402" i="2"/>
  <c r="Z1403" i="2"/>
  <c r="Z1404" i="2"/>
  <c r="Z1405" i="2"/>
  <c r="Z1406" i="2"/>
  <c r="Z1407" i="2"/>
  <c r="Z1408" i="2"/>
  <c r="Z1409" i="2"/>
  <c r="Z1410" i="2"/>
  <c r="Z1411" i="2"/>
  <c r="Z1412" i="2"/>
  <c r="Z1413" i="2"/>
  <c r="Z1414" i="2"/>
  <c r="Z1415" i="2"/>
  <c r="Z1416" i="2"/>
  <c r="Z1417" i="2"/>
  <c r="Z1418" i="2"/>
  <c r="Z1419" i="2"/>
  <c r="Z1420" i="2"/>
  <c r="Z1421" i="2"/>
  <c r="Z1422" i="2"/>
  <c r="Z1423" i="2"/>
  <c r="Z1424" i="2"/>
  <c r="Z1425" i="2"/>
  <c r="Z1426" i="2"/>
  <c r="Z1427" i="2"/>
  <c r="Z1428" i="2"/>
  <c r="Z1429" i="2"/>
  <c r="Z1430" i="2"/>
  <c r="Z1431" i="2"/>
  <c r="Z1432" i="2"/>
  <c r="Z1433" i="2"/>
  <c r="Z1434" i="2"/>
  <c r="Z1435" i="2"/>
  <c r="Z1436" i="2"/>
  <c r="Z1437" i="2"/>
  <c r="Z1438" i="2"/>
  <c r="Z1439" i="2"/>
  <c r="Z1440" i="2"/>
  <c r="Z1441" i="2"/>
  <c r="Z2" i="2"/>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S502" i="2"/>
  <c r="S503" i="2"/>
  <c r="S504" i="2"/>
  <c r="S505" i="2"/>
  <c r="S506" i="2"/>
  <c r="S507" i="2"/>
  <c r="S508" i="2"/>
  <c r="S509" i="2"/>
  <c r="S510" i="2"/>
  <c r="S511" i="2"/>
  <c r="S512" i="2"/>
  <c r="S513" i="2"/>
  <c r="S514" i="2"/>
  <c r="S515" i="2"/>
  <c r="S516" i="2"/>
  <c r="S517" i="2"/>
  <c r="S518" i="2"/>
  <c r="S519" i="2"/>
  <c r="S520" i="2"/>
  <c r="S521" i="2"/>
  <c r="S522" i="2"/>
  <c r="S523" i="2"/>
  <c r="S524" i="2"/>
  <c r="S525" i="2"/>
  <c r="S526" i="2"/>
  <c r="S527" i="2"/>
  <c r="S528" i="2"/>
  <c r="S529" i="2"/>
  <c r="S530" i="2"/>
  <c r="S531" i="2"/>
  <c r="S532" i="2"/>
  <c r="S533" i="2"/>
  <c r="S534" i="2"/>
  <c r="S535" i="2"/>
  <c r="S536" i="2"/>
  <c r="S537" i="2"/>
  <c r="S538" i="2"/>
  <c r="S539" i="2"/>
  <c r="S540" i="2"/>
  <c r="S541" i="2"/>
  <c r="S542" i="2"/>
  <c r="S543" i="2"/>
  <c r="S544" i="2"/>
  <c r="S545" i="2"/>
  <c r="S546" i="2"/>
  <c r="S547" i="2"/>
  <c r="S548" i="2"/>
  <c r="S549" i="2"/>
  <c r="S550" i="2"/>
  <c r="S551" i="2"/>
  <c r="S552" i="2"/>
  <c r="S553" i="2"/>
  <c r="S554" i="2"/>
  <c r="S555" i="2"/>
  <c r="S556" i="2"/>
  <c r="S557" i="2"/>
  <c r="S558" i="2"/>
  <c r="S559" i="2"/>
  <c r="S560" i="2"/>
  <c r="S561" i="2"/>
  <c r="S562" i="2"/>
  <c r="S563" i="2"/>
  <c r="S564" i="2"/>
  <c r="S565" i="2"/>
  <c r="S566" i="2"/>
  <c r="S567" i="2"/>
  <c r="S568" i="2"/>
  <c r="S569" i="2"/>
  <c r="S570" i="2"/>
  <c r="S571" i="2"/>
  <c r="S572" i="2"/>
  <c r="S573" i="2"/>
  <c r="S574" i="2"/>
  <c r="S575" i="2"/>
  <c r="S576" i="2"/>
  <c r="S577" i="2"/>
  <c r="S578" i="2"/>
  <c r="S579" i="2"/>
  <c r="S580" i="2"/>
  <c r="S581" i="2"/>
  <c r="S582" i="2"/>
  <c r="S583" i="2"/>
  <c r="S584" i="2"/>
  <c r="S585" i="2"/>
  <c r="S586" i="2"/>
  <c r="S587" i="2"/>
  <c r="S588" i="2"/>
  <c r="S589" i="2"/>
  <c r="S590" i="2"/>
  <c r="S591" i="2"/>
  <c r="S592" i="2"/>
  <c r="S593" i="2"/>
  <c r="S594" i="2"/>
  <c r="S595" i="2"/>
  <c r="S596" i="2"/>
  <c r="S597" i="2"/>
  <c r="S598" i="2"/>
  <c r="S599" i="2"/>
  <c r="S600" i="2"/>
  <c r="S601" i="2"/>
  <c r="S602" i="2"/>
  <c r="S603" i="2"/>
  <c r="S604" i="2"/>
  <c r="S605" i="2"/>
  <c r="S606" i="2"/>
  <c r="S607" i="2"/>
  <c r="S608" i="2"/>
  <c r="S609" i="2"/>
  <c r="S610" i="2"/>
  <c r="S611" i="2"/>
  <c r="S612" i="2"/>
  <c r="S613" i="2"/>
  <c r="S614" i="2"/>
  <c r="S615" i="2"/>
  <c r="S616" i="2"/>
  <c r="S617" i="2"/>
  <c r="S618" i="2"/>
  <c r="S619" i="2"/>
  <c r="S620" i="2"/>
  <c r="S621" i="2"/>
  <c r="S622" i="2"/>
  <c r="S623" i="2"/>
  <c r="S624" i="2"/>
  <c r="S625" i="2"/>
  <c r="S626" i="2"/>
  <c r="S627" i="2"/>
  <c r="S628" i="2"/>
  <c r="S629" i="2"/>
  <c r="S630" i="2"/>
  <c r="S631" i="2"/>
  <c r="S632" i="2"/>
  <c r="S633" i="2"/>
  <c r="S634" i="2"/>
  <c r="S635" i="2"/>
  <c r="S636" i="2"/>
  <c r="S637" i="2"/>
  <c r="S638" i="2"/>
  <c r="S639" i="2"/>
  <c r="S640" i="2"/>
  <c r="S641" i="2"/>
  <c r="S642" i="2"/>
  <c r="S643" i="2"/>
  <c r="S644" i="2"/>
  <c r="S645" i="2"/>
  <c r="S646" i="2"/>
  <c r="S647" i="2"/>
  <c r="S648" i="2"/>
  <c r="S649" i="2"/>
  <c r="S650" i="2"/>
  <c r="S651" i="2"/>
  <c r="S652" i="2"/>
  <c r="S653" i="2"/>
  <c r="S654" i="2"/>
  <c r="S655" i="2"/>
  <c r="S656" i="2"/>
  <c r="S657" i="2"/>
  <c r="S658" i="2"/>
  <c r="S659" i="2"/>
  <c r="S660" i="2"/>
  <c r="S661" i="2"/>
  <c r="S662" i="2"/>
  <c r="S663" i="2"/>
  <c r="S664" i="2"/>
  <c r="S665" i="2"/>
  <c r="S666" i="2"/>
  <c r="S667" i="2"/>
  <c r="S668" i="2"/>
  <c r="S669" i="2"/>
  <c r="S670" i="2"/>
  <c r="S671" i="2"/>
  <c r="S672" i="2"/>
  <c r="S673" i="2"/>
  <c r="S674" i="2"/>
  <c r="S675" i="2"/>
  <c r="S676" i="2"/>
  <c r="S677" i="2"/>
  <c r="S678" i="2"/>
  <c r="S679" i="2"/>
  <c r="S680" i="2"/>
  <c r="S681" i="2"/>
  <c r="S682" i="2"/>
  <c r="S683" i="2"/>
  <c r="S684" i="2"/>
  <c r="S685" i="2"/>
  <c r="S686" i="2"/>
  <c r="S687" i="2"/>
  <c r="S688" i="2"/>
  <c r="S689" i="2"/>
  <c r="S690" i="2"/>
  <c r="S691" i="2"/>
  <c r="S692" i="2"/>
  <c r="S693" i="2"/>
  <c r="S694" i="2"/>
  <c r="S695" i="2"/>
  <c r="S696" i="2"/>
  <c r="S697" i="2"/>
  <c r="S698" i="2"/>
  <c r="S699" i="2"/>
  <c r="S700" i="2"/>
  <c r="S701" i="2"/>
  <c r="S702" i="2"/>
  <c r="S703" i="2"/>
  <c r="S704" i="2"/>
  <c r="S705" i="2"/>
  <c r="S706" i="2"/>
  <c r="S707" i="2"/>
  <c r="S708" i="2"/>
  <c r="S709" i="2"/>
  <c r="S710" i="2"/>
  <c r="S711" i="2"/>
  <c r="S712" i="2"/>
  <c r="S713" i="2"/>
  <c r="S714" i="2"/>
  <c r="S715" i="2"/>
  <c r="S716" i="2"/>
  <c r="S717" i="2"/>
  <c r="S718" i="2"/>
  <c r="S719" i="2"/>
  <c r="S720" i="2"/>
  <c r="S721" i="2"/>
  <c r="S722" i="2"/>
  <c r="S723" i="2"/>
  <c r="S724" i="2"/>
  <c r="S725" i="2"/>
  <c r="S726" i="2"/>
  <c r="S727" i="2"/>
  <c r="S728" i="2"/>
  <c r="S729" i="2"/>
  <c r="S730" i="2"/>
  <c r="S731" i="2"/>
  <c r="S732" i="2"/>
  <c r="S733" i="2"/>
  <c r="S734" i="2"/>
  <c r="S735" i="2"/>
  <c r="S736" i="2"/>
  <c r="S737" i="2"/>
  <c r="S738" i="2"/>
  <c r="S739" i="2"/>
  <c r="S740" i="2"/>
  <c r="S741" i="2"/>
  <c r="S742" i="2"/>
  <c r="S743" i="2"/>
  <c r="S744" i="2"/>
  <c r="S745" i="2"/>
  <c r="S746" i="2"/>
  <c r="S747" i="2"/>
  <c r="S748" i="2"/>
  <c r="S749" i="2"/>
  <c r="S750" i="2"/>
  <c r="S751" i="2"/>
  <c r="S752" i="2"/>
  <c r="S753" i="2"/>
  <c r="S754" i="2"/>
  <c r="S755" i="2"/>
  <c r="S756" i="2"/>
  <c r="S757" i="2"/>
  <c r="S758" i="2"/>
  <c r="S759" i="2"/>
  <c r="S760" i="2"/>
  <c r="S761" i="2"/>
  <c r="S762" i="2"/>
  <c r="S763" i="2"/>
  <c r="S764" i="2"/>
  <c r="S765" i="2"/>
  <c r="S766" i="2"/>
  <c r="S767" i="2"/>
  <c r="S768" i="2"/>
  <c r="S769" i="2"/>
  <c r="S770" i="2"/>
  <c r="S771" i="2"/>
  <c r="S772" i="2"/>
  <c r="S773" i="2"/>
  <c r="S774" i="2"/>
  <c r="S775" i="2"/>
  <c r="S776" i="2"/>
  <c r="S777" i="2"/>
  <c r="S778" i="2"/>
  <c r="S779" i="2"/>
  <c r="S780" i="2"/>
  <c r="S781" i="2"/>
  <c r="S782" i="2"/>
  <c r="S783" i="2"/>
  <c r="S784" i="2"/>
  <c r="S785" i="2"/>
  <c r="S786" i="2"/>
  <c r="S787" i="2"/>
  <c r="S788" i="2"/>
  <c r="S789" i="2"/>
  <c r="S790" i="2"/>
  <c r="S791" i="2"/>
  <c r="S792" i="2"/>
  <c r="S793" i="2"/>
  <c r="S794" i="2"/>
  <c r="S795" i="2"/>
  <c r="S796" i="2"/>
  <c r="S797" i="2"/>
  <c r="S798" i="2"/>
  <c r="S799" i="2"/>
  <c r="S800" i="2"/>
  <c r="S801" i="2"/>
  <c r="S802" i="2"/>
  <c r="S803" i="2"/>
  <c r="S804" i="2"/>
  <c r="S805" i="2"/>
  <c r="S806" i="2"/>
  <c r="S807" i="2"/>
  <c r="S808" i="2"/>
  <c r="S809" i="2"/>
  <c r="S810" i="2"/>
  <c r="S811" i="2"/>
  <c r="S812" i="2"/>
  <c r="S813" i="2"/>
  <c r="S814" i="2"/>
  <c r="S815" i="2"/>
  <c r="S816" i="2"/>
  <c r="S817" i="2"/>
  <c r="S818" i="2"/>
  <c r="S819" i="2"/>
  <c r="S820" i="2"/>
  <c r="S821" i="2"/>
  <c r="S822" i="2"/>
  <c r="S823" i="2"/>
  <c r="S824" i="2"/>
  <c r="S825" i="2"/>
  <c r="S826" i="2"/>
  <c r="S827" i="2"/>
  <c r="S828" i="2"/>
  <c r="S829" i="2"/>
  <c r="S830" i="2"/>
  <c r="S831" i="2"/>
  <c r="S832" i="2"/>
  <c r="S833" i="2"/>
  <c r="S834" i="2"/>
  <c r="S835" i="2"/>
  <c r="S836" i="2"/>
  <c r="S837" i="2"/>
  <c r="S838" i="2"/>
  <c r="S839" i="2"/>
  <c r="S840" i="2"/>
  <c r="S841" i="2"/>
  <c r="S842" i="2"/>
  <c r="S843" i="2"/>
  <c r="S844" i="2"/>
  <c r="S845" i="2"/>
  <c r="S846" i="2"/>
  <c r="S847" i="2"/>
  <c r="S848" i="2"/>
  <c r="S849" i="2"/>
  <c r="S850" i="2"/>
  <c r="S851" i="2"/>
  <c r="S852" i="2"/>
  <c r="S853" i="2"/>
  <c r="S854" i="2"/>
  <c r="S855" i="2"/>
  <c r="S856" i="2"/>
  <c r="S857" i="2"/>
  <c r="S858" i="2"/>
  <c r="S859" i="2"/>
  <c r="S860" i="2"/>
  <c r="S861" i="2"/>
  <c r="S862" i="2"/>
  <c r="S863" i="2"/>
  <c r="S864" i="2"/>
  <c r="S865" i="2"/>
  <c r="S866" i="2"/>
  <c r="S867" i="2"/>
  <c r="S868" i="2"/>
  <c r="S869" i="2"/>
  <c r="S870" i="2"/>
  <c r="S871" i="2"/>
  <c r="S872" i="2"/>
  <c r="S873" i="2"/>
  <c r="S874" i="2"/>
  <c r="S875" i="2"/>
  <c r="S876" i="2"/>
  <c r="S877" i="2"/>
  <c r="S878" i="2"/>
  <c r="S879" i="2"/>
  <c r="S880" i="2"/>
  <c r="S881" i="2"/>
  <c r="S882" i="2"/>
  <c r="S883" i="2"/>
  <c r="S884" i="2"/>
  <c r="S885" i="2"/>
  <c r="S886" i="2"/>
  <c r="S887" i="2"/>
  <c r="S888" i="2"/>
  <c r="S889" i="2"/>
  <c r="S890" i="2"/>
  <c r="S891" i="2"/>
  <c r="S892" i="2"/>
  <c r="S893" i="2"/>
  <c r="S894" i="2"/>
  <c r="S895" i="2"/>
  <c r="S896" i="2"/>
  <c r="S897" i="2"/>
  <c r="S898" i="2"/>
  <c r="S899" i="2"/>
  <c r="S900" i="2"/>
  <c r="S901" i="2"/>
  <c r="S902" i="2"/>
  <c r="S903" i="2"/>
  <c r="S904" i="2"/>
  <c r="S905" i="2"/>
  <c r="S906" i="2"/>
  <c r="S907" i="2"/>
  <c r="S908" i="2"/>
  <c r="S909" i="2"/>
  <c r="S910" i="2"/>
  <c r="S911" i="2"/>
  <c r="S912" i="2"/>
  <c r="S913" i="2"/>
  <c r="S914" i="2"/>
  <c r="S915" i="2"/>
  <c r="S916" i="2"/>
  <c r="S917" i="2"/>
  <c r="S918" i="2"/>
  <c r="S919" i="2"/>
  <c r="S920" i="2"/>
  <c r="S921" i="2"/>
  <c r="S922" i="2"/>
  <c r="S923" i="2"/>
  <c r="S924" i="2"/>
  <c r="S925" i="2"/>
  <c r="S926" i="2"/>
  <c r="S927" i="2"/>
  <c r="S928" i="2"/>
  <c r="S929" i="2"/>
  <c r="S930" i="2"/>
  <c r="S931" i="2"/>
  <c r="S932" i="2"/>
  <c r="S933" i="2"/>
  <c r="S934" i="2"/>
  <c r="S935" i="2"/>
  <c r="S936" i="2"/>
  <c r="S937" i="2"/>
  <c r="S938" i="2"/>
  <c r="S939" i="2"/>
  <c r="S940" i="2"/>
  <c r="S941" i="2"/>
  <c r="S942" i="2"/>
  <c r="S943" i="2"/>
  <c r="S944" i="2"/>
  <c r="S945" i="2"/>
  <c r="S946" i="2"/>
  <c r="S947" i="2"/>
  <c r="S948" i="2"/>
  <c r="S949" i="2"/>
  <c r="S950" i="2"/>
  <c r="S951" i="2"/>
  <c r="S952" i="2"/>
  <c r="S953" i="2"/>
  <c r="S954" i="2"/>
  <c r="S955" i="2"/>
  <c r="S956" i="2"/>
  <c r="S957" i="2"/>
  <c r="S958" i="2"/>
  <c r="S959" i="2"/>
  <c r="S960" i="2"/>
  <c r="S961" i="2"/>
  <c r="S962" i="2"/>
  <c r="S963" i="2"/>
  <c r="S964" i="2"/>
  <c r="S965" i="2"/>
  <c r="S966" i="2"/>
  <c r="S967" i="2"/>
  <c r="S968" i="2"/>
  <c r="S969" i="2"/>
  <c r="S970" i="2"/>
  <c r="S971" i="2"/>
  <c r="S972" i="2"/>
  <c r="S973" i="2"/>
  <c r="S974" i="2"/>
  <c r="S975" i="2"/>
  <c r="S976" i="2"/>
  <c r="S977" i="2"/>
  <c r="S978" i="2"/>
  <c r="S979" i="2"/>
  <c r="S980" i="2"/>
  <c r="S981" i="2"/>
  <c r="S982" i="2"/>
  <c r="S983" i="2"/>
  <c r="S984" i="2"/>
  <c r="S985" i="2"/>
  <c r="S986" i="2"/>
  <c r="S987" i="2"/>
  <c r="S988" i="2"/>
  <c r="S989" i="2"/>
  <c r="S990" i="2"/>
  <c r="S991" i="2"/>
  <c r="S992" i="2"/>
  <c r="S993" i="2"/>
  <c r="S994" i="2"/>
  <c r="S995" i="2"/>
  <c r="S996" i="2"/>
  <c r="S997" i="2"/>
  <c r="S998" i="2"/>
  <c r="S999" i="2"/>
  <c r="S1000" i="2"/>
  <c r="S1001" i="2"/>
  <c r="S1002" i="2"/>
  <c r="S1003" i="2"/>
  <c r="S1004" i="2"/>
  <c r="S1005" i="2"/>
  <c r="S1006" i="2"/>
  <c r="S1007" i="2"/>
  <c r="S1008" i="2"/>
  <c r="S1009" i="2"/>
  <c r="S1010" i="2"/>
  <c r="S1011" i="2"/>
  <c r="S1012" i="2"/>
  <c r="S1013" i="2"/>
  <c r="S1014" i="2"/>
  <c r="S1015" i="2"/>
  <c r="S1016" i="2"/>
  <c r="S1017" i="2"/>
  <c r="S1018" i="2"/>
  <c r="S1019" i="2"/>
  <c r="S1020" i="2"/>
  <c r="S1021" i="2"/>
  <c r="S1022" i="2"/>
  <c r="S1023" i="2"/>
  <c r="S1024" i="2"/>
  <c r="S1025" i="2"/>
  <c r="S1026" i="2"/>
  <c r="S1027" i="2"/>
  <c r="S1028" i="2"/>
  <c r="S1029" i="2"/>
  <c r="S1030" i="2"/>
  <c r="S1031" i="2"/>
  <c r="S1032" i="2"/>
  <c r="S1033" i="2"/>
  <c r="S1034" i="2"/>
  <c r="S1035" i="2"/>
  <c r="S1036" i="2"/>
  <c r="S1037" i="2"/>
  <c r="S1038" i="2"/>
  <c r="S1039" i="2"/>
  <c r="S1040" i="2"/>
  <c r="S1041" i="2"/>
  <c r="S1042" i="2"/>
  <c r="S1043" i="2"/>
  <c r="S1044" i="2"/>
  <c r="S1045" i="2"/>
  <c r="S1046" i="2"/>
  <c r="S1047" i="2"/>
  <c r="S1048" i="2"/>
  <c r="S1049" i="2"/>
  <c r="S1050" i="2"/>
  <c r="S1051" i="2"/>
  <c r="S1052" i="2"/>
  <c r="S1053" i="2"/>
  <c r="S1054" i="2"/>
  <c r="S1055" i="2"/>
  <c r="S1056" i="2"/>
  <c r="S1057" i="2"/>
  <c r="S1058" i="2"/>
  <c r="S1059" i="2"/>
  <c r="S1060" i="2"/>
  <c r="S1061" i="2"/>
  <c r="S1062" i="2"/>
  <c r="S1063" i="2"/>
  <c r="S1064" i="2"/>
  <c r="S1065" i="2"/>
  <c r="S1066" i="2"/>
  <c r="S1067" i="2"/>
  <c r="S1068" i="2"/>
  <c r="S1069" i="2"/>
  <c r="S1070" i="2"/>
  <c r="S1071" i="2"/>
  <c r="S1072" i="2"/>
  <c r="S1073" i="2"/>
  <c r="S1074" i="2"/>
  <c r="S1075" i="2"/>
  <c r="S1076" i="2"/>
  <c r="S1077" i="2"/>
  <c r="S1078" i="2"/>
  <c r="S1079" i="2"/>
  <c r="S1080" i="2"/>
  <c r="S1081" i="2"/>
  <c r="S1082" i="2"/>
  <c r="S1083" i="2"/>
  <c r="S1084" i="2"/>
  <c r="S1085" i="2"/>
  <c r="S1086" i="2"/>
  <c r="S1087" i="2"/>
  <c r="S1088" i="2"/>
  <c r="S1089" i="2"/>
  <c r="S1090" i="2"/>
  <c r="S1091" i="2"/>
  <c r="S1092" i="2"/>
  <c r="S1093" i="2"/>
  <c r="S1094" i="2"/>
  <c r="S1095" i="2"/>
  <c r="S1096" i="2"/>
  <c r="S1097" i="2"/>
  <c r="S1098" i="2"/>
  <c r="S1099" i="2"/>
  <c r="S1100" i="2"/>
  <c r="S1101" i="2"/>
  <c r="S1102" i="2"/>
  <c r="S1103" i="2"/>
  <c r="S1104" i="2"/>
  <c r="S1105" i="2"/>
  <c r="S1106" i="2"/>
  <c r="S1107" i="2"/>
  <c r="S1108" i="2"/>
  <c r="S1109" i="2"/>
  <c r="S1110" i="2"/>
  <c r="S1111" i="2"/>
  <c r="S1112" i="2"/>
  <c r="S1113" i="2"/>
  <c r="S1114" i="2"/>
  <c r="S1115" i="2"/>
  <c r="S1116" i="2"/>
  <c r="S1117" i="2"/>
  <c r="S1118" i="2"/>
  <c r="S1119" i="2"/>
  <c r="S1120" i="2"/>
  <c r="S1121" i="2"/>
  <c r="S1122" i="2"/>
  <c r="S1123" i="2"/>
  <c r="S1124" i="2"/>
  <c r="S1125" i="2"/>
  <c r="S1126" i="2"/>
  <c r="S1127" i="2"/>
  <c r="S1128" i="2"/>
  <c r="S1129" i="2"/>
  <c r="S1130" i="2"/>
  <c r="S1131" i="2"/>
  <c r="S1132" i="2"/>
  <c r="S1133" i="2"/>
  <c r="S1134" i="2"/>
  <c r="S1135" i="2"/>
  <c r="S1136" i="2"/>
  <c r="S1137" i="2"/>
  <c r="S1138" i="2"/>
  <c r="S1139" i="2"/>
  <c r="S1140" i="2"/>
  <c r="S1141" i="2"/>
  <c r="S1142" i="2"/>
  <c r="S1143" i="2"/>
  <c r="S1144" i="2"/>
  <c r="S1145" i="2"/>
  <c r="S1146" i="2"/>
  <c r="S1147" i="2"/>
  <c r="S1148" i="2"/>
  <c r="S1149" i="2"/>
  <c r="S1150" i="2"/>
  <c r="S1151" i="2"/>
  <c r="S1152" i="2"/>
  <c r="S1153" i="2"/>
  <c r="S1154" i="2"/>
  <c r="S1155" i="2"/>
  <c r="S1156" i="2"/>
  <c r="S1157" i="2"/>
  <c r="S1158" i="2"/>
  <c r="S1159" i="2"/>
  <c r="S1160" i="2"/>
  <c r="S1161" i="2"/>
  <c r="S1162" i="2"/>
  <c r="S1163" i="2"/>
  <c r="S1164" i="2"/>
  <c r="S1165" i="2"/>
  <c r="S1166" i="2"/>
  <c r="S1167" i="2"/>
  <c r="S1168" i="2"/>
  <c r="S1169" i="2"/>
  <c r="S1170" i="2"/>
  <c r="S1171" i="2"/>
  <c r="S1172" i="2"/>
  <c r="S1173" i="2"/>
  <c r="S1174" i="2"/>
  <c r="S1175" i="2"/>
  <c r="S1176" i="2"/>
  <c r="S1177" i="2"/>
  <c r="S1178" i="2"/>
  <c r="S1179" i="2"/>
  <c r="S1180" i="2"/>
  <c r="S1181" i="2"/>
  <c r="S1182" i="2"/>
  <c r="S1183" i="2"/>
  <c r="S1184" i="2"/>
  <c r="S1185" i="2"/>
  <c r="S1186" i="2"/>
  <c r="S1187" i="2"/>
  <c r="S1188" i="2"/>
  <c r="S1189" i="2"/>
  <c r="S1190" i="2"/>
  <c r="S1191" i="2"/>
  <c r="S1192" i="2"/>
  <c r="S1193" i="2"/>
  <c r="S1194" i="2"/>
  <c r="S1195" i="2"/>
  <c r="S1196" i="2"/>
  <c r="S1197" i="2"/>
  <c r="S1198" i="2"/>
  <c r="S1199" i="2"/>
  <c r="S1200" i="2"/>
  <c r="S1201" i="2"/>
  <c r="S1202" i="2"/>
  <c r="S1203" i="2"/>
  <c r="S1204" i="2"/>
  <c r="S1205" i="2"/>
  <c r="S1206" i="2"/>
  <c r="S1207" i="2"/>
  <c r="S1208" i="2"/>
  <c r="S1209" i="2"/>
  <c r="S1210" i="2"/>
  <c r="S1211" i="2"/>
  <c r="S1212" i="2"/>
  <c r="S1213" i="2"/>
  <c r="S1214" i="2"/>
  <c r="S1215" i="2"/>
  <c r="S1216" i="2"/>
  <c r="S1217" i="2"/>
  <c r="S1218" i="2"/>
  <c r="S1219" i="2"/>
  <c r="S1220" i="2"/>
  <c r="S1221" i="2"/>
  <c r="S1222" i="2"/>
  <c r="S1223" i="2"/>
  <c r="S1224" i="2"/>
  <c r="S1225" i="2"/>
  <c r="S1226" i="2"/>
  <c r="S1227" i="2"/>
  <c r="S1228" i="2"/>
  <c r="S1229" i="2"/>
  <c r="S1230" i="2"/>
  <c r="S1231" i="2"/>
  <c r="S1232" i="2"/>
  <c r="S1233" i="2"/>
  <c r="S1234" i="2"/>
  <c r="S1235" i="2"/>
  <c r="S1236" i="2"/>
  <c r="S1237" i="2"/>
  <c r="S1238" i="2"/>
  <c r="S1239" i="2"/>
  <c r="S1240" i="2"/>
  <c r="S1241" i="2"/>
  <c r="S1242" i="2"/>
  <c r="S1243" i="2"/>
  <c r="S1244" i="2"/>
  <c r="S1245" i="2"/>
  <c r="S1246" i="2"/>
  <c r="S1247" i="2"/>
  <c r="S1248" i="2"/>
  <c r="S1249" i="2"/>
  <c r="S1250" i="2"/>
  <c r="S1251" i="2"/>
  <c r="S1252" i="2"/>
  <c r="S1253" i="2"/>
  <c r="S1254" i="2"/>
  <c r="S1255" i="2"/>
  <c r="S1256" i="2"/>
  <c r="S1257" i="2"/>
  <c r="S1258" i="2"/>
  <c r="S1259" i="2"/>
  <c r="S1260" i="2"/>
  <c r="S1261" i="2"/>
  <c r="S1262" i="2"/>
  <c r="S1263" i="2"/>
  <c r="S1264" i="2"/>
  <c r="S1265" i="2"/>
  <c r="S1266" i="2"/>
  <c r="S1267" i="2"/>
  <c r="S1268" i="2"/>
  <c r="S1269" i="2"/>
  <c r="S1270" i="2"/>
  <c r="S1271" i="2"/>
  <c r="S1272" i="2"/>
  <c r="S1273" i="2"/>
  <c r="S1274" i="2"/>
  <c r="S1275" i="2"/>
  <c r="S1276" i="2"/>
  <c r="S1277" i="2"/>
  <c r="S1278" i="2"/>
  <c r="S1279" i="2"/>
  <c r="S1280" i="2"/>
  <c r="S1281" i="2"/>
  <c r="S1282" i="2"/>
  <c r="S1283" i="2"/>
  <c r="S1284" i="2"/>
  <c r="S1285" i="2"/>
  <c r="S1286" i="2"/>
  <c r="S1287" i="2"/>
  <c r="S1288" i="2"/>
  <c r="S1289" i="2"/>
  <c r="S1290" i="2"/>
  <c r="S1291" i="2"/>
  <c r="S1292" i="2"/>
  <c r="S1293" i="2"/>
  <c r="S1294" i="2"/>
  <c r="S1295" i="2"/>
  <c r="S1296" i="2"/>
  <c r="S1297" i="2"/>
  <c r="S1298" i="2"/>
  <c r="S1299" i="2"/>
  <c r="S1300" i="2"/>
  <c r="S1301" i="2"/>
  <c r="S1302" i="2"/>
  <c r="S1303" i="2"/>
  <c r="S1304" i="2"/>
  <c r="S1305" i="2"/>
  <c r="S1306" i="2"/>
  <c r="S1307" i="2"/>
  <c r="S1308" i="2"/>
  <c r="S1309" i="2"/>
  <c r="S1310" i="2"/>
  <c r="S1311" i="2"/>
  <c r="S1312" i="2"/>
  <c r="S1313" i="2"/>
  <c r="S1314" i="2"/>
  <c r="S1315" i="2"/>
  <c r="S1316" i="2"/>
  <c r="S1317" i="2"/>
  <c r="S1318" i="2"/>
  <c r="S1319" i="2"/>
  <c r="S1320" i="2"/>
  <c r="S1321" i="2"/>
  <c r="S1322" i="2"/>
  <c r="S1323" i="2"/>
  <c r="S1324" i="2"/>
  <c r="S1325" i="2"/>
  <c r="S1326" i="2"/>
  <c r="S1327" i="2"/>
  <c r="S1328" i="2"/>
  <c r="S1329" i="2"/>
  <c r="S1330" i="2"/>
  <c r="S1331" i="2"/>
  <c r="S1332" i="2"/>
  <c r="S1333" i="2"/>
  <c r="S1334" i="2"/>
  <c r="S1335" i="2"/>
  <c r="S1336" i="2"/>
  <c r="S1337" i="2"/>
  <c r="S1338" i="2"/>
  <c r="S1339" i="2"/>
  <c r="S1340" i="2"/>
  <c r="S1341" i="2"/>
  <c r="S1342" i="2"/>
  <c r="S1343" i="2"/>
  <c r="S1344" i="2"/>
  <c r="S1345" i="2"/>
  <c r="S1346" i="2"/>
  <c r="S1347" i="2"/>
  <c r="S1348" i="2"/>
  <c r="S1349" i="2"/>
  <c r="S1350" i="2"/>
  <c r="S1351" i="2"/>
  <c r="S1352" i="2"/>
  <c r="S1353" i="2"/>
  <c r="S1354" i="2"/>
  <c r="S1355" i="2"/>
  <c r="S1356" i="2"/>
  <c r="S1357" i="2"/>
  <c r="S1358" i="2"/>
  <c r="S1359" i="2"/>
  <c r="S1360" i="2"/>
  <c r="S1361" i="2"/>
  <c r="S1362" i="2"/>
  <c r="S1363" i="2"/>
  <c r="S1364" i="2"/>
  <c r="S1365" i="2"/>
  <c r="S1366" i="2"/>
  <c r="S1367" i="2"/>
  <c r="S1368" i="2"/>
  <c r="S1369" i="2"/>
  <c r="S1370" i="2"/>
  <c r="S1371" i="2"/>
  <c r="S1372" i="2"/>
  <c r="S1373" i="2"/>
  <c r="S1374" i="2"/>
  <c r="S1375" i="2"/>
  <c r="S1376" i="2"/>
  <c r="S1377" i="2"/>
  <c r="S1378" i="2"/>
  <c r="S1379" i="2"/>
  <c r="S1380" i="2"/>
  <c r="S1381" i="2"/>
  <c r="S1382" i="2"/>
  <c r="S1383" i="2"/>
  <c r="S1384" i="2"/>
  <c r="S1385" i="2"/>
  <c r="S1386" i="2"/>
  <c r="S1387" i="2"/>
  <c r="S1388" i="2"/>
  <c r="S1389" i="2"/>
  <c r="S1390" i="2"/>
  <c r="S1391" i="2"/>
  <c r="S1392" i="2"/>
  <c r="S1393" i="2"/>
  <c r="S1394" i="2"/>
  <c r="S1395" i="2"/>
  <c r="S1396" i="2"/>
  <c r="S1397" i="2"/>
  <c r="S1398" i="2"/>
  <c r="S1399" i="2"/>
  <c r="S1400" i="2"/>
  <c r="S1401" i="2"/>
  <c r="S1402" i="2"/>
  <c r="S1403" i="2"/>
  <c r="S1404" i="2"/>
  <c r="S1405" i="2"/>
  <c r="S1406" i="2"/>
  <c r="S1407" i="2"/>
  <c r="S1408" i="2"/>
  <c r="S1409" i="2"/>
  <c r="S1410" i="2"/>
  <c r="S1411" i="2"/>
  <c r="S1412" i="2"/>
  <c r="S1413" i="2"/>
  <c r="S1414" i="2"/>
  <c r="S1415" i="2"/>
  <c r="S1416" i="2"/>
  <c r="S1417" i="2"/>
  <c r="S1418" i="2"/>
  <c r="S1419" i="2"/>
  <c r="S1420" i="2"/>
  <c r="S1421" i="2"/>
  <c r="S1422" i="2"/>
  <c r="S1423" i="2"/>
  <c r="S1424" i="2"/>
  <c r="S1425" i="2"/>
  <c r="S1426" i="2"/>
  <c r="S1427" i="2"/>
  <c r="S1428" i="2"/>
  <c r="S1429" i="2"/>
  <c r="S1430" i="2"/>
  <c r="S1431" i="2"/>
  <c r="S1432" i="2"/>
  <c r="S1433" i="2"/>
  <c r="S1434" i="2"/>
  <c r="S1435" i="2"/>
  <c r="S1436" i="2"/>
  <c r="S1437" i="2"/>
  <c r="S1438" i="2"/>
  <c r="S1439" i="2"/>
  <c r="S1440" i="2"/>
  <c r="S1441" i="2"/>
  <c r="S2" i="2"/>
  <c r="M821" i="2"/>
  <c r="T821" i="2" s="1"/>
  <c r="M1229" i="2"/>
  <c r="T1229" i="2" s="1"/>
  <c r="M1357" i="2"/>
  <c r="T1357" i="2" s="1"/>
  <c r="M1418" i="2"/>
  <c r="T1418" i="2" s="1"/>
  <c r="M1424" i="2"/>
  <c r="T1424" i="2" s="1"/>
  <c r="K1441" i="2"/>
  <c r="M1441" i="2" s="1"/>
  <c r="T1441" i="2" s="1"/>
  <c r="K1440" i="2"/>
  <c r="M1440" i="2" s="1"/>
  <c r="T1440" i="2" s="1"/>
  <c r="K1439" i="2"/>
  <c r="M1439" i="2" s="1"/>
  <c r="T1439" i="2" s="1"/>
  <c r="K1438" i="2"/>
  <c r="M1438" i="2" s="1"/>
  <c r="T1438" i="2" s="1"/>
  <c r="K1437" i="2"/>
  <c r="M1437" i="2" s="1"/>
  <c r="T1437" i="2" s="1"/>
  <c r="K1436" i="2"/>
  <c r="M1436" i="2" s="1"/>
  <c r="T1436" i="2" s="1"/>
  <c r="K1435" i="2"/>
  <c r="M1435" i="2" s="1"/>
  <c r="T1435" i="2" s="1"/>
  <c r="K1434" i="2"/>
  <c r="M1434" i="2" s="1"/>
  <c r="T1434" i="2" s="1"/>
  <c r="K1433" i="2"/>
  <c r="M1433" i="2" s="1"/>
  <c r="T1433" i="2" s="1"/>
  <c r="K1432" i="2"/>
  <c r="M1432" i="2" s="1"/>
  <c r="T1432" i="2" s="1"/>
  <c r="K1431" i="2"/>
  <c r="M1431" i="2" s="1"/>
  <c r="T1431" i="2" s="1"/>
  <c r="K1430" i="2"/>
  <c r="M1430" i="2" s="1"/>
  <c r="T1430" i="2" s="1"/>
  <c r="K1429" i="2"/>
  <c r="M1429" i="2" s="1"/>
  <c r="T1429" i="2" s="1"/>
  <c r="K1428" i="2"/>
  <c r="M1428" i="2" s="1"/>
  <c r="T1428" i="2" s="1"/>
  <c r="K1427" i="2"/>
  <c r="M1427" i="2" s="1"/>
  <c r="T1427" i="2" s="1"/>
  <c r="K1426" i="2"/>
  <c r="M1426" i="2" s="1"/>
  <c r="T1426" i="2" s="1"/>
  <c r="K1425" i="2"/>
  <c r="M1425" i="2" s="1"/>
  <c r="T1425" i="2" s="1"/>
  <c r="K1424" i="2"/>
  <c r="K1423" i="2"/>
  <c r="M1423" i="2" s="1"/>
  <c r="T1423" i="2" s="1"/>
  <c r="K1422" i="2"/>
  <c r="M1422" i="2" s="1"/>
  <c r="T1422" i="2" s="1"/>
  <c r="K1421" i="2"/>
  <c r="M1421" i="2" s="1"/>
  <c r="T1421" i="2" s="1"/>
  <c r="K1420" i="2"/>
  <c r="M1420" i="2" s="1"/>
  <c r="T1420" i="2" s="1"/>
  <c r="K1419" i="2"/>
  <c r="M1419" i="2" s="1"/>
  <c r="T1419" i="2" s="1"/>
  <c r="K1418" i="2"/>
  <c r="K1417" i="2"/>
  <c r="M1417" i="2" s="1"/>
  <c r="T1417" i="2" s="1"/>
  <c r="K1416" i="2"/>
  <c r="M1416" i="2" s="1"/>
  <c r="T1416" i="2" s="1"/>
  <c r="K1415" i="2"/>
  <c r="M1415" i="2" s="1"/>
  <c r="T1415" i="2" s="1"/>
  <c r="K1414" i="2"/>
  <c r="M1414" i="2" s="1"/>
  <c r="T1414" i="2" s="1"/>
  <c r="K1413" i="2"/>
  <c r="M1413" i="2" s="1"/>
  <c r="T1413" i="2" s="1"/>
  <c r="K1412" i="2"/>
  <c r="M1412" i="2" s="1"/>
  <c r="T1412" i="2" s="1"/>
  <c r="K1411" i="2"/>
  <c r="M1411" i="2" s="1"/>
  <c r="T1411" i="2" s="1"/>
  <c r="K1410" i="2"/>
  <c r="M1410" i="2" s="1"/>
  <c r="T1410" i="2" s="1"/>
  <c r="K1409" i="2"/>
  <c r="M1409" i="2" s="1"/>
  <c r="T1409" i="2" s="1"/>
  <c r="K1408" i="2"/>
  <c r="M1408" i="2" s="1"/>
  <c r="T1408" i="2" s="1"/>
  <c r="K1407" i="2"/>
  <c r="M1407" i="2" s="1"/>
  <c r="T1407" i="2" s="1"/>
  <c r="K1406" i="2"/>
  <c r="M1406" i="2" s="1"/>
  <c r="T1406" i="2" s="1"/>
  <c r="K1405" i="2"/>
  <c r="M1405" i="2" s="1"/>
  <c r="T1405" i="2" s="1"/>
  <c r="K1404" i="2"/>
  <c r="M1404" i="2" s="1"/>
  <c r="T1404" i="2" s="1"/>
  <c r="K1403" i="2"/>
  <c r="M1403" i="2" s="1"/>
  <c r="T1403" i="2" s="1"/>
  <c r="K1402" i="2"/>
  <c r="M1402" i="2" s="1"/>
  <c r="T1402" i="2" s="1"/>
  <c r="K1401" i="2"/>
  <c r="M1401" i="2" s="1"/>
  <c r="T1401" i="2" s="1"/>
  <c r="K1400" i="2"/>
  <c r="M1400" i="2" s="1"/>
  <c r="T1400" i="2" s="1"/>
  <c r="K1399" i="2"/>
  <c r="M1399" i="2" s="1"/>
  <c r="T1399" i="2" s="1"/>
  <c r="K1398" i="2"/>
  <c r="M1398" i="2" s="1"/>
  <c r="T1398" i="2" s="1"/>
  <c r="K1397" i="2"/>
  <c r="M1397" i="2" s="1"/>
  <c r="T1397" i="2" s="1"/>
  <c r="K1396" i="2"/>
  <c r="M1396" i="2" s="1"/>
  <c r="K1395" i="2"/>
  <c r="M1395" i="2" s="1"/>
  <c r="T1395" i="2" s="1"/>
  <c r="K1394" i="2"/>
  <c r="M1394" i="2" s="1"/>
  <c r="T1394" i="2" s="1"/>
  <c r="K1393" i="2"/>
  <c r="M1393" i="2" s="1"/>
  <c r="T1393" i="2" s="1"/>
  <c r="K1392" i="2"/>
  <c r="M1392" i="2" s="1"/>
  <c r="T1392" i="2" s="1"/>
  <c r="K1391" i="2"/>
  <c r="M1391" i="2" s="1"/>
  <c r="T1391" i="2" s="1"/>
  <c r="K1390" i="2"/>
  <c r="M1390" i="2" s="1"/>
  <c r="T1390" i="2" s="1"/>
  <c r="K1389" i="2"/>
  <c r="M1389" i="2" s="1"/>
  <c r="T1389" i="2" s="1"/>
  <c r="K1388" i="2"/>
  <c r="M1388" i="2" s="1"/>
  <c r="T1388" i="2" s="1"/>
  <c r="K1387" i="2"/>
  <c r="M1387" i="2" s="1"/>
  <c r="T1387" i="2" s="1"/>
  <c r="K1386" i="2"/>
  <c r="M1386" i="2" s="1"/>
  <c r="T1386" i="2" s="1"/>
  <c r="K1385" i="2"/>
  <c r="M1385" i="2" s="1"/>
  <c r="T1385" i="2" s="1"/>
  <c r="K1384" i="2"/>
  <c r="M1384" i="2" s="1"/>
  <c r="T1384" i="2" s="1"/>
  <c r="K1383" i="2"/>
  <c r="M1383" i="2" s="1"/>
  <c r="T1383" i="2" s="1"/>
  <c r="K1382" i="2"/>
  <c r="M1382" i="2" s="1"/>
  <c r="T1382" i="2" s="1"/>
  <c r="K1381" i="2"/>
  <c r="M1381" i="2" s="1"/>
  <c r="T1381" i="2" s="1"/>
  <c r="K1380" i="2"/>
  <c r="M1380" i="2" s="1"/>
  <c r="T1380" i="2" s="1"/>
  <c r="K1379" i="2"/>
  <c r="M1379" i="2" s="1"/>
  <c r="T1379" i="2" s="1"/>
  <c r="K1378" i="2"/>
  <c r="M1378" i="2" s="1"/>
  <c r="T1378" i="2" s="1"/>
  <c r="K1377" i="2"/>
  <c r="M1377" i="2" s="1"/>
  <c r="T1377" i="2" s="1"/>
  <c r="K1376" i="2"/>
  <c r="M1376" i="2" s="1"/>
  <c r="T1376" i="2" s="1"/>
  <c r="K1375" i="2"/>
  <c r="M1375" i="2" s="1"/>
  <c r="T1375" i="2" s="1"/>
  <c r="K1374" i="2"/>
  <c r="M1374" i="2" s="1"/>
  <c r="T1374" i="2" s="1"/>
  <c r="K1373" i="2"/>
  <c r="M1373" i="2" s="1"/>
  <c r="T1373" i="2" s="1"/>
  <c r="K1372" i="2"/>
  <c r="M1372" i="2" s="1"/>
  <c r="T1372" i="2" s="1"/>
  <c r="K1371" i="2"/>
  <c r="M1371" i="2" s="1"/>
  <c r="T1371" i="2" s="1"/>
  <c r="K1370" i="2"/>
  <c r="M1370" i="2" s="1"/>
  <c r="T1370" i="2" s="1"/>
  <c r="K1369" i="2"/>
  <c r="M1369" i="2" s="1"/>
  <c r="T1369" i="2" s="1"/>
  <c r="K1368" i="2"/>
  <c r="M1368" i="2" s="1"/>
  <c r="T1368" i="2" s="1"/>
  <c r="K1367" i="2"/>
  <c r="M1367" i="2" s="1"/>
  <c r="T1367" i="2" s="1"/>
  <c r="K1366" i="2"/>
  <c r="M1366" i="2" s="1"/>
  <c r="T1366" i="2" s="1"/>
  <c r="K1365" i="2"/>
  <c r="M1365" i="2" s="1"/>
  <c r="T1365" i="2" s="1"/>
  <c r="K1364" i="2"/>
  <c r="M1364" i="2" s="1"/>
  <c r="T1364" i="2" s="1"/>
  <c r="K1363" i="2"/>
  <c r="M1363" i="2" s="1"/>
  <c r="T1363" i="2" s="1"/>
  <c r="K1362" i="2"/>
  <c r="M1362" i="2" s="1"/>
  <c r="T1362" i="2" s="1"/>
  <c r="K1361" i="2"/>
  <c r="M1361" i="2" s="1"/>
  <c r="T1361" i="2" s="1"/>
  <c r="K1360" i="2"/>
  <c r="M1360" i="2" s="1"/>
  <c r="T1360" i="2" s="1"/>
  <c r="K1359" i="2"/>
  <c r="M1359" i="2" s="1"/>
  <c r="T1359" i="2" s="1"/>
  <c r="K1358" i="2"/>
  <c r="M1358" i="2" s="1"/>
  <c r="T1358" i="2" s="1"/>
  <c r="K1357" i="2"/>
  <c r="K1356" i="2"/>
  <c r="M1356" i="2" s="1"/>
  <c r="T1356" i="2" s="1"/>
  <c r="K1355" i="2"/>
  <c r="M1355" i="2" s="1"/>
  <c r="T1355" i="2" s="1"/>
  <c r="K1354" i="2"/>
  <c r="M1354" i="2" s="1"/>
  <c r="T1354" i="2" s="1"/>
  <c r="K1353" i="2"/>
  <c r="M1353" i="2" s="1"/>
  <c r="T1353" i="2" s="1"/>
  <c r="K1352" i="2"/>
  <c r="M1352" i="2" s="1"/>
  <c r="T1352" i="2" s="1"/>
  <c r="K1351" i="2"/>
  <c r="M1351" i="2" s="1"/>
  <c r="T1351" i="2" s="1"/>
  <c r="K1350" i="2"/>
  <c r="M1350" i="2" s="1"/>
  <c r="T1350" i="2" s="1"/>
  <c r="K1349" i="2"/>
  <c r="M1349" i="2" s="1"/>
  <c r="T1349" i="2" s="1"/>
  <c r="K1348" i="2"/>
  <c r="M1348" i="2" s="1"/>
  <c r="T1348" i="2" s="1"/>
  <c r="K1347" i="2"/>
  <c r="M1347" i="2" s="1"/>
  <c r="T1347" i="2" s="1"/>
  <c r="K1346" i="2"/>
  <c r="M1346" i="2" s="1"/>
  <c r="T1346" i="2" s="1"/>
  <c r="K1345" i="2"/>
  <c r="M1345" i="2" s="1"/>
  <c r="T1345" i="2" s="1"/>
  <c r="K1344" i="2"/>
  <c r="M1344" i="2" s="1"/>
  <c r="T1344" i="2" s="1"/>
  <c r="K1343" i="2"/>
  <c r="M1343" i="2" s="1"/>
  <c r="T1343" i="2" s="1"/>
  <c r="K1342" i="2"/>
  <c r="M1342" i="2" s="1"/>
  <c r="T1342" i="2" s="1"/>
  <c r="K1341" i="2"/>
  <c r="M1341" i="2" s="1"/>
  <c r="T1341" i="2" s="1"/>
  <c r="K1340" i="2"/>
  <c r="M1340" i="2" s="1"/>
  <c r="T1340" i="2" s="1"/>
  <c r="K1339" i="2"/>
  <c r="M1339" i="2" s="1"/>
  <c r="T1339" i="2" s="1"/>
  <c r="K1338" i="2"/>
  <c r="M1338" i="2" s="1"/>
  <c r="T1338" i="2" s="1"/>
  <c r="K1337" i="2"/>
  <c r="M1337" i="2" s="1"/>
  <c r="T1337" i="2" s="1"/>
  <c r="K1336" i="2"/>
  <c r="M1336" i="2" s="1"/>
  <c r="T1336" i="2" s="1"/>
  <c r="K1335" i="2"/>
  <c r="M1335" i="2" s="1"/>
  <c r="T1335" i="2" s="1"/>
  <c r="K1334" i="2"/>
  <c r="M1334" i="2" s="1"/>
  <c r="T1334" i="2" s="1"/>
  <c r="K1333" i="2"/>
  <c r="M1333" i="2" s="1"/>
  <c r="T1333" i="2" s="1"/>
  <c r="K1332" i="2"/>
  <c r="M1332" i="2" s="1"/>
  <c r="T1332" i="2" s="1"/>
  <c r="K1331" i="2"/>
  <c r="M1331" i="2" s="1"/>
  <c r="T1331" i="2" s="1"/>
  <c r="K1330" i="2"/>
  <c r="M1330" i="2" s="1"/>
  <c r="T1330" i="2" s="1"/>
  <c r="K1329" i="2"/>
  <c r="M1329" i="2" s="1"/>
  <c r="T1329" i="2" s="1"/>
  <c r="K1328" i="2"/>
  <c r="M1328" i="2" s="1"/>
  <c r="T1328" i="2" s="1"/>
  <c r="K1327" i="2"/>
  <c r="M1327" i="2" s="1"/>
  <c r="T1327" i="2" s="1"/>
  <c r="K1326" i="2"/>
  <c r="M1326" i="2" s="1"/>
  <c r="T1326" i="2" s="1"/>
  <c r="K1325" i="2"/>
  <c r="M1325" i="2" s="1"/>
  <c r="T1325" i="2" s="1"/>
  <c r="K1324" i="2"/>
  <c r="M1324" i="2" s="1"/>
  <c r="T1324" i="2" s="1"/>
  <c r="K1323" i="2"/>
  <c r="M1323" i="2" s="1"/>
  <c r="T1323" i="2" s="1"/>
  <c r="K1322" i="2"/>
  <c r="M1322" i="2" s="1"/>
  <c r="T1322" i="2" s="1"/>
  <c r="K1321" i="2"/>
  <c r="M1321" i="2" s="1"/>
  <c r="T1321" i="2" s="1"/>
  <c r="K1320" i="2"/>
  <c r="M1320" i="2" s="1"/>
  <c r="T1320" i="2" s="1"/>
  <c r="K1319" i="2"/>
  <c r="M1319" i="2" s="1"/>
  <c r="T1319" i="2" s="1"/>
  <c r="K1318" i="2"/>
  <c r="M1318" i="2" s="1"/>
  <c r="T1318" i="2" s="1"/>
  <c r="K1317" i="2"/>
  <c r="M1317" i="2" s="1"/>
  <c r="T1317" i="2" s="1"/>
  <c r="K1316" i="2"/>
  <c r="M1316" i="2" s="1"/>
  <c r="T1316" i="2" s="1"/>
  <c r="K1315" i="2"/>
  <c r="M1315" i="2" s="1"/>
  <c r="T1315" i="2" s="1"/>
  <c r="K1314" i="2"/>
  <c r="M1314" i="2" s="1"/>
  <c r="T1314" i="2" s="1"/>
  <c r="K1313" i="2"/>
  <c r="M1313" i="2" s="1"/>
  <c r="T1313" i="2" s="1"/>
  <c r="K1312" i="2"/>
  <c r="M1312" i="2" s="1"/>
  <c r="T1312" i="2" s="1"/>
  <c r="K1311" i="2"/>
  <c r="M1311" i="2" s="1"/>
  <c r="T1311" i="2" s="1"/>
  <c r="K1310" i="2"/>
  <c r="M1310" i="2" s="1"/>
  <c r="T1310" i="2" s="1"/>
  <c r="K1309" i="2"/>
  <c r="M1309" i="2" s="1"/>
  <c r="T1309" i="2" s="1"/>
  <c r="K1308" i="2"/>
  <c r="M1308" i="2" s="1"/>
  <c r="T1308" i="2" s="1"/>
  <c r="K1307" i="2"/>
  <c r="M1307" i="2" s="1"/>
  <c r="T1307" i="2" s="1"/>
  <c r="K1306" i="2"/>
  <c r="M1306" i="2" s="1"/>
  <c r="T1306" i="2" s="1"/>
  <c r="K1305" i="2"/>
  <c r="M1305" i="2" s="1"/>
  <c r="T1305" i="2" s="1"/>
  <c r="K1304" i="2"/>
  <c r="M1304" i="2" s="1"/>
  <c r="T1304" i="2" s="1"/>
  <c r="K1303" i="2"/>
  <c r="M1303" i="2" s="1"/>
  <c r="T1303" i="2" s="1"/>
  <c r="K1302" i="2"/>
  <c r="M1302" i="2" s="1"/>
  <c r="T1302" i="2" s="1"/>
  <c r="K1301" i="2"/>
  <c r="M1301" i="2" s="1"/>
  <c r="T1301" i="2" s="1"/>
  <c r="K1300" i="2"/>
  <c r="M1300" i="2" s="1"/>
  <c r="T1300" i="2" s="1"/>
  <c r="K1299" i="2"/>
  <c r="M1299" i="2" s="1"/>
  <c r="T1299" i="2" s="1"/>
  <c r="K1298" i="2"/>
  <c r="M1298" i="2" s="1"/>
  <c r="T1298" i="2" s="1"/>
  <c r="K1297" i="2"/>
  <c r="M1297" i="2" s="1"/>
  <c r="T1297" i="2" s="1"/>
  <c r="K1296" i="2"/>
  <c r="M1296" i="2" s="1"/>
  <c r="T1296" i="2" s="1"/>
  <c r="K1295" i="2"/>
  <c r="M1295" i="2" s="1"/>
  <c r="T1295" i="2" s="1"/>
  <c r="K1294" i="2"/>
  <c r="M1294" i="2" s="1"/>
  <c r="T1294" i="2" s="1"/>
  <c r="K1293" i="2"/>
  <c r="M1293" i="2" s="1"/>
  <c r="T1293" i="2" s="1"/>
  <c r="K1292" i="2"/>
  <c r="M1292" i="2" s="1"/>
  <c r="T1292" i="2" s="1"/>
  <c r="K1291" i="2"/>
  <c r="M1291" i="2" s="1"/>
  <c r="T1291" i="2" s="1"/>
  <c r="K1290" i="2"/>
  <c r="M1290" i="2" s="1"/>
  <c r="T1290" i="2" s="1"/>
  <c r="K1289" i="2"/>
  <c r="M1289" i="2" s="1"/>
  <c r="T1289" i="2" s="1"/>
  <c r="K1288" i="2"/>
  <c r="M1288" i="2" s="1"/>
  <c r="T1288" i="2" s="1"/>
  <c r="K1287" i="2"/>
  <c r="M1287" i="2" s="1"/>
  <c r="T1287" i="2" s="1"/>
  <c r="K1286" i="2"/>
  <c r="M1286" i="2" s="1"/>
  <c r="T1286" i="2" s="1"/>
  <c r="K1285" i="2"/>
  <c r="M1285" i="2" s="1"/>
  <c r="T1285" i="2" s="1"/>
  <c r="K1284" i="2"/>
  <c r="M1284" i="2" s="1"/>
  <c r="T1284" i="2" s="1"/>
  <c r="K1283" i="2"/>
  <c r="M1283" i="2" s="1"/>
  <c r="T1283" i="2" s="1"/>
  <c r="K1282" i="2"/>
  <c r="M1282" i="2" s="1"/>
  <c r="T1282" i="2" s="1"/>
  <c r="K1281" i="2"/>
  <c r="M1281" i="2" s="1"/>
  <c r="T1281" i="2" s="1"/>
  <c r="K1280" i="2"/>
  <c r="M1280" i="2" s="1"/>
  <c r="T1280" i="2" s="1"/>
  <c r="K1279" i="2"/>
  <c r="M1279" i="2" s="1"/>
  <c r="T1279" i="2" s="1"/>
  <c r="K1278" i="2"/>
  <c r="M1278" i="2" s="1"/>
  <c r="T1278" i="2" s="1"/>
  <c r="K1277" i="2"/>
  <c r="M1277" i="2" s="1"/>
  <c r="T1277" i="2" s="1"/>
  <c r="K1276" i="2"/>
  <c r="M1276" i="2" s="1"/>
  <c r="T1276" i="2" s="1"/>
  <c r="K1275" i="2"/>
  <c r="M1275" i="2" s="1"/>
  <c r="T1275" i="2" s="1"/>
  <c r="K1274" i="2"/>
  <c r="M1274" i="2" s="1"/>
  <c r="T1274" i="2" s="1"/>
  <c r="K1273" i="2"/>
  <c r="M1273" i="2" s="1"/>
  <c r="T1273" i="2" s="1"/>
  <c r="K1272" i="2"/>
  <c r="M1272" i="2" s="1"/>
  <c r="T1272" i="2" s="1"/>
  <c r="K1271" i="2"/>
  <c r="M1271" i="2" s="1"/>
  <c r="T1271" i="2" s="1"/>
  <c r="K1270" i="2"/>
  <c r="M1270" i="2" s="1"/>
  <c r="T1270" i="2" s="1"/>
  <c r="K1269" i="2"/>
  <c r="M1269" i="2" s="1"/>
  <c r="T1269" i="2" s="1"/>
  <c r="K1268" i="2"/>
  <c r="M1268" i="2" s="1"/>
  <c r="K1267" i="2"/>
  <c r="M1267" i="2" s="1"/>
  <c r="T1267" i="2" s="1"/>
  <c r="K1266" i="2"/>
  <c r="M1266" i="2" s="1"/>
  <c r="T1266" i="2" s="1"/>
  <c r="K1265" i="2"/>
  <c r="M1265" i="2" s="1"/>
  <c r="T1265" i="2" s="1"/>
  <c r="K1264" i="2"/>
  <c r="M1264" i="2" s="1"/>
  <c r="T1264" i="2" s="1"/>
  <c r="K1263" i="2"/>
  <c r="M1263" i="2" s="1"/>
  <c r="T1263" i="2" s="1"/>
  <c r="K1262" i="2"/>
  <c r="M1262" i="2" s="1"/>
  <c r="T1262" i="2" s="1"/>
  <c r="K1261" i="2"/>
  <c r="M1261" i="2" s="1"/>
  <c r="T1261" i="2" s="1"/>
  <c r="K1260" i="2"/>
  <c r="M1260" i="2" s="1"/>
  <c r="T1260" i="2" s="1"/>
  <c r="K1259" i="2"/>
  <c r="M1259" i="2" s="1"/>
  <c r="T1259" i="2" s="1"/>
  <c r="K1258" i="2"/>
  <c r="M1258" i="2" s="1"/>
  <c r="T1258" i="2" s="1"/>
  <c r="K1257" i="2"/>
  <c r="M1257" i="2" s="1"/>
  <c r="T1257" i="2" s="1"/>
  <c r="K1256" i="2"/>
  <c r="M1256" i="2" s="1"/>
  <c r="T1256" i="2" s="1"/>
  <c r="K1255" i="2"/>
  <c r="M1255" i="2" s="1"/>
  <c r="T1255" i="2" s="1"/>
  <c r="K1254" i="2"/>
  <c r="M1254" i="2" s="1"/>
  <c r="T1254" i="2" s="1"/>
  <c r="K1253" i="2"/>
  <c r="M1253" i="2" s="1"/>
  <c r="T1253" i="2" s="1"/>
  <c r="K1252" i="2"/>
  <c r="M1252" i="2" s="1"/>
  <c r="T1252" i="2" s="1"/>
  <c r="K1251" i="2"/>
  <c r="M1251" i="2" s="1"/>
  <c r="T1251" i="2" s="1"/>
  <c r="K1250" i="2"/>
  <c r="M1250" i="2" s="1"/>
  <c r="T1250" i="2" s="1"/>
  <c r="K1249" i="2"/>
  <c r="M1249" i="2" s="1"/>
  <c r="T1249" i="2" s="1"/>
  <c r="K1248" i="2"/>
  <c r="M1248" i="2" s="1"/>
  <c r="T1248" i="2" s="1"/>
  <c r="K1247" i="2"/>
  <c r="M1247" i="2" s="1"/>
  <c r="T1247" i="2" s="1"/>
  <c r="K1246" i="2"/>
  <c r="M1246" i="2" s="1"/>
  <c r="T1246" i="2" s="1"/>
  <c r="K1245" i="2"/>
  <c r="M1245" i="2" s="1"/>
  <c r="T1245" i="2" s="1"/>
  <c r="K1244" i="2"/>
  <c r="M1244" i="2" s="1"/>
  <c r="T1244" i="2" s="1"/>
  <c r="K1243" i="2"/>
  <c r="M1243" i="2" s="1"/>
  <c r="T1243" i="2" s="1"/>
  <c r="K1242" i="2"/>
  <c r="M1242" i="2" s="1"/>
  <c r="T1242" i="2" s="1"/>
  <c r="K1241" i="2"/>
  <c r="M1241" i="2" s="1"/>
  <c r="T1241" i="2" s="1"/>
  <c r="K1240" i="2"/>
  <c r="M1240" i="2" s="1"/>
  <c r="T1240" i="2" s="1"/>
  <c r="K1239" i="2"/>
  <c r="M1239" i="2" s="1"/>
  <c r="T1239" i="2" s="1"/>
  <c r="K1238" i="2"/>
  <c r="M1238" i="2" s="1"/>
  <c r="T1238" i="2" s="1"/>
  <c r="K1237" i="2"/>
  <c r="M1237" i="2" s="1"/>
  <c r="T1237" i="2" s="1"/>
  <c r="K1236" i="2"/>
  <c r="M1236" i="2" s="1"/>
  <c r="T1236" i="2" s="1"/>
  <c r="K1235" i="2"/>
  <c r="M1235" i="2" s="1"/>
  <c r="T1235" i="2" s="1"/>
  <c r="K1234" i="2"/>
  <c r="M1234" i="2" s="1"/>
  <c r="T1234" i="2" s="1"/>
  <c r="K1233" i="2"/>
  <c r="M1233" i="2" s="1"/>
  <c r="T1233" i="2" s="1"/>
  <c r="K1232" i="2"/>
  <c r="M1232" i="2" s="1"/>
  <c r="T1232" i="2" s="1"/>
  <c r="K1231" i="2"/>
  <c r="M1231" i="2" s="1"/>
  <c r="T1231" i="2" s="1"/>
  <c r="K1230" i="2"/>
  <c r="M1230" i="2" s="1"/>
  <c r="T1230" i="2" s="1"/>
  <c r="K1229" i="2"/>
  <c r="K1228" i="2"/>
  <c r="M1228" i="2" s="1"/>
  <c r="T1228" i="2" s="1"/>
  <c r="K1227" i="2"/>
  <c r="M1227" i="2" s="1"/>
  <c r="T1227" i="2" s="1"/>
  <c r="K1226" i="2"/>
  <c r="M1226" i="2" s="1"/>
  <c r="T1226" i="2" s="1"/>
  <c r="K1225" i="2"/>
  <c r="M1225" i="2" s="1"/>
  <c r="T1225" i="2" s="1"/>
  <c r="K1224" i="2"/>
  <c r="M1224" i="2" s="1"/>
  <c r="T1224" i="2" s="1"/>
  <c r="K1223" i="2"/>
  <c r="M1223" i="2" s="1"/>
  <c r="T1223" i="2" s="1"/>
  <c r="K1222" i="2"/>
  <c r="M1222" i="2" s="1"/>
  <c r="T1222" i="2" s="1"/>
  <c r="K1221" i="2"/>
  <c r="M1221" i="2" s="1"/>
  <c r="T1221" i="2" s="1"/>
  <c r="K1220" i="2"/>
  <c r="M1220" i="2" s="1"/>
  <c r="T1220" i="2" s="1"/>
  <c r="K1219" i="2"/>
  <c r="M1219" i="2" s="1"/>
  <c r="T1219" i="2" s="1"/>
  <c r="K1218" i="2"/>
  <c r="M1218" i="2" s="1"/>
  <c r="T1218" i="2" s="1"/>
  <c r="K1217" i="2"/>
  <c r="M1217" i="2" s="1"/>
  <c r="T1217" i="2" s="1"/>
  <c r="K1216" i="2"/>
  <c r="M1216" i="2" s="1"/>
  <c r="T1216" i="2" s="1"/>
  <c r="K1215" i="2"/>
  <c r="M1215" i="2" s="1"/>
  <c r="T1215" i="2" s="1"/>
  <c r="K1214" i="2"/>
  <c r="M1214" i="2" s="1"/>
  <c r="T1214" i="2" s="1"/>
  <c r="K1213" i="2"/>
  <c r="M1213" i="2" s="1"/>
  <c r="T1213" i="2" s="1"/>
  <c r="K1212" i="2"/>
  <c r="M1212" i="2" s="1"/>
  <c r="T1212" i="2" s="1"/>
  <c r="K1211" i="2"/>
  <c r="M1211" i="2" s="1"/>
  <c r="T1211" i="2" s="1"/>
  <c r="K1210" i="2"/>
  <c r="M1210" i="2" s="1"/>
  <c r="T1210" i="2" s="1"/>
  <c r="K1209" i="2"/>
  <c r="M1209" i="2" s="1"/>
  <c r="T1209" i="2" s="1"/>
  <c r="K1208" i="2"/>
  <c r="M1208" i="2" s="1"/>
  <c r="T1208" i="2" s="1"/>
  <c r="K1207" i="2"/>
  <c r="M1207" i="2" s="1"/>
  <c r="T1207" i="2" s="1"/>
  <c r="K1206" i="2"/>
  <c r="M1206" i="2" s="1"/>
  <c r="T1206" i="2" s="1"/>
  <c r="K1205" i="2"/>
  <c r="M1205" i="2" s="1"/>
  <c r="T1205" i="2" s="1"/>
  <c r="K1204" i="2"/>
  <c r="M1204" i="2" s="1"/>
  <c r="T1204" i="2" s="1"/>
  <c r="K1203" i="2"/>
  <c r="M1203" i="2" s="1"/>
  <c r="T1203" i="2" s="1"/>
  <c r="K1202" i="2"/>
  <c r="M1202" i="2" s="1"/>
  <c r="T1202" i="2" s="1"/>
  <c r="K1201" i="2"/>
  <c r="M1201" i="2" s="1"/>
  <c r="T1201" i="2" s="1"/>
  <c r="K1200" i="2"/>
  <c r="M1200" i="2" s="1"/>
  <c r="T1200" i="2" s="1"/>
  <c r="K1199" i="2"/>
  <c r="M1199" i="2" s="1"/>
  <c r="T1199" i="2" s="1"/>
  <c r="K1198" i="2"/>
  <c r="M1198" i="2" s="1"/>
  <c r="T1198" i="2" s="1"/>
  <c r="K1197" i="2"/>
  <c r="M1197" i="2" s="1"/>
  <c r="T1197" i="2" s="1"/>
  <c r="K1196" i="2"/>
  <c r="M1196" i="2" s="1"/>
  <c r="T1196" i="2" s="1"/>
  <c r="K1195" i="2"/>
  <c r="M1195" i="2" s="1"/>
  <c r="T1195" i="2" s="1"/>
  <c r="K1194" i="2"/>
  <c r="M1194" i="2" s="1"/>
  <c r="T1194" i="2" s="1"/>
  <c r="K1193" i="2"/>
  <c r="M1193" i="2" s="1"/>
  <c r="T1193" i="2" s="1"/>
  <c r="K1192" i="2"/>
  <c r="M1192" i="2" s="1"/>
  <c r="T1192" i="2" s="1"/>
  <c r="K1191" i="2"/>
  <c r="M1191" i="2" s="1"/>
  <c r="T1191" i="2" s="1"/>
  <c r="K1190" i="2"/>
  <c r="M1190" i="2" s="1"/>
  <c r="T1190" i="2" s="1"/>
  <c r="K1189" i="2"/>
  <c r="M1189" i="2" s="1"/>
  <c r="T1189" i="2" s="1"/>
  <c r="K1188" i="2"/>
  <c r="M1188" i="2" s="1"/>
  <c r="T1188" i="2" s="1"/>
  <c r="K1187" i="2"/>
  <c r="M1187" i="2" s="1"/>
  <c r="T1187" i="2" s="1"/>
  <c r="K1186" i="2"/>
  <c r="M1186" i="2" s="1"/>
  <c r="T1186" i="2" s="1"/>
  <c r="K1185" i="2"/>
  <c r="M1185" i="2" s="1"/>
  <c r="T1185" i="2" s="1"/>
  <c r="K1184" i="2"/>
  <c r="M1184" i="2" s="1"/>
  <c r="T1184" i="2" s="1"/>
  <c r="K1183" i="2"/>
  <c r="M1183" i="2" s="1"/>
  <c r="T1183" i="2" s="1"/>
  <c r="K1182" i="2"/>
  <c r="M1182" i="2" s="1"/>
  <c r="T1182" i="2" s="1"/>
  <c r="K1181" i="2"/>
  <c r="M1181" i="2" s="1"/>
  <c r="T1181" i="2" s="1"/>
  <c r="K1180" i="2"/>
  <c r="M1180" i="2" s="1"/>
  <c r="T1180" i="2" s="1"/>
  <c r="K1179" i="2"/>
  <c r="M1179" i="2" s="1"/>
  <c r="T1179" i="2" s="1"/>
  <c r="K1178" i="2"/>
  <c r="M1178" i="2" s="1"/>
  <c r="T1178" i="2" s="1"/>
  <c r="K1177" i="2"/>
  <c r="M1177" i="2" s="1"/>
  <c r="T1177" i="2" s="1"/>
  <c r="K1176" i="2"/>
  <c r="M1176" i="2" s="1"/>
  <c r="T1176" i="2" s="1"/>
  <c r="K1175" i="2"/>
  <c r="M1175" i="2" s="1"/>
  <c r="T1175" i="2" s="1"/>
  <c r="K1174" i="2"/>
  <c r="M1174" i="2" s="1"/>
  <c r="T1174" i="2" s="1"/>
  <c r="K1173" i="2"/>
  <c r="M1173" i="2" s="1"/>
  <c r="T1173" i="2" s="1"/>
  <c r="K1172" i="2"/>
  <c r="M1172" i="2" s="1"/>
  <c r="T1172" i="2" s="1"/>
  <c r="K1171" i="2"/>
  <c r="M1171" i="2" s="1"/>
  <c r="T1171" i="2" s="1"/>
  <c r="K1170" i="2"/>
  <c r="M1170" i="2" s="1"/>
  <c r="T1170" i="2" s="1"/>
  <c r="K1169" i="2"/>
  <c r="M1169" i="2" s="1"/>
  <c r="T1169" i="2" s="1"/>
  <c r="K1168" i="2"/>
  <c r="M1168" i="2" s="1"/>
  <c r="T1168" i="2" s="1"/>
  <c r="K1167" i="2"/>
  <c r="M1167" i="2" s="1"/>
  <c r="T1167" i="2" s="1"/>
  <c r="K1166" i="2"/>
  <c r="M1166" i="2" s="1"/>
  <c r="T1166" i="2" s="1"/>
  <c r="K1165" i="2"/>
  <c r="M1165" i="2" s="1"/>
  <c r="T1165" i="2" s="1"/>
  <c r="K1164" i="2"/>
  <c r="M1164" i="2" s="1"/>
  <c r="T1164" i="2" s="1"/>
  <c r="K1163" i="2"/>
  <c r="M1163" i="2" s="1"/>
  <c r="T1163" i="2" s="1"/>
  <c r="K1162" i="2"/>
  <c r="M1162" i="2" s="1"/>
  <c r="T1162" i="2" s="1"/>
  <c r="K1161" i="2"/>
  <c r="M1161" i="2" s="1"/>
  <c r="T1161" i="2" s="1"/>
  <c r="K1160" i="2"/>
  <c r="M1160" i="2" s="1"/>
  <c r="T1160" i="2" s="1"/>
  <c r="K1159" i="2"/>
  <c r="M1159" i="2" s="1"/>
  <c r="T1159" i="2" s="1"/>
  <c r="K1158" i="2"/>
  <c r="M1158" i="2" s="1"/>
  <c r="T1158" i="2" s="1"/>
  <c r="K1157" i="2"/>
  <c r="M1157" i="2" s="1"/>
  <c r="T1157" i="2" s="1"/>
  <c r="K1156" i="2"/>
  <c r="M1156" i="2" s="1"/>
  <c r="T1156" i="2" s="1"/>
  <c r="K1155" i="2"/>
  <c r="M1155" i="2" s="1"/>
  <c r="T1155" i="2" s="1"/>
  <c r="K1154" i="2"/>
  <c r="M1154" i="2" s="1"/>
  <c r="T1154" i="2" s="1"/>
  <c r="K1153" i="2"/>
  <c r="M1153" i="2" s="1"/>
  <c r="T1153" i="2" s="1"/>
  <c r="K1152" i="2"/>
  <c r="M1152" i="2" s="1"/>
  <c r="T1152" i="2" s="1"/>
  <c r="K1151" i="2"/>
  <c r="M1151" i="2" s="1"/>
  <c r="T1151" i="2" s="1"/>
  <c r="K1150" i="2"/>
  <c r="M1150" i="2" s="1"/>
  <c r="T1150" i="2" s="1"/>
  <c r="K1149" i="2"/>
  <c r="M1149" i="2" s="1"/>
  <c r="T1149" i="2" s="1"/>
  <c r="K1148" i="2"/>
  <c r="M1148" i="2" s="1"/>
  <c r="T1148" i="2" s="1"/>
  <c r="K1147" i="2"/>
  <c r="M1147" i="2" s="1"/>
  <c r="T1147" i="2" s="1"/>
  <c r="K1146" i="2"/>
  <c r="M1146" i="2" s="1"/>
  <c r="T1146" i="2" s="1"/>
  <c r="K1145" i="2"/>
  <c r="M1145" i="2" s="1"/>
  <c r="T1145" i="2" s="1"/>
  <c r="K1144" i="2"/>
  <c r="M1144" i="2" s="1"/>
  <c r="T1144" i="2" s="1"/>
  <c r="K1143" i="2"/>
  <c r="M1143" i="2" s="1"/>
  <c r="T1143" i="2" s="1"/>
  <c r="K1142" i="2"/>
  <c r="M1142" i="2" s="1"/>
  <c r="T1142" i="2" s="1"/>
  <c r="K1141" i="2"/>
  <c r="M1141" i="2" s="1"/>
  <c r="T1141" i="2" s="1"/>
  <c r="K1140" i="2"/>
  <c r="M1140" i="2" s="1"/>
  <c r="T1140" i="2" s="1"/>
  <c r="K1139" i="2"/>
  <c r="M1139" i="2" s="1"/>
  <c r="T1139" i="2" s="1"/>
  <c r="K1138" i="2"/>
  <c r="M1138" i="2" s="1"/>
  <c r="T1138" i="2" s="1"/>
  <c r="K1137" i="2"/>
  <c r="M1137" i="2" s="1"/>
  <c r="T1137" i="2" s="1"/>
  <c r="K1136" i="2"/>
  <c r="M1136" i="2" s="1"/>
  <c r="T1136" i="2" s="1"/>
  <c r="K1135" i="2"/>
  <c r="M1135" i="2" s="1"/>
  <c r="T1135" i="2" s="1"/>
  <c r="K1134" i="2"/>
  <c r="M1134" i="2" s="1"/>
  <c r="T1134" i="2" s="1"/>
  <c r="K1133" i="2"/>
  <c r="M1133" i="2" s="1"/>
  <c r="T1133" i="2" s="1"/>
  <c r="K1132" i="2"/>
  <c r="M1132" i="2" s="1"/>
  <c r="T1132" i="2" s="1"/>
  <c r="K1131" i="2"/>
  <c r="M1131" i="2" s="1"/>
  <c r="T1131" i="2" s="1"/>
  <c r="K1130" i="2"/>
  <c r="M1130" i="2" s="1"/>
  <c r="T1130" i="2" s="1"/>
  <c r="K1129" i="2"/>
  <c r="M1129" i="2" s="1"/>
  <c r="T1129" i="2" s="1"/>
  <c r="K1128" i="2"/>
  <c r="M1128" i="2" s="1"/>
  <c r="T1128" i="2" s="1"/>
  <c r="K1127" i="2"/>
  <c r="M1127" i="2" s="1"/>
  <c r="T1127" i="2" s="1"/>
  <c r="K1126" i="2"/>
  <c r="M1126" i="2" s="1"/>
  <c r="T1126" i="2" s="1"/>
  <c r="K1125" i="2"/>
  <c r="M1125" i="2" s="1"/>
  <c r="T1125" i="2" s="1"/>
  <c r="K1124" i="2"/>
  <c r="M1124" i="2" s="1"/>
  <c r="T1124" i="2" s="1"/>
  <c r="K1123" i="2"/>
  <c r="M1123" i="2" s="1"/>
  <c r="T1123" i="2" s="1"/>
  <c r="K1122" i="2"/>
  <c r="M1122" i="2" s="1"/>
  <c r="T1122" i="2" s="1"/>
  <c r="K1121" i="2"/>
  <c r="M1121" i="2" s="1"/>
  <c r="T1121" i="2" s="1"/>
  <c r="K1120" i="2"/>
  <c r="M1120" i="2" s="1"/>
  <c r="T1120" i="2" s="1"/>
  <c r="K1119" i="2"/>
  <c r="M1119" i="2" s="1"/>
  <c r="T1119" i="2" s="1"/>
  <c r="K1118" i="2"/>
  <c r="M1118" i="2" s="1"/>
  <c r="T1118" i="2" s="1"/>
  <c r="K1117" i="2"/>
  <c r="M1117" i="2" s="1"/>
  <c r="T1117" i="2" s="1"/>
  <c r="K1116" i="2"/>
  <c r="M1116" i="2" s="1"/>
  <c r="T1116" i="2" s="1"/>
  <c r="K1115" i="2"/>
  <c r="M1115" i="2" s="1"/>
  <c r="T1115" i="2" s="1"/>
  <c r="K1114" i="2"/>
  <c r="M1114" i="2" s="1"/>
  <c r="T1114" i="2" s="1"/>
  <c r="K1113" i="2"/>
  <c r="M1113" i="2" s="1"/>
  <c r="T1113" i="2" s="1"/>
  <c r="K1112" i="2"/>
  <c r="M1112" i="2" s="1"/>
  <c r="T1112" i="2" s="1"/>
  <c r="K1111" i="2"/>
  <c r="M1111" i="2" s="1"/>
  <c r="K1110" i="2"/>
  <c r="M1110" i="2" s="1"/>
  <c r="T1110" i="2" s="1"/>
  <c r="K1109" i="2"/>
  <c r="M1109" i="2" s="1"/>
  <c r="T1109" i="2" s="1"/>
  <c r="K1108" i="2"/>
  <c r="M1108" i="2" s="1"/>
  <c r="T1108" i="2" s="1"/>
  <c r="K1107" i="2"/>
  <c r="M1107" i="2" s="1"/>
  <c r="T1107" i="2" s="1"/>
  <c r="K1106" i="2"/>
  <c r="M1106" i="2" s="1"/>
  <c r="T1106" i="2" s="1"/>
  <c r="K1105" i="2"/>
  <c r="M1105" i="2" s="1"/>
  <c r="T1105" i="2" s="1"/>
  <c r="K1104" i="2"/>
  <c r="M1104" i="2" s="1"/>
  <c r="T1104" i="2" s="1"/>
  <c r="K1103" i="2"/>
  <c r="M1103" i="2" s="1"/>
  <c r="T1103" i="2" s="1"/>
  <c r="K1102" i="2"/>
  <c r="M1102" i="2" s="1"/>
  <c r="T1102" i="2" s="1"/>
  <c r="K1101" i="2"/>
  <c r="M1101" i="2" s="1"/>
  <c r="T1101" i="2" s="1"/>
  <c r="K1100" i="2"/>
  <c r="M1100" i="2" s="1"/>
  <c r="T1100" i="2" s="1"/>
  <c r="K1099" i="2"/>
  <c r="M1099" i="2" s="1"/>
  <c r="T1099" i="2" s="1"/>
  <c r="K1098" i="2"/>
  <c r="M1098" i="2" s="1"/>
  <c r="T1098" i="2" s="1"/>
  <c r="K1097" i="2"/>
  <c r="M1097" i="2" s="1"/>
  <c r="T1097" i="2" s="1"/>
  <c r="K1096" i="2"/>
  <c r="M1096" i="2" s="1"/>
  <c r="T1096" i="2" s="1"/>
  <c r="K1095" i="2"/>
  <c r="M1095" i="2" s="1"/>
  <c r="T1095" i="2" s="1"/>
  <c r="K1094" i="2"/>
  <c r="M1094" i="2" s="1"/>
  <c r="T1094" i="2" s="1"/>
  <c r="K1093" i="2"/>
  <c r="M1093" i="2" s="1"/>
  <c r="T1093" i="2" s="1"/>
  <c r="K1092" i="2"/>
  <c r="M1092" i="2" s="1"/>
  <c r="T1092" i="2" s="1"/>
  <c r="K1091" i="2"/>
  <c r="M1091" i="2" s="1"/>
  <c r="T1091" i="2" s="1"/>
  <c r="K1090" i="2"/>
  <c r="M1090" i="2" s="1"/>
  <c r="T1090" i="2" s="1"/>
  <c r="K1089" i="2"/>
  <c r="M1089" i="2" s="1"/>
  <c r="T1089" i="2" s="1"/>
  <c r="K1088" i="2"/>
  <c r="M1088" i="2" s="1"/>
  <c r="T1088" i="2" s="1"/>
  <c r="K1087" i="2"/>
  <c r="M1087" i="2" s="1"/>
  <c r="T1087" i="2" s="1"/>
  <c r="K1086" i="2"/>
  <c r="M1086" i="2" s="1"/>
  <c r="T1086" i="2" s="1"/>
  <c r="K1085" i="2"/>
  <c r="M1085" i="2" s="1"/>
  <c r="T1085" i="2" s="1"/>
  <c r="K1084" i="2"/>
  <c r="M1084" i="2" s="1"/>
  <c r="T1084" i="2" s="1"/>
  <c r="K1083" i="2"/>
  <c r="M1083" i="2" s="1"/>
  <c r="T1083" i="2" s="1"/>
  <c r="K1082" i="2"/>
  <c r="M1082" i="2" s="1"/>
  <c r="T1082" i="2" s="1"/>
  <c r="K1081" i="2"/>
  <c r="M1081" i="2" s="1"/>
  <c r="T1081" i="2" s="1"/>
  <c r="K1080" i="2"/>
  <c r="M1080" i="2" s="1"/>
  <c r="T1080" i="2" s="1"/>
  <c r="K1079" i="2"/>
  <c r="M1079" i="2" s="1"/>
  <c r="T1079" i="2" s="1"/>
  <c r="K1078" i="2"/>
  <c r="M1078" i="2" s="1"/>
  <c r="T1078" i="2" s="1"/>
  <c r="K1077" i="2"/>
  <c r="M1077" i="2" s="1"/>
  <c r="T1077" i="2" s="1"/>
  <c r="K1076" i="2"/>
  <c r="M1076" i="2" s="1"/>
  <c r="T1076" i="2" s="1"/>
  <c r="K1075" i="2"/>
  <c r="M1075" i="2" s="1"/>
  <c r="T1075" i="2" s="1"/>
  <c r="K1074" i="2"/>
  <c r="M1074" i="2" s="1"/>
  <c r="T1074" i="2" s="1"/>
  <c r="K1073" i="2"/>
  <c r="M1073" i="2" s="1"/>
  <c r="T1073" i="2" s="1"/>
  <c r="K1072" i="2"/>
  <c r="M1072" i="2" s="1"/>
  <c r="T1072" i="2" s="1"/>
  <c r="K1071" i="2"/>
  <c r="M1071" i="2" s="1"/>
  <c r="T1071" i="2" s="1"/>
  <c r="K1070" i="2"/>
  <c r="M1070" i="2" s="1"/>
  <c r="T1070" i="2" s="1"/>
  <c r="K1069" i="2"/>
  <c r="M1069" i="2" s="1"/>
  <c r="T1069" i="2" s="1"/>
  <c r="K1068" i="2"/>
  <c r="M1068" i="2" s="1"/>
  <c r="T1068" i="2" s="1"/>
  <c r="K1067" i="2"/>
  <c r="M1067" i="2" s="1"/>
  <c r="T1067" i="2" s="1"/>
  <c r="K1066" i="2"/>
  <c r="M1066" i="2" s="1"/>
  <c r="T1066" i="2" s="1"/>
  <c r="K1065" i="2"/>
  <c r="M1065" i="2" s="1"/>
  <c r="T1065" i="2" s="1"/>
  <c r="K1064" i="2"/>
  <c r="M1064" i="2" s="1"/>
  <c r="T1064" i="2" s="1"/>
  <c r="K1063" i="2"/>
  <c r="M1063" i="2" s="1"/>
  <c r="T1063" i="2" s="1"/>
  <c r="K1062" i="2"/>
  <c r="M1062" i="2" s="1"/>
  <c r="T1062" i="2" s="1"/>
  <c r="K1061" i="2"/>
  <c r="M1061" i="2" s="1"/>
  <c r="T1061" i="2" s="1"/>
  <c r="K1060" i="2"/>
  <c r="M1060" i="2" s="1"/>
  <c r="T1060" i="2" s="1"/>
  <c r="K1059" i="2"/>
  <c r="M1059" i="2" s="1"/>
  <c r="T1059" i="2" s="1"/>
  <c r="K1058" i="2"/>
  <c r="M1058" i="2" s="1"/>
  <c r="T1058" i="2" s="1"/>
  <c r="K1057" i="2"/>
  <c r="M1057" i="2" s="1"/>
  <c r="T1057" i="2" s="1"/>
  <c r="K1056" i="2"/>
  <c r="M1056" i="2" s="1"/>
  <c r="T1056" i="2" s="1"/>
  <c r="K1055" i="2"/>
  <c r="M1055" i="2" s="1"/>
  <c r="T1055" i="2" s="1"/>
  <c r="K1054" i="2"/>
  <c r="M1054" i="2" s="1"/>
  <c r="T1054" i="2" s="1"/>
  <c r="K1053" i="2"/>
  <c r="M1053" i="2" s="1"/>
  <c r="T1053" i="2" s="1"/>
  <c r="K1052" i="2"/>
  <c r="M1052" i="2" s="1"/>
  <c r="T1052" i="2" s="1"/>
  <c r="K1051" i="2"/>
  <c r="M1051" i="2" s="1"/>
  <c r="T1051" i="2" s="1"/>
  <c r="K1050" i="2"/>
  <c r="M1050" i="2" s="1"/>
  <c r="T1050" i="2" s="1"/>
  <c r="K1049" i="2"/>
  <c r="M1049" i="2" s="1"/>
  <c r="T1049" i="2" s="1"/>
  <c r="K1048" i="2"/>
  <c r="M1048" i="2" s="1"/>
  <c r="T1048" i="2" s="1"/>
  <c r="K1047" i="2"/>
  <c r="M1047" i="2" s="1"/>
  <c r="T1047" i="2" s="1"/>
  <c r="K1046" i="2"/>
  <c r="M1046" i="2" s="1"/>
  <c r="T1046" i="2" s="1"/>
  <c r="K1045" i="2"/>
  <c r="M1045" i="2" s="1"/>
  <c r="T1045" i="2" s="1"/>
  <c r="K1044" i="2"/>
  <c r="M1044" i="2" s="1"/>
  <c r="T1044" i="2" s="1"/>
  <c r="K1043" i="2"/>
  <c r="M1043" i="2" s="1"/>
  <c r="T1043" i="2" s="1"/>
  <c r="K1042" i="2"/>
  <c r="M1042" i="2" s="1"/>
  <c r="T1042" i="2" s="1"/>
  <c r="K1041" i="2"/>
  <c r="M1041" i="2" s="1"/>
  <c r="T1041" i="2" s="1"/>
  <c r="K1040" i="2"/>
  <c r="M1040" i="2" s="1"/>
  <c r="T1040" i="2" s="1"/>
  <c r="K1039" i="2"/>
  <c r="M1039" i="2" s="1"/>
  <c r="T1039" i="2" s="1"/>
  <c r="K1038" i="2"/>
  <c r="M1038" i="2" s="1"/>
  <c r="T1038" i="2" s="1"/>
  <c r="K1037" i="2"/>
  <c r="M1037" i="2" s="1"/>
  <c r="T1037" i="2" s="1"/>
  <c r="K1036" i="2"/>
  <c r="M1036" i="2" s="1"/>
  <c r="T1036" i="2" s="1"/>
  <c r="K1035" i="2"/>
  <c r="M1035" i="2" s="1"/>
  <c r="T1035" i="2" s="1"/>
  <c r="K1034" i="2"/>
  <c r="M1034" i="2" s="1"/>
  <c r="T1034" i="2" s="1"/>
  <c r="K1033" i="2"/>
  <c r="M1033" i="2" s="1"/>
  <c r="T1033" i="2" s="1"/>
  <c r="K1032" i="2"/>
  <c r="M1032" i="2" s="1"/>
  <c r="T1032" i="2" s="1"/>
  <c r="K1031" i="2"/>
  <c r="M1031" i="2" s="1"/>
  <c r="T1031" i="2" s="1"/>
  <c r="K1030" i="2"/>
  <c r="M1030" i="2" s="1"/>
  <c r="T1030" i="2" s="1"/>
  <c r="K1029" i="2"/>
  <c r="M1029" i="2" s="1"/>
  <c r="T1029" i="2" s="1"/>
  <c r="K1028" i="2"/>
  <c r="M1028" i="2" s="1"/>
  <c r="T1028" i="2" s="1"/>
  <c r="K1027" i="2"/>
  <c r="M1027" i="2" s="1"/>
  <c r="T1027" i="2" s="1"/>
  <c r="K1026" i="2"/>
  <c r="M1026" i="2" s="1"/>
  <c r="T1026" i="2" s="1"/>
  <c r="K1025" i="2"/>
  <c r="M1025" i="2" s="1"/>
  <c r="T1025" i="2" s="1"/>
  <c r="K1024" i="2"/>
  <c r="M1024" i="2" s="1"/>
  <c r="T1024" i="2" s="1"/>
  <c r="K1023" i="2"/>
  <c r="M1023" i="2" s="1"/>
  <c r="T1023" i="2" s="1"/>
  <c r="K1022" i="2"/>
  <c r="M1022" i="2" s="1"/>
  <c r="T1022" i="2" s="1"/>
  <c r="K1021" i="2"/>
  <c r="M1021" i="2" s="1"/>
  <c r="T1021" i="2" s="1"/>
  <c r="K1020" i="2"/>
  <c r="M1020" i="2" s="1"/>
  <c r="T1020" i="2" s="1"/>
  <c r="K1019" i="2"/>
  <c r="M1019" i="2" s="1"/>
  <c r="T1019" i="2" s="1"/>
  <c r="K1018" i="2"/>
  <c r="M1018" i="2" s="1"/>
  <c r="T1018" i="2" s="1"/>
  <c r="K1017" i="2"/>
  <c r="M1017" i="2" s="1"/>
  <c r="T1017" i="2" s="1"/>
  <c r="K1016" i="2"/>
  <c r="M1016" i="2" s="1"/>
  <c r="T1016" i="2" s="1"/>
  <c r="K1015" i="2"/>
  <c r="M1015" i="2" s="1"/>
  <c r="T1015" i="2" s="1"/>
  <c r="K1014" i="2"/>
  <c r="M1014" i="2" s="1"/>
  <c r="T1014" i="2" s="1"/>
  <c r="K1013" i="2"/>
  <c r="M1013" i="2" s="1"/>
  <c r="T1013" i="2" s="1"/>
  <c r="K1012" i="2"/>
  <c r="M1012" i="2" s="1"/>
  <c r="T1012" i="2" s="1"/>
  <c r="K1011" i="2"/>
  <c r="M1011" i="2" s="1"/>
  <c r="T1011" i="2" s="1"/>
  <c r="K1010" i="2"/>
  <c r="M1010" i="2" s="1"/>
  <c r="T1010" i="2" s="1"/>
  <c r="K1009" i="2"/>
  <c r="M1009" i="2" s="1"/>
  <c r="T1009" i="2" s="1"/>
  <c r="K1008" i="2"/>
  <c r="M1008" i="2" s="1"/>
  <c r="T1008" i="2" s="1"/>
  <c r="K1007" i="2"/>
  <c r="M1007" i="2" s="1"/>
  <c r="T1007" i="2" s="1"/>
  <c r="K1006" i="2"/>
  <c r="M1006" i="2" s="1"/>
  <c r="T1006" i="2" s="1"/>
  <c r="K1005" i="2"/>
  <c r="M1005" i="2" s="1"/>
  <c r="T1005" i="2" s="1"/>
  <c r="K1004" i="2"/>
  <c r="M1004" i="2" s="1"/>
  <c r="T1004" i="2" s="1"/>
  <c r="K1003" i="2"/>
  <c r="M1003" i="2" s="1"/>
  <c r="T1003" i="2" s="1"/>
  <c r="K1002" i="2"/>
  <c r="M1002" i="2" s="1"/>
  <c r="T1002" i="2" s="1"/>
  <c r="K1001" i="2"/>
  <c r="M1001" i="2" s="1"/>
  <c r="T1001" i="2" s="1"/>
  <c r="K1000" i="2"/>
  <c r="M1000" i="2" s="1"/>
  <c r="T1000" i="2" s="1"/>
  <c r="K999" i="2"/>
  <c r="M999" i="2" s="1"/>
  <c r="T999" i="2" s="1"/>
  <c r="K998" i="2"/>
  <c r="M998" i="2" s="1"/>
  <c r="T998" i="2" s="1"/>
  <c r="K997" i="2"/>
  <c r="M997" i="2" s="1"/>
  <c r="T997" i="2" s="1"/>
  <c r="K996" i="2"/>
  <c r="M996" i="2" s="1"/>
  <c r="T996" i="2" s="1"/>
  <c r="K995" i="2"/>
  <c r="M995" i="2" s="1"/>
  <c r="T995" i="2" s="1"/>
  <c r="K994" i="2"/>
  <c r="M994" i="2" s="1"/>
  <c r="T994" i="2" s="1"/>
  <c r="K993" i="2"/>
  <c r="M993" i="2" s="1"/>
  <c r="T993" i="2" s="1"/>
  <c r="K992" i="2"/>
  <c r="M992" i="2" s="1"/>
  <c r="T992" i="2" s="1"/>
  <c r="K991" i="2"/>
  <c r="M991" i="2" s="1"/>
  <c r="T991" i="2" s="1"/>
  <c r="K990" i="2"/>
  <c r="M990" i="2" s="1"/>
  <c r="T990" i="2" s="1"/>
  <c r="K989" i="2"/>
  <c r="M989" i="2" s="1"/>
  <c r="T989" i="2" s="1"/>
  <c r="K988" i="2"/>
  <c r="M988" i="2" s="1"/>
  <c r="T988" i="2" s="1"/>
  <c r="K987" i="2"/>
  <c r="M987" i="2" s="1"/>
  <c r="T987" i="2" s="1"/>
  <c r="K986" i="2"/>
  <c r="M986" i="2" s="1"/>
  <c r="T986" i="2" s="1"/>
  <c r="K985" i="2"/>
  <c r="M985" i="2" s="1"/>
  <c r="T985" i="2" s="1"/>
  <c r="K984" i="2"/>
  <c r="M984" i="2" s="1"/>
  <c r="T984" i="2" s="1"/>
  <c r="K983" i="2"/>
  <c r="M983" i="2" s="1"/>
  <c r="T983" i="2" s="1"/>
  <c r="K982" i="2"/>
  <c r="M982" i="2" s="1"/>
  <c r="T982" i="2" s="1"/>
  <c r="K981" i="2"/>
  <c r="M981" i="2" s="1"/>
  <c r="T981" i="2" s="1"/>
  <c r="K980" i="2"/>
  <c r="M980" i="2" s="1"/>
  <c r="T980" i="2" s="1"/>
  <c r="K979" i="2"/>
  <c r="M979" i="2" s="1"/>
  <c r="T979" i="2" s="1"/>
  <c r="K978" i="2"/>
  <c r="M978" i="2" s="1"/>
  <c r="T978" i="2" s="1"/>
  <c r="K977" i="2"/>
  <c r="M977" i="2" s="1"/>
  <c r="T977" i="2" s="1"/>
  <c r="K976" i="2"/>
  <c r="M976" i="2" s="1"/>
  <c r="T976" i="2" s="1"/>
  <c r="K975" i="2"/>
  <c r="M975" i="2" s="1"/>
  <c r="T975" i="2" s="1"/>
  <c r="K974" i="2"/>
  <c r="M974" i="2" s="1"/>
  <c r="T974" i="2" s="1"/>
  <c r="K973" i="2"/>
  <c r="M973" i="2" s="1"/>
  <c r="T973" i="2" s="1"/>
  <c r="K972" i="2"/>
  <c r="M972" i="2" s="1"/>
  <c r="T972" i="2" s="1"/>
  <c r="K971" i="2"/>
  <c r="M971" i="2" s="1"/>
  <c r="T971" i="2" s="1"/>
  <c r="K970" i="2"/>
  <c r="M970" i="2" s="1"/>
  <c r="T970" i="2" s="1"/>
  <c r="K969" i="2"/>
  <c r="M969" i="2" s="1"/>
  <c r="T969" i="2" s="1"/>
  <c r="K968" i="2"/>
  <c r="M968" i="2" s="1"/>
  <c r="T968" i="2" s="1"/>
  <c r="K967" i="2"/>
  <c r="M967" i="2" s="1"/>
  <c r="T967" i="2" s="1"/>
  <c r="K966" i="2"/>
  <c r="M966" i="2" s="1"/>
  <c r="T966" i="2" s="1"/>
  <c r="K965" i="2"/>
  <c r="M965" i="2" s="1"/>
  <c r="T965" i="2" s="1"/>
  <c r="K964" i="2"/>
  <c r="M964" i="2" s="1"/>
  <c r="T964" i="2" s="1"/>
  <c r="K963" i="2"/>
  <c r="M963" i="2" s="1"/>
  <c r="T963" i="2" s="1"/>
  <c r="K962" i="2"/>
  <c r="M962" i="2" s="1"/>
  <c r="T962" i="2" s="1"/>
  <c r="K961" i="2"/>
  <c r="M961" i="2" s="1"/>
  <c r="T961" i="2" s="1"/>
  <c r="K960" i="2"/>
  <c r="M960" i="2" s="1"/>
  <c r="T960" i="2" s="1"/>
  <c r="K959" i="2"/>
  <c r="M959" i="2" s="1"/>
  <c r="T959" i="2" s="1"/>
  <c r="K958" i="2"/>
  <c r="M958" i="2" s="1"/>
  <c r="T958" i="2" s="1"/>
  <c r="K957" i="2"/>
  <c r="M957" i="2" s="1"/>
  <c r="T957" i="2" s="1"/>
  <c r="K956" i="2"/>
  <c r="M956" i="2" s="1"/>
  <c r="T956" i="2" s="1"/>
  <c r="K955" i="2"/>
  <c r="M955" i="2" s="1"/>
  <c r="T955" i="2" s="1"/>
  <c r="K954" i="2"/>
  <c r="M954" i="2" s="1"/>
  <c r="T954" i="2" s="1"/>
  <c r="K953" i="2"/>
  <c r="M953" i="2" s="1"/>
  <c r="T953" i="2" s="1"/>
  <c r="K952" i="2"/>
  <c r="M952" i="2" s="1"/>
  <c r="T952" i="2" s="1"/>
  <c r="K951" i="2"/>
  <c r="M951" i="2" s="1"/>
  <c r="T951" i="2" s="1"/>
  <c r="K950" i="2"/>
  <c r="M950" i="2" s="1"/>
  <c r="T950" i="2" s="1"/>
  <c r="K949" i="2"/>
  <c r="M949" i="2" s="1"/>
  <c r="T949" i="2" s="1"/>
  <c r="K948" i="2"/>
  <c r="M948" i="2" s="1"/>
  <c r="T948" i="2" s="1"/>
  <c r="K947" i="2"/>
  <c r="M947" i="2" s="1"/>
  <c r="T947" i="2" s="1"/>
  <c r="K946" i="2"/>
  <c r="M946" i="2" s="1"/>
  <c r="T946" i="2" s="1"/>
  <c r="K945" i="2"/>
  <c r="M945" i="2" s="1"/>
  <c r="T945" i="2" s="1"/>
  <c r="K944" i="2"/>
  <c r="M944" i="2" s="1"/>
  <c r="T944" i="2" s="1"/>
  <c r="K943" i="2"/>
  <c r="M943" i="2" s="1"/>
  <c r="T943" i="2" s="1"/>
  <c r="K942" i="2"/>
  <c r="M942" i="2" s="1"/>
  <c r="T942" i="2" s="1"/>
  <c r="K941" i="2"/>
  <c r="M941" i="2" s="1"/>
  <c r="T941" i="2" s="1"/>
  <c r="K940" i="2"/>
  <c r="M940" i="2" s="1"/>
  <c r="T940" i="2" s="1"/>
  <c r="K939" i="2"/>
  <c r="M939" i="2" s="1"/>
  <c r="T939" i="2" s="1"/>
  <c r="K938" i="2"/>
  <c r="M938" i="2" s="1"/>
  <c r="T938" i="2" s="1"/>
  <c r="K937" i="2"/>
  <c r="M937" i="2" s="1"/>
  <c r="T937" i="2" s="1"/>
  <c r="K936" i="2"/>
  <c r="M936" i="2" s="1"/>
  <c r="T936" i="2" s="1"/>
  <c r="K935" i="2"/>
  <c r="M935" i="2" s="1"/>
  <c r="T935" i="2" s="1"/>
  <c r="K934" i="2"/>
  <c r="M934" i="2" s="1"/>
  <c r="T934" i="2" s="1"/>
  <c r="K933" i="2"/>
  <c r="M933" i="2" s="1"/>
  <c r="T933" i="2" s="1"/>
  <c r="K932" i="2"/>
  <c r="M932" i="2" s="1"/>
  <c r="T932" i="2" s="1"/>
  <c r="K931" i="2"/>
  <c r="M931" i="2" s="1"/>
  <c r="T931" i="2" s="1"/>
  <c r="K930" i="2"/>
  <c r="M930" i="2" s="1"/>
  <c r="T930" i="2" s="1"/>
  <c r="K929" i="2"/>
  <c r="M929" i="2" s="1"/>
  <c r="T929" i="2" s="1"/>
  <c r="K928" i="2"/>
  <c r="M928" i="2" s="1"/>
  <c r="T928" i="2" s="1"/>
  <c r="K927" i="2"/>
  <c r="M927" i="2" s="1"/>
  <c r="T927" i="2" s="1"/>
  <c r="K926" i="2"/>
  <c r="M926" i="2" s="1"/>
  <c r="T926" i="2" s="1"/>
  <c r="K925" i="2"/>
  <c r="M925" i="2" s="1"/>
  <c r="T925" i="2" s="1"/>
  <c r="K924" i="2"/>
  <c r="M924" i="2" s="1"/>
  <c r="T924" i="2" s="1"/>
  <c r="K923" i="2"/>
  <c r="M923" i="2" s="1"/>
  <c r="T923" i="2" s="1"/>
  <c r="K922" i="2"/>
  <c r="M922" i="2" s="1"/>
  <c r="T922" i="2" s="1"/>
  <c r="K921" i="2"/>
  <c r="M921" i="2" s="1"/>
  <c r="T921" i="2" s="1"/>
  <c r="K920" i="2"/>
  <c r="M920" i="2" s="1"/>
  <c r="T920" i="2" s="1"/>
  <c r="K919" i="2"/>
  <c r="M919" i="2" s="1"/>
  <c r="T919" i="2" s="1"/>
  <c r="K918" i="2"/>
  <c r="M918" i="2" s="1"/>
  <c r="T918" i="2" s="1"/>
  <c r="K917" i="2"/>
  <c r="M917" i="2" s="1"/>
  <c r="T917" i="2" s="1"/>
  <c r="K916" i="2"/>
  <c r="M916" i="2" s="1"/>
  <c r="T916" i="2" s="1"/>
  <c r="K915" i="2"/>
  <c r="M915" i="2" s="1"/>
  <c r="T915" i="2" s="1"/>
  <c r="K914" i="2"/>
  <c r="M914" i="2" s="1"/>
  <c r="T914" i="2" s="1"/>
  <c r="K913" i="2"/>
  <c r="M913" i="2" s="1"/>
  <c r="T913" i="2" s="1"/>
  <c r="K912" i="2"/>
  <c r="M912" i="2" s="1"/>
  <c r="T912" i="2" s="1"/>
  <c r="K911" i="2"/>
  <c r="M911" i="2" s="1"/>
  <c r="T911" i="2" s="1"/>
  <c r="K910" i="2"/>
  <c r="M910" i="2" s="1"/>
  <c r="T910" i="2" s="1"/>
  <c r="K909" i="2"/>
  <c r="M909" i="2" s="1"/>
  <c r="T909" i="2" s="1"/>
  <c r="K908" i="2"/>
  <c r="M908" i="2" s="1"/>
  <c r="T908" i="2" s="1"/>
  <c r="K907" i="2"/>
  <c r="M907" i="2" s="1"/>
  <c r="T907" i="2" s="1"/>
  <c r="K906" i="2"/>
  <c r="M906" i="2" s="1"/>
  <c r="T906" i="2" s="1"/>
  <c r="K905" i="2"/>
  <c r="M905" i="2" s="1"/>
  <c r="T905" i="2" s="1"/>
  <c r="K904" i="2"/>
  <c r="M904" i="2" s="1"/>
  <c r="T904" i="2" s="1"/>
  <c r="K903" i="2"/>
  <c r="M903" i="2" s="1"/>
  <c r="T903" i="2" s="1"/>
  <c r="K902" i="2"/>
  <c r="M902" i="2" s="1"/>
  <c r="T902" i="2" s="1"/>
  <c r="K901" i="2"/>
  <c r="M901" i="2" s="1"/>
  <c r="T901" i="2" s="1"/>
  <c r="K900" i="2"/>
  <c r="M900" i="2" s="1"/>
  <c r="T900" i="2" s="1"/>
  <c r="K899" i="2"/>
  <c r="M899" i="2" s="1"/>
  <c r="T899" i="2" s="1"/>
  <c r="K898" i="2"/>
  <c r="M898" i="2" s="1"/>
  <c r="T898" i="2" s="1"/>
  <c r="K897" i="2"/>
  <c r="M897" i="2" s="1"/>
  <c r="T897" i="2" s="1"/>
  <c r="K896" i="2"/>
  <c r="M896" i="2" s="1"/>
  <c r="T896" i="2" s="1"/>
  <c r="K895" i="2"/>
  <c r="M895" i="2" s="1"/>
  <c r="T895" i="2" s="1"/>
  <c r="K894" i="2"/>
  <c r="M894" i="2" s="1"/>
  <c r="T894" i="2" s="1"/>
  <c r="K893" i="2"/>
  <c r="M893" i="2" s="1"/>
  <c r="T893" i="2" s="1"/>
  <c r="K892" i="2"/>
  <c r="M892" i="2" s="1"/>
  <c r="T892" i="2" s="1"/>
  <c r="K891" i="2"/>
  <c r="M891" i="2" s="1"/>
  <c r="T891" i="2" s="1"/>
  <c r="K890" i="2"/>
  <c r="M890" i="2" s="1"/>
  <c r="T890" i="2" s="1"/>
  <c r="K889" i="2"/>
  <c r="M889" i="2" s="1"/>
  <c r="T889" i="2" s="1"/>
  <c r="K888" i="2"/>
  <c r="M888" i="2" s="1"/>
  <c r="T888" i="2" s="1"/>
  <c r="K887" i="2"/>
  <c r="M887" i="2" s="1"/>
  <c r="T887" i="2" s="1"/>
  <c r="K886" i="2"/>
  <c r="M886" i="2" s="1"/>
  <c r="T886" i="2" s="1"/>
  <c r="K885" i="2"/>
  <c r="M885" i="2" s="1"/>
  <c r="T885" i="2" s="1"/>
  <c r="K884" i="2"/>
  <c r="M884" i="2" s="1"/>
  <c r="T884" i="2" s="1"/>
  <c r="K883" i="2"/>
  <c r="M883" i="2" s="1"/>
  <c r="T883" i="2" s="1"/>
  <c r="K882" i="2"/>
  <c r="M882" i="2" s="1"/>
  <c r="T882" i="2" s="1"/>
  <c r="K881" i="2"/>
  <c r="M881" i="2" s="1"/>
  <c r="T881" i="2" s="1"/>
  <c r="K880" i="2"/>
  <c r="M880" i="2" s="1"/>
  <c r="T880" i="2" s="1"/>
  <c r="K879" i="2"/>
  <c r="M879" i="2" s="1"/>
  <c r="T879" i="2" s="1"/>
  <c r="K878" i="2"/>
  <c r="M878" i="2" s="1"/>
  <c r="T878" i="2" s="1"/>
  <c r="K877" i="2"/>
  <c r="M877" i="2" s="1"/>
  <c r="T877" i="2" s="1"/>
  <c r="K876" i="2"/>
  <c r="M876" i="2" s="1"/>
  <c r="T876" i="2" s="1"/>
  <c r="K875" i="2"/>
  <c r="M875" i="2" s="1"/>
  <c r="T875" i="2" s="1"/>
  <c r="K874" i="2"/>
  <c r="M874" i="2" s="1"/>
  <c r="T874" i="2" s="1"/>
  <c r="K873" i="2"/>
  <c r="M873" i="2" s="1"/>
  <c r="T873" i="2" s="1"/>
  <c r="K872" i="2"/>
  <c r="M872" i="2" s="1"/>
  <c r="T872" i="2" s="1"/>
  <c r="K871" i="2"/>
  <c r="M871" i="2" s="1"/>
  <c r="K870" i="2"/>
  <c r="M870" i="2" s="1"/>
  <c r="T870" i="2" s="1"/>
  <c r="K869" i="2"/>
  <c r="M869" i="2" s="1"/>
  <c r="T869" i="2" s="1"/>
  <c r="K868" i="2"/>
  <c r="M868" i="2" s="1"/>
  <c r="T868" i="2" s="1"/>
  <c r="K867" i="2"/>
  <c r="M867" i="2" s="1"/>
  <c r="T867" i="2" s="1"/>
  <c r="K866" i="2"/>
  <c r="M866" i="2" s="1"/>
  <c r="T866" i="2" s="1"/>
  <c r="K865" i="2"/>
  <c r="M865" i="2" s="1"/>
  <c r="T865" i="2" s="1"/>
  <c r="K864" i="2"/>
  <c r="M864" i="2" s="1"/>
  <c r="T864" i="2" s="1"/>
  <c r="K863" i="2"/>
  <c r="M863" i="2" s="1"/>
  <c r="T863" i="2" s="1"/>
  <c r="K862" i="2"/>
  <c r="M862" i="2" s="1"/>
  <c r="T862" i="2" s="1"/>
  <c r="K861" i="2"/>
  <c r="M861" i="2" s="1"/>
  <c r="T861" i="2" s="1"/>
  <c r="K860" i="2"/>
  <c r="M860" i="2" s="1"/>
  <c r="T860" i="2" s="1"/>
  <c r="K859" i="2"/>
  <c r="M859" i="2" s="1"/>
  <c r="T859" i="2" s="1"/>
  <c r="K858" i="2"/>
  <c r="M858" i="2" s="1"/>
  <c r="T858" i="2" s="1"/>
  <c r="K857" i="2"/>
  <c r="M857" i="2" s="1"/>
  <c r="T857" i="2" s="1"/>
  <c r="K856" i="2"/>
  <c r="M856" i="2" s="1"/>
  <c r="T856" i="2" s="1"/>
  <c r="K855" i="2"/>
  <c r="M855" i="2" s="1"/>
  <c r="T855" i="2" s="1"/>
  <c r="K854" i="2"/>
  <c r="M854" i="2" s="1"/>
  <c r="T854" i="2" s="1"/>
  <c r="K853" i="2"/>
  <c r="M853" i="2" s="1"/>
  <c r="T853" i="2" s="1"/>
  <c r="K852" i="2"/>
  <c r="M852" i="2" s="1"/>
  <c r="T852" i="2" s="1"/>
  <c r="K851" i="2"/>
  <c r="M851" i="2" s="1"/>
  <c r="T851" i="2" s="1"/>
  <c r="K850" i="2"/>
  <c r="M850" i="2" s="1"/>
  <c r="T850" i="2" s="1"/>
  <c r="K849" i="2"/>
  <c r="M849" i="2" s="1"/>
  <c r="T849" i="2" s="1"/>
  <c r="K848" i="2"/>
  <c r="M848" i="2" s="1"/>
  <c r="T848" i="2" s="1"/>
  <c r="K847" i="2"/>
  <c r="M847" i="2" s="1"/>
  <c r="T847" i="2" s="1"/>
  <c r="K846" i="2"/>
  <c r="M846" i="2" s="1"/>
  <c r="T846" i="2" s="1"/>
  <c r="K845" i="2"/>
  <c r="M845" i="2" s="1"/>
  <c r="T845" i="2" s="1"/>
  <c r="K844" i="2"/>
  <c r="M844" i="2" s="1"/>
  <c r="T844" i="2" s="1"/>
  <c r="K843" i="2"/>
  <c r="M843" i="2" s="1"/>
  <c r="T843" i="2" s="1"/>
  <c r="K842" i="2"/>
  <c r="M842" i="2" s="1"/>
  <c r="T842" i="2" s="1"/>
  <c r="K841" i="2"/>
  <c r="M841" i="2" s="1"/>
  <c r="T841" i="2" s="1"/>
  <c r="K840" i="2"/>
  <c r="M840" i="2" s="1"/>
  <c r="T840" i="2" s="1"/>
  <c r="K839" i="2"/>
  <c r="M839" i="2" s="1"/>
  <c r="T839" i="2" s="1"/>
  <c r="K838" i="2"/>
  <c r="M838" i="2" s="1"/>
  <c r="T838" i="2" s="1"/>
  <c r="K837" i="2"/>
  <c r="M837" i="2" s="1"/>
  <c r="T837" i="2" s="1"/>
  <c r="K836" i="2"/>
  <c r="M836" i="2" s="1"/>
  <c r="T836" i="2" s="1"/>
  <c r="K835" i="2"/>
  <c r="M835" i="2" s="1"/>
  <c r="T835" i="2" s="1"/>
  <c r="K834" i="2"/>
  <c r="M834" i="2" s="1"/>
  <c r="T834" i="2" s="1"/>
  <c r="K833" i="2"/>
  <c r="M833" i="2" s="1"/>
  <c r="T833" i="2" s="1"/>
  <c r="K832" i="2"/>
  <c r="M832" i="2" s="1"/>
  <c r="T832" i="2" s="1"/>
  <c r="K831" i="2"/>
  <c r="M831" i="2" s="1"/>
  <c r="T831" i="2" s="1"/>
  <c r="K830" i="2"/>
  <c r="M830" i="2" s="1"/>
  <c r="T830" i="2" s="1"/>
  <c r="K829" i="2"/>
  <c r="M829" i="2" s="1"/>
  <c r="T829" i="2" s="1"/>
  <c r="K828" i="2"/>
  <c r="M828" i="2" s="1"/>
  <c r="T828" i="2" s="1"/>
  <c r="K827" i="2"/>
  <c r="M827" i="2" s="1"/>
  <c r="T827" i="2" s="1"/>
  <c r="K826" i="2"/>
  <c r="M826" i="2" s="1"/>
  <c r="T826" i="2" s="1"/>
  <c r="K825" i="2"/>
  <c r="M825" i="2" s="1"/>
  <c r="T825" i="2" s="1"/>
  <c r="K824" i="2"/>
  <c r="M824" i="2" s="1"/>
  <c r="T824" i="2" s="1"/>
  <c r="K823" i="2"/>
  <c r="M823" i="2" s="1"/>
  <c r="T823" i="2" s="1"/>
  <c r="K822" i="2"/>
  <c r="M822" i="2" s="1"/>
  <c r="T822" i="2" s="1"/>
  <c r="K821" i="2"/>
  <c r="K820" i="2"/>
  <c r="M820" i="2" s="1"/>
  <c r="T820" i="2" s="1"/>
  <c r="K819" i="2"/>
  <c r="M819" i="2" s="1"/>
  <c r="T819" i="2" s="1"/>
  <c r="K818" i="2"/>
  <c r="M818" i="2" s="1"/>
  <c r="T818" i="2" s="1"/>
  <c r="K817" i="2"/>
  <c r="M817" i="2" s="1"/>
  <c r="T817" i="2" s="1"/>
  <c r="K816" i="2"/>
  <c r="M816" i="2" s="1"/>
  <c r="T816" i="2" s="1"/>
  <c r="K815" i="2"/>
  <c r="M815" i="2" s="1"/>
  <c r="T815" i="2" s="1"/>
  <c r="K814" i="2"/>
  <c r="M814" i="2" s="1"/>
  <c r="T814" i="2" s="1"/>
  <c r="K813" i="2"/>
  <c r="M813" i="2" s="1"/>
  <c r="T813" i="2" s="1"/>
  <c r="K812" i="2"/>
  <c r="M812" i="2" s="1"/>
  <c r="T812" i="2" s="1"/>
  <c r="K811" i="2"/>
  <c r="M811" i="2" s="1"/>
  <c r="T811" i="2" s="1"/>
  <c r="K810" i="2"/>
  <c r="M810" i="2" s="1"/>
  <c r="T810" i="2" s="1"/>
  <c r="K809" i="2"/>
  <c r="M809" i="2" s="1"/>
  <c r="T809" i="2" s="1"/>
  <c r="K808" i="2"/>
  <c r="M808" i="2" s="1"/>
  <c r="T808" i="2" s="1"/>
  <c r="K807" i="2"/>
  <c r="M807" i="2" s="1"/>
  <c r="T807" i="2" s="1"/>
  <c r="K806" i="2"/>
  <c r="M806" i="2" s="1"/>
  <c r="T806" i="2" s="1"/>
  <c r="K805" i="2"/>
  <c r="M805" i="2" s="1"/>
  <c r="T805" i="2" s="1"/>
  <c r="K804" i="2"/>
  <c r="M804" i="2" s="1"/>
  <c r="T804" i="2" s="1"/>
  <c r="K803" i="2"/>
  <c r="M803" i="2" s="1"/>
  <c r="T803" i="2" s="1"/>
  <c r="K802" i="2"/>
  <c r="M802" i="2" s="1"/>
  <c r="T802" i="2" s="1"/>
  <c r="K801" i="2"/>
  <c r="M801" i="2" s="1"/>
  <c r="T801" i="2" s="1"/>
  <c r="K800" i="2"/>
  <c r="M800" i="2" s="1"/>
  <c r="T800" i="2" s="1"/>
  <c r="K799" i="2"/>
  <c r="M799" i="2" s="1"/>
  <c r="T799" i="2" s="1"/>
  <c r="K798" i="2"/>
  <c r="M798" i="2" s="1"/>
  <c r="T798" i="2" s="1"/>
  <c r="K797" i="2"/>
  <c r="M797" i="2" s="1"/>
  <c r="T797" i="2" s="1"/>
  <c r="K796" i="2"/>
  <c r="M796" i="2" s="1"/>
  <c r="T796" i="2" s="1"/>
  <c r="K795" i="2"/>
  <c r="M795" i="2" s="1"/>
  <c r="T795" i="2" s="1"/>
  <c r="K794" i="2"/>
  <c r="M794" i="2" s="1"/>
  <c r="T794" i="2" s="1"/>
  <c r="K793" i="2"/>
  <c r="M793" i="2" s="1"/>
  <c r="T793" i="2" s="1"/>
  <c r="K792" i="2"/>
  <c r="M792" i="2" s="1"/>
  <c r="T792" i="2" s="1"/>
  <c r="K791" i="2"/>
  <c r="M791" i="2" s="1"/>
  <c r="T791" i="2" s="1"/>
  <c r="K790" i="2"/>
  <c r="M790" i="2" s="1"/>
  <c r="T790" i="2" s="1"/>
  <c r="K789" i="2"/>
  <c r="M789" i="2" s="1"/>
  <c r="T789" i="2" s="1"/>
  <c r="K788" i="2"/>
  <c r="M788" i="2" s="1"/>
  <c r="T788" i="2" s="1"/>
  <c r="K787" i="2"/>
  <c r="M787" i="2" s="1"/>
  <c r="T787" i="2" s="1"/>
  <c r="K786" i="2"/>
  <c r="M786" i="2" s="1"/>
  <c r="T786" i="2" s="1"/>
  <c r="K785" i="2"/>
  <c r="M785" i="2" s="1"/>
  <c r="T785" i="2" s="1"/>
  <c r="K784" i="2"/>
  <c r="M784" i="2" s="1"/>
  <c r="T784" i="2" s="1"/>
  <c r="K783" i="2"/>
  <c r="M783" i="2" s="1"/>
  <c r="T783" i="2" s="1"/>
  <c r="K782" i="2"/>
  <c r="M782" i="2" s="1"/>
  <c r="T782" i="2" s="1"/>
  <c r="K781" i="2"/>
  <c r="M781" i="2" s="1"/>
  <c r="T781" i="2" s="1"/>
  <c r="K780" i="2"/>
  <c r="M780" i="2" s="1"/>
  <c r="T780" i="2" s="1"/>
  <c r="K779" i="2"/>
  <c r="M779" i="2" s="1"/>
  <c r="T779" i="2" s="1"/>
  <c r="K778" i="2"/>
  <c r="M778" i="2" s="1"/>
  <c r="T778" i="2" s="1"/>
  <c r="K777" i="2"/>
  <c r="M777" i="2" s="1"/>
  <c r="T777" i="2" s="1"/>
  <c r="K776" i="2"/>
  <c r="M776" i="2" s="1"/>
  <c r="T776" i="2" s="1"/>
  <c r="K775" i="2"/>
  <c r="M775" i="2" s="1"/>
  <c r="T775" i="2" s="1"/>
  <c r="K774" i="2"/>
  <c r="M774" i="2" s="1"/>
  <c r="T774" i="2" s="1"/>
  <c r="K773" i="2"/>
  <c r="M773" i="2" s="1"/>
  <c r="T773" i="2" s="1"/>
  <c r="K772" i="2"/>
  <c r="M772" i="2" s="1"/>
  <c r="T772" i="2" s="1"/>
  <c r="K771" i="2"/>
  <c r="M771" i="2" s="1"/>
  <c r="T771" i="2" s="1"/>
  <c r="K770" i="2"/>
  <c r="M770" i="2" s="1"/>
  <c r="T770" i="2" s="1"/>
  <c r="K769" i="2"/>
  <c r="M769" i="2" s="1"/>
  <c r="T769" i="2" s="1"/>
  <c r="K768" i="2"/>
  <c r="M768" i="2" s="1"/>
  <c r="T768" i="2" s="1"/>
  <c r="K767" i="2"/>
  <c r="M767" i="2" s="1"/>
  <c r="T767" i="2" s="1"/>
  <c r="K766" i="2"/>
  <c r="M766" i="2" s="1"/>
  <c r="T766" i="2" s="1"/>
  <c r="K765" i="2"/>
  <c r="M765" i="2" s="1"/>
  <c r="T765" i="2" s="1"/>
  <c r="K764" i="2"/>
  <c r="M764" i="2" s="1"/>
  <c r="T764" i="2" s="1"/>
  <c r="K763" i="2"/>
  <c r="M763" i="2" s="1"/>
  <c r="T763" i="2" s="1"/>
  <c r="K762" i="2"/>
  <c r="M762" i="2" s="1"/>
  <c r="T762" i="2" s="1"/>
  <c r="K761" i="2"/>
  <c r="M761" i="2" s="1"/>
  <c r="T761" i="2" s="1"/>
  <c r="K760" i="2"/>
  <c r="M760" i="2" s="1"/>
  <c r="T760" i="2" s="1"/>
  <c r="K759" i="2"/>
  <c r="M759" i="2" s="1"/>
  <c r="T759" i="2" s="1"/>
  <c r="K758" i="2"/>
  <c r="M758" i="2" s="1"/>
  <c r="T758" i="2" s="1"/>
  <c r="K757" i="2"/>
  <c r="M757" i="2" s="1"/>
  <c r="T757" i="2" s="1"/>
  <c r="K756" i="2"/>
  <c r="M756" i="2" s="1"/>
  <c r="T756" i="2" s="1"/>
  <c r="K755" i="2"/>
  <c r="M755" i="2" s="1"/>
  <c r="T755" i="2" s="1"/>
  <c r="K754" i="2"/>
  <c r="M754" i="2" s="1"/>
  <c r="T754" i="2" s="1"/>
  <c r="K753" i="2"/>
  <c r="M753" i="2" s="1"/>
  <c r="T753" i="2" s="1"/>
  <c r="K752" i="2"/>
  <c r="M752" i="2" s="1"/>
  <c r="T752" i="2" s="1"/>
  <c r="K751" i="2"/>
  <c r="M751" i="2" s="1"/>
  <c r="T751" i="2" s="1"/>
  <c r="K750" i="2"/>
  <c r="M750" i="2" s="1"/>
  <c r="T750" i="2" s="1"/>
  <c r="K749" i="2"/>
  <c r="M749" i="2" s="1"/>
  <c r="T749" i="2" s="1"/>
  <c r="K748" i="2"/>
  <c r="M748" i="2" s="1"/>
  <c r="T748" i="2" s="1"/>
  <c r="K747" i="2"/>
  <c r="M747" i="2" s="1"/>
  <c r="T747" i="2" s="1"/>
  <c r="K746" i="2"/>
  <c r="M746" i="2" s="1"/>
  <c r="T746" i="2" s="1"/>
  <c r="K745" i="2"/>
  <c r="M745" i="2" s="1"/>
  <c r="T745" i="2" s="1"/>
  <c r="K744" i="2"/>
  <c r="M744" i="2" s="1"/>
  <c r="T744" i="2" s="1"/>
  <c r="K743" i="2"/>
  <c r="M743" i="2" s="1"/>
  <c r="T743" i="2" s="1"/>
  <c r="K742" i="2"/>
  <c r="M742" i="2" s="1"/>
  <c r="T742" i="2" s="1"/>
  <c r="K741" i="2"/>
  <c r="M741" i="2" s="1"/>
  <c r="T741" i="2" s="1"/>
  <c r="K740" i="2"/>
  <c r="M740" i="2" s="1"/>
  <c r="T740" i="2" s="1"/>
  <c r="K739" i="2"/>
  <c r="M739" i="2" s="1"/>
  <c r="T739" i="2" s="1"/>
  <c r="K738" i="2"/>
  <c r="M738" i="2" s="1"/>
  <c r="T738" i="2" s="1"/>
  <c r="K737" i="2"/>
  <c r="M737" i="2" s="1"/>
  <c r="T737" i="2" s="1"/>
  <c r="K736" i="2"/>
  <c r="M736" i="2" s="1"/>
  <c r="T736" i="2" s="1"/>
  <c r="K735" i="2"/>
  <c r="M735" i="2" s="1"/>
  <c r="T735" i="2" s="1"/>
  <c r="K734" i="2"/>
  <c r="M734" i="2" s="1"/>
  <c r="T734" i="2" s="1"/>
  <c r="K733" i="2"/>
  <c r="M733" i="2" s="1"/>
  <c r="T733" i="2" s="1"/>
  <c r="K732" i="2"/>
  <c r="M732" i="2" s="1"/>
  <c r="T732" i="2" s="1"/>
  <c r="K731" i="2"/>
  <c r="M731" i="2" s="1"/>
  <c r="T731" i="2" s="1"/>
  <c r="K730" i="2"/>
  <c r="M730" i="2" s="1"/>
  <c r="T730" i="2" s="1"/>
  <c r="K729" i="2"/>
  <c r="M729" i="2" s="1"/>
  <c r="T729" i="2" s="1"/>
  <c r="K728" i="2"/>
  <c r="M728" i="2" s="1"/>
  <c r="T728" i="2" s="1"/>
  <c r="K727" i="2"/>
  <c r="M727" i="2" s="1"/>
  <c r="T727" i="2" s="1"/>
  <c r="K726" i="2"/>
  <c r="M726" i="2" s="1"/>
  <c r="T726" i="2" s="1"/>
  <c r="K725" i="2"/>
  <c r="M725" i="2" s="1"/>
  <c r="T725" i="2" s="1"/>
  <c r="K724" i="2"/>
  <c r="M724" i="2" s="1"/>
  <c r="T724" i="2" s="1"/>
  <c r="K723" i="2"/>
  <c r="M723" i="2" s="1"/>
  <c r="T723" i="2" s="1"/>
  <c r="K722" i="2"/>
  <c r="M722" i="2" s="1"/>
  <c r="T722" i="2" s="1"/>
  <c r="K721" i="2"/>
  <c r="M721" i="2" s="1"/>
  <c r="T721" i="2" s="1"/>
  <c r="K720" i="2"/>
  <c r="M720" i="2" s="1"/>
  <c r="T720" i="2" s="1"/>
  <c r="K719" i="2"/>
  <c r="M719" i="2" s="1"/>
  <c r="T719" i="2" s="1"/>
  <c r="K718" i="2"/>
  <c r="M718" i="2" s="1"/>
  <c r="T718" i="2" s="1"/>
  <c r="K717" i="2"/>
  <c r="M717" i="2" s="1"/>
  <c r="T717" i="2" s="1"/>
  <c r="K716" i="2"/>
  <c r="M716" i="2" s="1"/>
  <c r="T716" i="2" s="1"/>
  <c r="K715" i="2"/>
  <c r="M715" i="2" s="1"/>
  <c r="T715" i="2" s="1"/>
  <c r="K714" i="2"/>
  <c r="M714" i="2" s="1"/>
  <c r="T714" i="2" s="1"/>
  <c r="K713" i="2"/>
  <c r="M713" i="2" s="1"/>
  <c r="T713" i="2" s="1"/>
  <c r="K712" i="2"/>
  <c r="M712" i="2" s="1"/>
  <c r="T712" i="2" s="1"/>
  <c r="K711" i="2"/>
  <c r="M711" i="2" s="1"/>
  <c r="T711" i="2" s="1"/>
  <c r="K710" i="2"/>
  <c r="M710" i="2" s="1"/>
  <c r="T710" i="2" s="1"/>
  <c r="K709" i="2"/>
  <c r="M709" i="2" s="1"/>
  <c r="T709" i="2" s="1"/>
  <c r="K708" i="2"/>
  <c r="M708" i="2" s="1"/>
  <c r="T708" i="2" s="1"/>
  <c r="K707" i="2"/>
  <c r="M707" i="2" s="1"/>
  <c r="T707" i="2" s="1"/>
  <c r="K706" i="2"/>
  <c r="M706" i="2" s="1"/>
  <c r="T706" i="2" s="1"/>
  <c r="K705" i="2"/>
  <c r="M705" i="2" s="1"/>
  <c r="T705" i="2" s="1"/>
  <c r="K704" i="2"/>
  <c r="M704" i="2" s="1"/>
  <c r="T704" i="2" s="1"/>
  <c r="K703" i="2"/>
  <c r="M703" i="2" s="1"/>
  <c r="T703" i="2" s="1"/>
  <c r="K702" i="2"/>
  <c r="M702" i="2" s="1"/>
  <c r="T702" i="2" s="1"/>
  <c r="K701" i="2"/>
  <c r="M701" i="2" s="1"/>
  <c r="T701" i="2" s="1"/>
  <c r="K700" i="2"/>
  <c r="M700" i="2" s="1"/>
  <c r="T700" i="2" s="1"/>
  <c r="K699" i="2"/>
  <c r="M699" i="2" s="1"/>
  <c r="T699" i="2" s="1"/>
  <c r="K698" i="2"/>
  <c r="M698" i="2" s="1"/>
  <c r="T698" i="2" s="1"/>
  <c r="K697" i="2"/>
  <c r="M697" i="2" s="1"/>
  <c r="T697" i="2" s="1"/>
  <c r="K696" i="2"/>
  <c r="M696" i="2" s="1"/>
  <c r="T696" i="2" s="1"/>
  <c r="K695" i="2"/>
  <c r="M695" i="2" s="1"/>
  <c r="T695" i="2" s="1"/>
  <c r="K694" i="2"/>
  <c r="M694" i="2" s="1"/>
  <c r="T694" i="2" s="1"/>
  <c r="K693" i="2"/>
  <c r="M693" i="2" s="1"/>
  <c r="T693" i="2" s="1"/>
  <c r="K692" i="2"/>
  <c r="M692" i="2" s="1"/>
  <c r="T692" i="2" s="1"/>
  <c r="K691" i="2"/>
  <c r="M691" i="2" s="1"/>
  <c r="T691" i="2" s="1"/>
  <c r="K690" i="2"/>
  <c r="M690" i="2" s="1"/>
  <c r="T690" i="2" s="1"/>
  <c r="K689" i="2"/>
  <c r="M689" i="2" s="1"/>
  <c r="T689" i="2" s="1"/>
  <c r="K688" i="2"/>
  <c r="M688" i="2" s="1"/>
  <c r="T688" i="2" s="1"/>
  <c r="K687" i="2"/>
  <c r="M687" i="2" s="1"/>
  <c r="T687" i="2" s="1"/>
  <c r="K686" i="2"/>
  <c r="M686" i="2" s="1"/>
  <c r="T686" i="2" s="1"/>
  <c r="K685" i="2"/>
  <c r="M685" i="2" s="1"/>
  <c r="T685" i="2" s="1"/>
  <c r="K684" i="2"/>
  <c r="M684" i="2" s="1"/>
  <c r="T684" i="2" s="1"/>
  <c r="K683" i="2"/>
  <c r="M683" i="2" s="1"/>
  <c r="T683" i="2" s="1"/>
  <c r="K682" i="2"/>
  <c r="M682" i="2" s="1"/>
  <c r="T682" i="2" s="1"/>
  <c r="K681" i="2"/>
  <c r="M681" i="2" s="1"/>
  <c r="T681" i="2" s="1"/>
  <c r="K680" i="2"/>
  <c r="M680" i="2" s="1"/>
  <c r="T680" i="2" s="1"/>
  <c r="K679" i="2"/>
  <c r="M679" i="2" s="1"/>
  <c r="T679" i="2" s="1"/>
  <c r="K678" i="2"/>
  <c r="M678" i="2" s="1"/>
  <c r="T678" i="2" s="1"/>
  <c r="K677" i="2"/>
  <c r="M677" i="2" s="1"/>
  <c r="T677" i="2" s="1"/>
  <c r="K676" i="2"/>
  <c r="M676" i="2" s="1"/>
  <c r="T676" i="2" s="1"/>
  <c r="K675" i="2"/>
  <c r="M675" i="2" s="1"/>
  <c r="T675" i="2" s="1"/>
  <c r="K674" i="2"/>
  <c r="M674" i="2" s="1"/>
  <c r="T674" i="2" s="1"/>
  <c r="K673" i="2"/>
  <c r="M673" i="2" s="1"/>
  <c r="T673" i="2" s="1"/>
  <c r="K672" i="2"/>
  <c r="M672" i="2" s="1"/>
  <c r="T672" i="2" s="1"/>
  <c r="K671" i="2"/>
  <c r="M671" i="2" s="1"/>
  <c r="T671" i="2" s="1"/>
  <c r="K670" i="2"/>
  <c r="M670" i="2" s="1"/>
  <c r="T670" i="2" s="1"/>
  <c r="K669" i="2"/>
  <c r="M669" i="2" s="1"/>
  <c r="T669" i="2" s="1"/>
  <c r="K668" i="2"/>
  <c r="M668" i="2" s="1"/>
  <c r="T668" i="2" s="1"/>
  <c r="K667" i="2"/>
  <c r="M667" i="2" s="1"/>
  <c r="T667" i="2" s="1"/>
  <c r="K666" i="2"/>
  <c r="M666" i="2" s="1"/>
  <c r="T666" i="2" s="1"/>
  <c r="K665" i="2"/>
  <c r="M665" i="2" s="1"/>
  <c r="T665" i="2" s="1"/>
  <c r="K664" i="2"/>
  <c r="M664" i="2" s="1"/>
  <c r="T664" i="2" s="1"/>
  <c r="K663" i="2"/>
  <c r="M663" i="2" s="1"/>
  <c r="T663" i="2" s="1"/>
  <c r="K662" i="2"/>
  <c r="M662" i="2" s="1"/>
  <c r="T662" i="2" s="1"/>
  <c r="K661" i="2"/>
  <c r="M661" i="2" s="1"/>
  <c r="T661" i="2" s="1"/>
  <c r="K660" i="2"/>
  <c r="M660" i="2" s="1"/>
  <c r="T660" i="2" s="1"/>
  <c r="K659" i="2"/>
  <c r="M659" i="2" s="1"/>
  <c r="T659" i="2" s="1"/>
  <c r="K658" i="2"/>
  <c r="M658" i="2" s="1"/>
  <c r="T658" i="2" s="1"/>
  <c r="K657" i="2"/>
  <c r="M657" i="2" s="1"/>
  <c r="T657" i="2" s="1"/>
  <c r="K656" i="2"/>
  <c r="M656" i="2" s="1"/>
  <c r="T656" i="2" s="1"/>
  <c r="K655" i="2"/>
  <c r="M655" i="2" s="1"/>
  <c r="T655" i="2" s="1"/>
  <c r="K654" i="2"/>
  <c r="M654" i="2" s="1"/>
  <c r="T654" i="2" s="1"/>
  <c r="K653" i="2"/>
  <c r="M653" i="2" s="1"/>
  <c r="T653" i="2" s="1"/>
  <c r="K652" i="2"/>
  <c r="M652" i="2" s="1"/>
  <c r="T652" i="2" s="1"/>
  <c r="K651" i="2"/>
  <c r="M651" i="2" s="1"/>
  <c r="T651" i="2" s="1"/>
  <c r="K650" i="2"/>
  <c r="M650" i="2" s="1"/>
  <c r="T650" i="2" s="1"/>
  <c r="K649" i="2"/>
  <c r="M649" i="2" s="1"/>
  <c r="T649" i="2" s="1"/>
  <c r="K648" i="2"/>
  <c r="M648" i="2" s="1"/>
  <c r="T648" i="2" s="1"/>
  <c r="K647" i="2"/>
  <c r="M647" i="2" s="1"/>
  <c r="T647" i="2" s="1"/>
  <c r="K646" i="2"/>
  <c r="M646" i="2" s="1"/>
  <c r="T646" i="2" s="1"/>
  <c r="K645" i="2"/>
  <c r="M645" i="2" s="1"/>
  <c r="T645" i="2" s="1"/>
  <c r="K644" i="2"/>
  <c r="M644" i="2" s="1"/>
  <c r="T644" i="2" s="1"/>
  <c r="K643" i="2"/>
  <c r="M643" i="2" s="1"/>
  <c r="T643" i="2" s="1"/>
  <c r="K642" i="2"/>
  <c r="M642" i="2" s="1"/>
  <c r="T642" i="2" s="1"/>
  <c r="K641" i="2"/>
  <c r="M641" i="2" s="1"/>
  <c r="T641" i="2" s="1"/>
  <c r="K640" i="2"/>
  <c r="M640" i="2" s="1"/>
  <c r="T640" i="2" s="1"/>
  <c r="K639" i="2"/>
  <c r="M639" i="2" s="1"/>
  <c r="T639" i="2" s="1"/>
  <c r="K638" i="2"/>
  <c r="M638" i="2" s="1"/>
  <c r="T638" i="2" s="1"/>
  <c r="K637" i="2"/>
  <c r="M637" i="2" s="1"/>
  <c r="T637" i="2" s="1"/>
  <c r="K636" i="2"/>
  <c r="M636" i="2" s="1"/>
  <c r="T636" i="2" s="1"/>
  <c r="K635" i="2"/>
  <c r="M635" i="2" s="1"/>
  <c r="T635" i="2" s="1"/>
  <c r="K634" i="2"/>
  <c r="M634" i="2" s="1"/>
  <c r="T634" i="2" s="1"/>
  <c r="K633" i="2"/>
  <c r="M633" i="2" s="1"/>
  <c r="T633" i="2" s="1"/>
  <c r="K632" i="2"/>
  <c r="M632" i="2" s="1"/>
  <c r="T632" i="2" s="1"/>
  <c r="K631" i="2"/>
  <c r="M631" i="2" s="1"/>
  <c r="T631" i="2" s="1"/>
  <c r="K630" i="2"/>
  <c r="M630" i="2" s="1"/>
  <c r="T630" i="2" s="1"/>
  <c r="K629" i="2"/>
  <c r="M629" i="2" s="1"/>
  <c r="T629" i="2" s="1"/>
  <c r="K628" i="2"/>
  <c r="M628" i="2" s="1"/>
  <c r="T628" i="2" s="1"/>
  <c r="K627" i="2"/>
  <c r="M627" i="2" s="1"/>
  <c r="T627" i="2" s="1"/>
  <c r="K626" i="2"/>
  <c r="M626" i="2" s="1"/>
  <c r="T626" i="2" s="1"/>
  <c r="K625" i="2"/>
  <c r="M625" i="2" s="1"/>
  <c r="T625" i="2" s="1"/>
  <c r="K624" i="2"/>
  <c r="M624" i="2" s="1"/>
  <c r="T624" i="2" s="1"/>
  <c r="K623" i="2"/>
  <c r="M623" i="2" s="1"/>
  <c r="T623" i="2" s="1"/>
  <c r="K622" i="2"/>
  <c r="M622" i="2" s="1"/>
  <c r="T622" i="2" s="1"/>
  <c r="K621" i="2"/>
  <c r="M621" i="2" s="1"/>
  <c r="T621" i="2" s="1"/>
  <c r="K620" i="2"/>
  <c r="M620" i="2" s="1"/>
  <c r="T620" i="2" s="1"/>
  <c r="K619" i="2"/>
  <c r="M619" i="2" s="1"/>
  <c r="T619" i="2" s="1"/>
  <c r="K618" i="2"/>
  <c r="M618" i="2" s="1"/>
  <c r="T618" i="2" s="1"/>
  <c r="K617" i="2"/>
  <c r="M617" i="2" s="1"/>
  <c r="T617" i="2" s="1"/>
  <c r="K616" i="2"/>
  <c r="M616" i="2" s="1"/>
  <c r="T616" i="2" s="1"/>
  <c r="K615" i="2"/>
  <c r="M615" i="2" s="1"/>
  <c r="T615" i="2" s="1"/>
  <c r="K614" i="2"/>
  <c r="M614" i="2" s="1"/>
  <c r="T614" i="2" s="1"/>
  <c r="K613" i="2"/>
  <c r="M613" i="2" s="1"/>
  <c r="T613" i="2" s="1"/>
  <c r="K612" i="2"/>
  <c r="M612" i="2" s="1"/>
  <c r="T612" i="2" s="1"/>
  <c r="K611" i="2"/>
  <c r="M611" i="2" s="1"/>
  <c r="T611" i="2" s="1"/>
  <c r="K610" i="2"/>
  <c r="M610" i="2" s="1"/>
  <c r="T610" i="2" s="1"/>
  <c r="K609" i="2"/>
  <c r="M609" i="2" s="1"/>
  <c r="T609" i="2" s="1"/>
  <c r="K608" i="2"/>
  <c r="M608" i="2" s="1"/>
  <c r="T608" i="2" s="1"/>
  <c r="K607" i="2"/>
  <c r="M607" i="2" s="1"/>
  <c r="T607" i="2" s="1"/>
  <c r="K606" i="2"/>
  <c r="M606" i="2" s="1"/>
  <c r="T606" i="2" s="1"/>
  <c r="K605" i="2"/>
  <c r="M605" i="2" s="1"/>
  <c r="T605" i="2" s="1"/>
  <c r="K604" i="2"/>
  <c r="M604" i="2" s="1"/>
  <c r="T604" i="2" s="1"/>
  <c r="K603" i="2"/>
  <c r="M603" i="2" s="1"/>
  <c r="T603" i="2" s="1"/>
  <c r="K602" i="2"/>
  <c r="M602" i="2" s="1"/>
  <c r="T602" i="2" s="1"/>
  <c r="K601" i="2"/>
  <c r="M601" i="2" s="1"/>
  <c r="T601" i="2" s="1"/>
  <c r="K600" i="2"/>
  <c r="M600" i="2" s="1"/>
  <c r="T600" i="2" s="1"/>
  <c r="K599" i="2"/>
  <c r="M599" i="2" s="1"/>
  <c r="T599" i="2" s="1"/>
  <c r="K598" i="2"/>
  <c r="M598" i="2" s="1"/>
  <c r="T598" i="2" s="1"/>
  <c r="K597" i="2"/>
  <c r="M597" i="2" s="1"/>
  <c r="T597" i="2" s="1"/>
  <c r="K596" i="2"/>
  <c r="M596" i="2" s="1"/>
  <c r="T596" i="2" s="1"/>
  <c r="K595" i="2"/>
  <c r="M595" i="2" s="1"/>
  <c r="T595" i="2" s="1"/>
  <c r="K594" i="2"/>
  <c r="M594" i="2" s="1"/>
  <c r="T594" i="2" s="1"/>
  <c r="K593" i="2"/>
  <c r="M593" i="2" s="1"/>
  <c r="T593" i="2" s="1"/>
  <c r="K592" i="2"/>
  <c r="M592" i="2" s="1"/>
  <c r="T592" i="2" s="1"/>
  <c r="K591" i="2"/>
  <c r="M591" i="2" s="1"/>
  <c r="T591" i="2" s="1"/>
  <c r="K590" i="2"/>
  <c r="M590" i="2" s="1"/>
  <c r="T590" i="2" s="1"/>
  <c r="K589" i="2"/>
  <c r="M589" i="2" s="1"/>
  <c r="T589" i="2" s="1"/>
  <c r="K588" i="2"/>
  <c r="M588" i="2" s="1"/>
  <c r="T588" i="2" s="1"/>
  <c r="K587" i="2"/>
  <c r="M587" i="2" s="1"/>
  <c r="T587" i="2" s="1"/>
  <c r="K586" i="2"/>
  <c r="M586" i="2" s="1"/>
  <c r="T586" i="2" s="1"/>
  <c r="K585" i="2"/>
  <c r="M585" i="2" s="1"/>
  <c r="T585" i="2" s="1"/>
  <c r="K584" i="2"/>
  <c r="M584" i="2" s="1"/>
  <c r="T584" i="2" s="1"/>
  <c r="K583" i="2"/>
  <c r="M583" i="2" s="1"/>
  <c r="T583" i="2" s="1"/>
  <c r="K582" i="2"/>
  <c r="M582" i="2" s="1"/>
  <c r="T582" i="2" s="1"/>
  <c r="K581" i="2"/>
  <c r="M581" i="2" s="1"/>
  <c r="T581" i="2" s="1"/>
  <c r="K580" i="2"/>
  <c r="M580" i="2" s="1"/>
  <c r="T580" i="2" s="1"/>
  <c r="K579" i="2"/>
  <c r="M579" i="2" s="1"/>
  <c r="T579" i="2" s="1"/>
  <c r="K578" i="2"/>
  <c r="M578" i="2" s="1"/>
  <c r="T578" i="2" s="1"/>
  <c r="K577" i="2"/>
  <c r="M577" i="2" s="1"/>
  <c r="T577" i="2" s="1"/>
  <c r="K576" i="2"/>
  <c r="M576" i="2" s="1"/>
  <c r="T576" i="2" s="1"/>
  <c r="K575" i="2"/>
  <c r="M575" i="2" s="1"/>
  <c r="T575" i="2" s="1"/>
  <c r="K574" i="2"/>
  <c r="M574" i="2" s="1"/>
  <c r="T574" i="2" s="1"/>
  <c r="K573" i="2"/>
  <c r="M573" i="2" s="1"/>
  <c r="T573" i="2" s="1"/>
  <c r="K572" i="2"/>
  <c r="M572" i="2" s="1"/>
  <c r="T572" i="2" s="1"/>
  <c r="K571" i="2"/>
  <c r="M571" i="2" s="1"/>
  <c r="T571" i="2" s="1"/>
  <c r="K570" i="2"/>
  <c r="M570" i="2" s="1"/>
  <c r="T570" i="2" s="1"/>
  <c r="K569" i="2"/>
  <c r="M569" i="2" s="1"/>
  <c r="T569" i="2" s="1"/>
  <c r="K568" i="2"/>
  <c r="M568" i="2" s="1"/>
  <c r="T568" i="2" s="1"/>
  <c r="K567" i="2"/>
  <c r="M567" i="2" s="1"/>
  <c r="T567" i="2" s="1"/>
  <c r="K566" i="2"/>
  <c r="M566" i="2" s="1"/>
  <c r="T566" i="2" s="1"/>
  <c r="K565" i="2"/>
  <c r="M565" i="2" s="1"/>
  <c r="T565" i="2" s="1"/>
  <c r="K564" i="2"/>
  <c r="M564" i="2" s="1"/>
  <c r="T564" i="2" s="1"/>
  <c r="K563" i="2"/>
  <c r="M563" i="2" s="1"/>
  <c r="T563" i="2" s="1"/>
  <c r="K562" i="2"/>
  <c r="M562" i="2" s="1"/>
  <c r="T562" i="2" s="1"/>
  <c r="K561" i="2"/>
  <c r="M561" i="2" s="1"/>
  <c r="T561" i="2" s="1"/>
  <c r="K560" i="2"/>
  <c r="M560" i="2" s="1"/>
  <c r="T560" i="2" s="1"/>
  <c r="K559" i="2"/>
  <c r="M559" i="2" s="1"/>
  <c r="T559" i="2" s="1"/>
  <c r="K558" i="2"/>
  <c r="M558" i="2" s="1"/>
  <c r="T558" i="2" s="1"/>
  <c r="K557" i="2"/>
  <c r="M557" i="2" s="1"/>
  <c r="T557" i="2" s="1"/>
  <c r="K556" i="2"/>
  <c r="M556" i="2" s="1"/>
  <c r="T556" i="2" s="1"/>
  <c r="K555" i="2"/>
  <c r="M555" i="2" s="1"/>
  <c r="T555" i="2" s="1"/>
  <c r="K554" i="2"/>
  <c r="M554" i="2" s="1"/>
  <c r="T554" i="2" s="1"/>
  <c r="K553" i="2"/>
  <c r="M553" i="2" s="1"/>
  <c r="T553" i="2" s="1"/>
  <c r="K552" i="2"/>
  <c r="M552" i="2" s="1"/>
  <c r="T552" i="2" s="1"/>
  <c r="K551" i="2"/>
  <c r="M551" i="2" s="1"/>
  <c r="T551" i="2" s="1"/>
  <c r="K550" i="2"/>
  <c r="M550" i="2" s="1"/>
  <c r="T550" i="2" s="1"/>
  <c r="K549" i="2"/>
  <c r="M549" i="2" s="1"/>
  <c r="T549" i="2" s="1"/>
  <c r="K548" i="2"/>
  <c r="M548" i="2" s="1"/>
  <c r="T548" i="2" s="1"/>
  <c r="K547" i="2"/>
  <c r="M547" i="2" s="1"/>
  <c r="T547" i="2" s="1"/>
  <c r="K546" i="2"/>
  <c r="M546" i="2" s="1"/>
  <c r="T546" i="2" s="1"/>
  <c r="K545" i="2"/>
  <c r="M545" i="2" s="1"/>
  <c r="T545" i="2" s="1"/>
  <c r="K544" i="2"/>
  <c r="M544" i="2" s="1"/>
  <c r="T544" i="2" s="1"/>
  <c r="K543" i="2"/>
  <c r="M543" i="2" s="1"/>
  <c r="T543" i="2" s="1"/>
  <c r="K542" i="2"/>
  <c r="M542" i="2" s="1"/>
  <c r="T542" i="2" s="1"/>
  <c r="K541" i="2"/>
  <c r="M541" i="2" s="1"/>
  <c r="T541" i="2" s="1"/>
  <c r="K540" i="2"/>
  <c r="M540" i="2" s="1"/>
  <c r="T540" i="2" s="1"/>
  <c r="K539" i="2"/>
  <c r="M539" i="2" s="1"/>
  <c r="T539" i="2" s="1"/>
  <c r="K538" i="2"/>
  <c r="M538" i="2" s="1"/>
  <c r="T538" i="2" s="1"/>
  <c r="K537" i="2"/>
  <c r="M537" i="2" s="1"/>
  <c r="T537" i="2" s="1"/>
  <c r="K536" i="2"/>
  <c r="M536" i="2" s="1"/>
  <c r="T536" i="2" s="1"/>
  <c r="K535" i="2"/>
  <c r="M535" i="2" s="1"/>
  <c r="T535" i="2" s="1"/>
  <c r="K534" i="2"/>
  <c r="M534" i="2" s="1"/>
  <c r="T534" i="2" s="1"/>
  <c r="K533" i="2"/>
  <c r="M533" i="2" s="1"/>
  <c r="T533" i="2" s="1"/>
  <c r="K532" i="2"/>
  <c r="M532" i="2" s="1"/>
  <c r="T532" i="2" s="1"/>
  <c r="K531" i="2"/>
  <c r="M531" i="2" s="1"/>
  <c r="T531" i="2" s="1"/>
  <c r="K530" i="2"/>
  <c r="M530" i="2" s="1"/>
  <c r="T530" i="2" s="1"/>
  <c r="K529" i="2"/>
  <c r="M529" i="2" s="1"/>
  <c r="T529" i="2" s="1"/>
  <c r="K528" i="2"/>
  <c r="M528" i="2" s="1"/>
  <c r="T528" i="2" s="1"/>
  <c r="K527" i="2"/>
  <c r="M527" i="2" s="1"/>
  <c r="T527" i="2" s="1"/>
  <c r="K526" i="2"/>
  <c r="M526" i="2" s="1"/>
  <c r="T526" i="2" s="1"/>
  <c r="K525" i="2"/>
  <c r="M525" i="2" s="1"/>
  <c r="T525" i="2" s="1"/>
  <c r="K524" i="2"/>
  <c r="M524" i="2" s="1"/>
  <c r="T524" i="2" s="1"/>
  <c r="K523" i="2"/>
  <c r="M523" i="2" s="1"/>
  <c r="T523" i="2" s="1"/>
  <c r="K522" i="2"/>
  <c r="M522" i="2" s="1"/>
  <c r="T522" i="2" s="1"/>
  <c r="K521" i="2"/>
  <c r="M521" i="2" s="1"/>
  <c r="T521" i="2" s="1"/>
  <c r="K520" i="2"/>
  <c r="M520" i="2" s="1"/>
  <c r="T520" i="2" s="1"/>
  <c r="K519" i="2"/>
  <c r="M519" i="2" s="1"/>
  <c r="T519" i="2" s="1"/>
  <c r="K518" i="2"/>
  <c r="M518" i="2" s="1"/>
  <c r="T518" i="2" s="1"/>
  <c r="K517" i="2"/>
  <c r="M517" i="2" s="1"/>
  <c r="T517" i="2" s="1"/>
  <c r="K516" i="2"/>
  <c r="M516" i="2" s="1"/>
  <c r="T516" i="2" s="1"/>
  <c r="K515" i="2"/>
  <c r="M515" i="2" s="1"/>
  <c r="T515" i="2" s="1"/>
  <c r="K514" i="2"/>
  <c r="M514" i="2" s="1"/>
  <c r="T514" i="2" s="1"/>
  <c r="K513" i="2"/>
  <c r="M513" i="2" s="1"/>
  <c r="T513" i="2" s="1"/>
  <c r="K512" i="2"/>
  <c r="M512" i="2" s="1"/>
  <c r="T512" i="2" s="1"/>
  <c r="K511" i="2"/>
  <c r="M511" i="2" s="1"/>
  <c r="T511" i="2" s="1"/>
  <c r="K510" i="2"/>
  <c r="M510" i="2" s="1"/>
  <c r="T510" i="2" s="1"/>
  <c r="K509" i="2"/>
  <c r="M509" i="2" s="1"/>
  <c r="T509" i="2" s="1"/>
  <c r="K508" i="2"/>
  <c r="M508" i="2" s="1"/>
  <c r="T508" i="2" s="1"/>
  <c r="K507" i="2"/>
  <c r="M507" i="2" s="1"/>
  <c r="T507" i="2" s="1"/>
  <c r="K506" i="2"/>
  <c r="M506" i="2" s="1"/>
  <c r="T506" i="2" s="1"/>
  <c r="K505" i="2"/>
  <c r="M505" i="2" s="1"/>
  <c r="T505" i="2" s="1"/>
  <c r="K504" i="2"/>
  <c r="M504" i="2" s="1"/>
  <c r="T504" i="2" s="1"/>
  <c r="K503" i="2"/>
  <c r="M503" i="2" s="1"/>
  <c r="T503" i="2" s="1"/>
  <c r="K502" i="2"/>
  <c r="M502" i="2" s="1"/>
  <c r="T502" i="2" s="1"/>
  <c r="K501" i="2"/>
  <c r="M501" i="2" s="1"/>
  <c r="T501" i="2" s="1"/>
  <c r="K500" i="2"/>
  <c r="M500" i="2" s="1"/>
  <c r="T500" i="2" s="1"/>
  <c r="K499" i="2"/>
  <c r="M499" i="2" s="1"/>
  <c r="T499" i="2" s="1"/>
  <c r="K498" i="2"/>
  <c r="M498" i="2" s="1"/>
  <c r="T498" i="2" s="1"/>
  <c r="K497" i="2"/>
  <c r="M497" i="2" s="1"/>
  <c r="T497" i="2" s="1"/>
  <c r="K496" i="2"/>
  <c r="M496" i="2" s="1"/>
  <c r="T496" i="2" s="1"/>
  <c r="K495" i="2"/>
  <c r="M495" i="2" s="1"/>
  <c r="T495" i="2" s="1"/>
  <c r="K494" i="2"/>
  <c r="M494" i="2" s="1"/>
  <c r="T494" i="2" s="1"/>
  <c r="K493" i="2"/>
  <c r="M493" i="2" s="1"/>
  <c r="T493" i="2" s="1"/>
  <c r="K492" i="2"/>
  <c r="M492" i="2" s="1"/>
  <c r="T492" i="2" s="1"/>
  <c r="K491" i="2"/>
  <c r="M491" i="2" s="1"/>
  <c r="T491" i="2" s="1"/>
  <c r="K490" i="2"/>
  <c r="M490" i="2" s="1"/>
  <c r="T490" i="2" s="1"/>
  <c r="K489" i="2"/>
  <c r="M489" i="2" s="1"/>
  <c r="T489" i="2" s="1"/>
  <c r="K488" i="2"/>
  <c r="M488" i="2" s="1"/>
  <c r="T488" i="2" s="1"/>
  <c r="K487" i="2"/>
  <c r="M487" i="2" s="1"/>
  <c r="T487" i="2" s="1"/>
  <c r="K486" i="2"/>
  <c r="M486" i="2" s="1"/>
  <c r="T486" i="2" s="1"/>
  <c r="K485" i="2"/>
  <c r="M485" i="2" s="1"/>
  <c r="T485" i="2" s="1"/>
  <c r="K484" i="2"/>
  <c r="M484" i="2" s="1"/>
  <c r="T484" i="2" s="1"/>
  <c r="K483" i="2"/>
  <c r="M483" i="2" s="1"/>
  <c r="T483" i="2" s="1"/>
  <c r="K482" i="2"/>
  <c r="M482" i="2" s="1"/>
  <c r="T482" i="2" s="1"/>
  <c r="K481" i="2"/>
  <c r="M481" i="2" s="1"/>
  <c r="T481" i="2" s="1"/>
  <c r="K480" i="2"/>
  <c r="M480" i="2" s="1"/>
  <c r="T480" i="2" s="1"/>
  <c r="K479" i="2"/>
  <c r="M479" i="2" s="1"/>
  <c r="T479" i="2" s="1"/>
  <c r="K478" i="2"/>
  <c r="M478" i="2" s="1"/>
  <c r="T478" i="2" s="1"/>
  <c r="K477" i="2"/>
  <c r="M477" i="2" s="1"/>
  <c r="T477" i="2" s="1"/>
  <c r="K476" i="2"/>
  <c r="M476" i="2" s="1"/>
  <c r="T476" i="2" s="1"/>
  <c r="K475" i="2"/>
  <c r="M475" i="2" s="1"/>
  <c r="T475" i="2" s="1"/>
  <c r="K474" i="2"/>
  <c r="M474" i="2" s="1"/>
  <c r="T474" i="2" s="1"/>
  <c r="K473" i="2"/>
  <c r="M473" i="2" s="1"/>
  <c r="T473" i="2" s="1"/>
  <c r="K472" i="2"/>
  <c r="M472" i="2" s="1"/>
  <c r="T472" i="2" s="1"/>
  <c r="K471" i="2"/>
  <c r="M471" i="2" s="1"/>
  <c r="T471" i="2" s="1"/>
  <c r="K470" i="2"/>
  <c r="M470" i="2" s="1"/>
  <c r="T470" i="2" s="1"/>
  <c r="K469" i="2"/>
  <c r="M469" i="2" s="1"/>
  <c r="T469" i="2" s="1"/>
  <c r="K468" i="2"/>
  <c r="M468" i="2" s="1"/>
  <c r="T468" i="2" s="1"/>
  <c r="K467" i="2"/>
  <c r="M467" i="2" s="1"/>
  <c r="T467" i="2" s="1"/>
  <c r="K466" i="2"/>
  <c r="M466" i="2" s="1"/>
  <c r="T466" i="2" s="1"/>
  <c r="K465" i="2"/>
  <c r="M465" i="2" s="1"/>
  <c r="T465" i="2" s="1"/>
  <c r="K464" i="2"/>
  <c r="M464" i="2" s="1"/>
  <c r="T464" i="2" s="1"/>
  <c r="K463" i="2"/>
  <c r="M463" i="2" s="1"/>
  <c r="T463" i="2" s="1"/>
  <c r="K462" i="2"/>
  <c r="M462" i="2" s="1"/>
  <c r="T462" i="2" s="1"/>
  <c r="K461" i="2"/>
  <c r="M461" i="2" s="1"/>
  <c r="T461" i="2" s="1"/>
  <c r="K460" i="2"/>
  <c r="M460" i="2" s="1"/>
  <c r="T460" i="2" s="1"/>
  <c r="K459" i="2"/>
  <c r="M459" i="2" s="1"/>
  <c r="T459" i="2" s="1"/>
  <c r="K458" i="2"/>
  <c r="M458" i="2" s="1"/>
  <c r="T458" i="2" s="1"/>
  <c r="K457" i="2"/>
  <c r="M457" i="2" s="1"/>
  <c r="T457" i="2" s="1"/>
  <c r="K456" i="2"/>
  <c r="M456" i="2" s="1"/>
  <c r="T456" i="2" s="1"/>
  <c r="K455" i="2"/>
  <c r="M455" i="2" s="1"/>
  <c r="T455" i="2" s="1"/>
  <c r="K454" i="2"/>
  <c r="M454" i="2" s="1"/>
  <c r="T454" i="2" s="1"/>
  <c r="K453" i="2"/>
  <c r="M453" i="2" s="1"/>
  <c r="T453" i="2" s="1"/>
  <c r="K452" i="2"/>
  <c r="M452" i="2" s="1"/>
  <c r="T452" i="2" s="1"/>
  <c r="K451" i="2"/>
  <c r="M451" i="2" s="1"/>
  <c r="T451" i="2" s="1"/>
  <c r="K450" i="2"/>
  <c r="M450" i="2" s="1"/>
  <c r="T450" i="2" s="1"/>
  <c r="K449" i="2"/>
  <c r="M449" i="2" s="1"/>
  <c r="T449" i="2" s="1"/>
  <c r="K448" i="2"/>
  <c r="M448" i="2" s="1"/>
  <c r="T448" i="2" s="1"/>
  <c r="K447" i="2"/>
  <c r="M447" i="2" s="1"/>
  <c r="T447" i="2" s="1"/>
  <c r="K446" i="2"/>
  <c r="M446" i="2" s="1"/>
  <c r="T446" i="2" s="1"/>
  <c r="K445" i="2"/>
  <c r="M445" i="2" s="1"/>
  <c r="T445" i="2" s="1"/>
  <c r="K444" i="2"/>
  <c r="M444" i="2" s="1"/>
  <c r="T444" i="2" s="1"/>
  <c r="K443" i="2"/>
  <c r="M443" i="2" s="1"/>
  <c r="T443" i="2" s="1"/>
  <c r="K442" i="2"/>
  <c r="M442" i="2" s="1"/>
  <c r="T442" i="2" s="1"/>
  <c r="K441" i="2"/>
  <c r="M441" i="2" s="1"/>
  <c r="T441" i="2" s="1"/>
  <c r="K440" i="2"/>
  <c r="M440" i="2" s="1"/>
  <c r="T440" i="2" s="1"/>
  <c r="K439" i="2"/>
  <c r="M439" i="2" s="1"/>
  <c r="T439" i="2" s="1"/>
  <c r="K438" i="2"/>
  <c r="M438" i="2" s="1"/>
  <c r="T438" i="2" s="1"/>
  <c r="K437" i="2"/>
  <c r="M437" i="2" s="1"/>
  <c r="T437" i="2" s="1"/>
  <c r="K436" i="2"/>
  <c r="M436" i="2" s="1"/>
  <c r="T436" i="2" s="1"/>
  <c r="K435" i="2"/>
  <c r="M435" i="2" s="1"/>
  <c r="T435" i="2" s="1"/>
  <c r="K434" i="2"/>
  <c r="M434" i="2" s="1"/>
  <c r="T434" i="2" s="1"/>
  <c r="K433" i="2"/>
  <c r="M433" i="2" s="1"/>
  <c r="T433" i="2" s="1"/>
  <c r="K432" i="2"/>
  <c r="M432" i="2" s="1"/>
  <c r="T432" i="2" s="1"/>
  <c r="K431" i="2"/>
  <c r="M431" i="2" s="1"/>
  <c r="T431" i="2" s="1"/>
  <c r="K430" i="2"/>
  <c r="M430" i="2" s="1"/>
  <c r="T430" i="2" s="1"/>
  <c r="K429" i="2"/>
  <c r="M429" i="2" s="1"/>
  <c r="T429" i="2" s="1"/>
  <c r="K428" i="2"/>
  <c r="M428" i="2" s="1"/>
  <c r="T428" i="2" s="1"/>
  <c r="K427" i="2"/>
  <c r="M427" i="2" s="1"/>
  <c r="T427" i="2" s="1"/>
  <c r="K426" i="2"/>
  <c r="M426" i="2" s="1"/>
  <c r="T426" i="2" s="1"/>
  <c r="K425" i="2"/>
  <c r="M425" i="2" s="1"/>
  <c r="T425" i="2" s="1"/>
  <c r="K424" i="2"/>
  <c r="M424" i="2" s="1"/>
  <c r="T424" i="2" s="1"/>
  <c r="K423" i="2"/>
  <c r="M423" i="2" s="1"/>
  <c r="T423" i="2" s="1"/>
  <c r="K422" i="2"/>
  <c r="M422" i="2" s="1"/>
  <c r="T422" i="2" s="1"/>
  <c r="K421" i="2"/>
  <c r="M421" i="2" s="1"/>
  <c r="T421" i="2" s="1"/>
  <c r="K420" i="2"/>
  <c r="M420" i="2" s="1"/>
  <c r="T420" i="2" s="1"/>
  <c r="K419" i="2"/>
  <c r="M419" i="2" s="1"/>
  <c r="T419" i="2" s="1"/>
  <c r="K418" i="2"/>
  <c r="M418" i="2" s="1"/>
  <c r="T418" i="2" s="1"/>
  <c r="K417" i="2"/>
  <c r="M417" i="2" s="1"/>
  <c r="T417" i="2" s="1"/>
  <c r="K416" i="2"/>
  <c r="M416" i="2" s="1"/>
  <c r="T416" i="2" s="1"/>
  <c r="K415" i="2"/>
  <c r="M415" i="2" s="1"/>
  <c r="T415" i="2" s="1"/>
  <c r="K414" i="2"/>
  <c r="M414" i="2" s="1"/>
  <c r="T414" i="2" s="1"/>
  <c r="K413" i="2"/>
  <c r="M413" i="2" s="1"/>
  <c r="T413" i="2" s="1"/>
  <c r="K412" i="2"/>
  <c r="M412" i="2" s="1"/>
  <c r="T412" i="2" s="1"/>
  <c r="K411" i="2"/>
  <c r="M411" i="2" s="1"/>
  <c r="T411" i="2" s="1"/>
  <c r="K410" i="2"/>
  <c r="M410" i="2" s="1"/>
  <c r="T410" i="2" s="1"/>
  <c r="K409" i="2"/>
  <c r="M409" i="2" s="1"/>
  <c r="T409" i="2" s="1"/>
  <c r="K408" i="2"/>
  <c r="M408" i="2" s="1"/>
  <c r="T408" i="2" s="1"/>
  <c r="K407" i="2"/>
  <c r="M407" i="2" s="1"/>
  <c r="T407" i="2" s="1"/>
  <c r="K406" i="2"/>
  <c r="M406" i="2" s="1"/>
  <c r="T406" i="2" s="1"/>
  <c r="K405" i="2"/>
  <c r="M405" i="2" s="1"/>
  <c r="T405" i="2" s="1"/>
  <c r="K404" i="2"/>
  <c r="M404" i="2" s="1"/>
  <c r="T404" i="2" s="1"/>
  <c r="K403" i="2"/>
  <c r="M403" i="2" s="1"/>
  <c r="T403" i="2" s="1"/>
  <c r="K402" i="2"/>
  <c r="M402" i="2" s="1"/>
  <c r="T402" i="2" s="1"/>
  <c r="K401" i="2"/>
  <c r="M401" i="2" s="1"/>
  <c r="T401" i="2" s="1"/>
  <c r="K400" i="2"/>
  <c r="M400" i="2" s="1"/>
  <c r="T400" i="2" s="1"/>
  <c r="K399" i="2"/>
  <c r="M399" i="2" s="1"/>
  <c r="T399" i="2" s="1"/>
  <c r="K398" i="2"/>
  <c r="M398" i="2" s="1"/>
  <c r="T398" i="2" s="1"/>
  <c r="K397" i="2"/>
  <c r="M397" i="2" s="1"/>
  <c r="T397" i="2" s="1"/>
  <c r="K396" i="2"/>
  <c r="M396" i="2" s="1"/>
  <c r="T396" i="2" s="1"/>
  <c r="K395" i="2"/>
  <c r="M395" i="2" s="1"/>
  <c r="T395" i="2" s="1"/>
  <c r="K394" i="2"/>
  <c r="M394" i="2" s="1"/>
  <c r="T394" i="2" s="1"/>
  <c r="K393" i="2"/>
  <c r="M393" i="2" s="1"/>
  <c r="T393" i="2" s="1"/>
  <c r="K392" i="2"/>
  <c r="M392" i="2" s="1"/>
  <c r="T392" i="2" s="1"/>
  <c r="K391" i="2"/>
  <c r="M391" i="2" s="1"/>
  <c r="T391" i="2" s="1"/>
  <c r="K390" i="2"/>
  <c r="M390" i="2" s="1"/>
  <c r="T390" i="2" s="1"/>
  <c r="K389" i="2"/>
  <c r="M389" i="2" s="1"/>
  <c r="T389" i="2" s="1"/>
  <c r="K388" i="2"/>
  <c r="M388" i="2" s="1"/>
  <c r="T388" i="2" s="1"/>
  <c r="K387" i="2"/>
  <c r="M387" i="2" s="1"/>
  <c r="T387" i="2" s="1"/>
  <c r="K386" i="2"/>
  <c r="M386" i="2" s="1"/>
  <c r="T386" i="2" s="1"/>
  <c r="K385" i="2"/>
  <c r="M385" i="2" s="1"/>
  <c r="T385" i="2" s="1"/>
  <c r="K384" i="2"/>
  <c r="M384" i="2" s="1"/>
  <c r="T384" i="2" s="1"/>
  <c r="K383" i="2"/>
  <c r="M383" i="2" s="1"/>
  <c r="T383" i="2" s="1"/>
  <c r="K382" i="2"/>
  <c r="M382" i="2" s="1"/>
  <c r="T382" i="2" s="1"/>
  <c r="K381" i="2"/>
  <c r="M381" i="2" s="1"/>
  <c r="T381" i="2" s="1"/>
  <c r="K380" i="2"/>
  <c r="M380" i="2" s="1"/>
  <c r="T380" i="2" s="1"/>
  <c r="K379" i="2"/>
  <c r="M379" i="2" s="1"/>
  <c r="T379" i="2" s="1"/>
  <c r="K378" i="2"/>
  <c r="M378" i="2" s="1"/>
  <c r="T378" i="2" s="1"/>
  <c r="K377" i="2"/>
  <c r="M377" i="2" s="1"/>
  <c r="T377" i="2" s="1"/>
  <c r="K376" i="2"/>
  <c r="M376" i="2" s="1"/>
  <c r="T376" i="2" s="1"/>
  <c r="K375" i="2"/>
  <c r="M375" i="2" s="1"/>
  <c r="T375" i="2" s="1"/>
  <c r="K374" i="2"/>
  <c r="M374" i="2" s="1"/>
  <c r="T374" i="2" s="1"/>
  <c r="K373" i="2"/>
  <c r="M373" i="2" s="1"/>
  <c r="T373" i="2" s="1"/>
  <c r="K372" i="2"/>
  <c r="M372" i="2" s="1"/>
  <c r="T372" i="2" s="1"/>
  <c r="K371" i="2"/>
  <c r="M371" i="2" s="1"/>
  <c r="T371" i="2" s="1"/>
  <c r="K370" i="2"/>
  <c r="M370" i="2" s="1"/>
  <c r="T370" i="2" s="1"/>
  <c r="K369" i="2"/>
  <c r="M369" i="2" s="1"/>
  <c r="T369" i="2" s="1"/>
  <c r="K368" i="2"/>
  <c r="M368" i="2" s="1"/>
  <c r="T368" i="2" s="1"/>
  <c r="K367" i="2"/>
  <c r="M367" i="2" s="1"/>
  <c r="T367" i="2" s="1"/>
  <c r="K366" i="2"/>
  <c r="M366" i="2" s="1"/>
  <c r="T366" i="2" s="1"/>
  <c r="K365" i="2"/>
  <c r="M365" i="2" s="1"/>
  <c r="T365" i="2" s="1"/>
  <c r="K364" i="2"/>
  <c r="M364" i="2" s="1"/>
  <c r="T364" i="2" s="1"/>
  <c r="K363" i="2"/>
  <c r="M363" i="2" s="1"/>
  <c r="T363" i="2" s="1"/>
  <c r="K362" i="2"/>
  <c r="M362" i="2" s="1"/>
  <c r="T362" i="2" s="1"/>
  <c r="K361" i="2"/>
  <c r="M361" i="2" s="1"/>
  <c r="T361" i="2" s="1"/>
  <c r="K360" i="2"/>
  <c r="M360" i="2" s="1"/>
  <c r="T360" i="2" s="1"/>
  <c r="K359" i="2"/>
  <c r="M359" i="2" s="1"/>
  <c r="T359" i="2" s="1"/>
  <c r="K358" i="2"/>
  <c r="M358" i="2" s="1"/>
  <c r="T358" i="2" s="1"/>
  <c r="K357" i="2"/>
  <c r="M357" i="2" s="1"/>
  <c r="T357" i="2" s="1"/>
  <c r="K356" i="2"/>
  <c r="M356" i="2" s="1"/>
  <c r="T356" i="2" s="1"/>
  <c r="K355" i="2"/>
  <c r="M355" i="2" s="1"/>
  <c r="T355" i="2" s="1"/>
  <c r="K354" i="2"/>
  <c r="M354" i="2" s="1"/>
  <c r="T354" i="2" s="1"/>
  <c r="K353" i="2"/>
  <c r="M353" i="2" s="1"/>
  <c r="T353" i="2" s="1"/>
  <c r="K352" i="2"/>
  <c r="M352" i="2" s="1"/>
  <c r="T352" i="2" s="1"/>
  <c r="K351" i="2"/>
  <c r="M351" i="2" s="1"/>
  <c r="T351" i="2" s="1"/>
  <c r="K350" i="2"/>
  <c r="M350" i="2" s="1"/>
  <c r="T350" i="2" s="1"/>
  <c r="K349" i="2"/>
  <c r="M349" i="2" s="1"/>
  <c r="T349" i="2" s="1"/>
  <c r="K348" i="2"/>
  <c r="M348" i="2" s="1"/>
  <c r="T348" i="2" s="1"/>
  <c r="K347" i="2"/>
  <c r="M347" i="2" s="1"/>
  <c r="T347" i="2" s="1"/>
  <c r="K346" i="2"/>
  <c r="M346" i="2" s="1"/>
  <c r="T346" i="2" s="1"/>
  <c r="K345" i="2"/>
  <c r="M345" i="2" s="1"/>
  <c r="T345" i="2" s="1"/>
  <c r="K344" i="2"/>
  <c r="M344" i="2" s="1"/>
  <c r="T344" i="2" s="1"/>
  <c r="K343" i="2"/>
  <c r="M343" i="2" s="1"/>
  <c r="T343" i="2" s="1"/>
  <c r="K342" i="2"/>
  <c r="M342" i="2" s="1"/>
  <c r="T342" i="2" s="1"/>
  <c r="K341" i="2"/>
  <c r="M341" i="2" s="1"/>
  <c r="T341" i="2" s="1"/>
  <c r="K340" i="2"/>
  <c r="M340" i="2" s="1"/>
  <c r="T340" i="2" s="1"/>
  <c r="K339" i="2"/>
  <c r="M339" i="2" s="1"/>
  <c r="T339" i="2" s="1"/>
  <c r="K338" i="2"/>
  <c r="M338" i="2" s="1"/>
  <c r="T338" i="2" s="1"/>
  <c r="K337" i="2"/>
  <c r="M337" i="2" s="1"/>
  <c r="T337" i="2" s="1"/>
  <c r="K336" i="2"/>
  <c r="M336" i="2" s="1"/>
  <c r="T336" i="2" s="1"/>
  <c r="K335" i="2"/>
  <c r="M335" i="2" s="1"/>
  <c r="T335" i="2" s="1"/>
  <c r="K334" i="2"/>
  <c r="M334" i="2" s="1"/>
  <c r="T334" i="2" s="1"/>
  <c r="K333" i="2"/>
  <c r="M333" i="2" s="1"/>
  <c r="T333" i="2" s="1"/>
  <c r="K332" i="2"/>
  <c r="M332" i="2" s="1"/>
  <c r="T332" i="2" s="1"/>
  <c r="K331" i="2"/>
  <c r="M331" i="2" s="1"/>
  <c r="T331" i="2" s="1"/>
  <c r="K330" i="2"/>
  <c r="M330" i="2" s="1"/>
  <c r="T330" i="2" s="1"/>
  <c r="K329" i="2"/>
  <c r="M329" i="2" s="1"/>
  <c r="T329" i="2" s="1"/>
  <c r="K328" i="2"/>
  <c r="M328" i="2" s="1"/>
  <c r="T328" i="2" s="1"/>
  <c r="K327" i="2"/>
  <c r="M327" i="2" s="1"/>
  <c r="T327" i="2" s="1"/>
  <c r="K326" i="2"/>
  <c r="M326" i="2" s="1"/>
  <c r="T326" i="2" s="1"/>
  <c r="K325" i="2"/>
  <c r="M325" i="2" s="1"/>
  <c r="T325" i="2" s="1"/>
  <c r="K324" i="2"/>
  <c r="M324" i="2" s="1"/>
  <c r="T324" i="2" s="1"/>
  <c r="K323" i="2"/>
  <c r="M323" i="2" s="1"/>
  <c r="T323" i="2" s="1"/>
  <c r="K322" i="2"/>
  <c r="M322" i="2" s="1"/>
  <c r="T322" i="2" s="1"/>
  <c r="K321" i="2"/>
  <c r="M321" i="2" s="1"/>
  <c r="T321" i="2" s="1"/>
  <c r="K320" i="2"/>
  <c r="M320" i="2" s="1"/>
  <c r="T320" i="2" s="1"/>
  <c r="K319" i="2"/>
  <c r="M319" i="2" s="1"/>
  <c r="T319" i="2" s="1"/>
  <c r="K318" i="2"/>
  <c r="M318" i="2" s="1"/>
  <c r="T318" i="2" s="1"/>
  <c r="K317" i="2"/>
  <c r="M317" i="2" s="1"/>
  <c r="T317" i="2" s="1"/>
  <c r="K316" i="2"/>
  <c r="M316" i="2" s="1"/>
  <c r="T316" i="2" s="1"/>
  <c r="K315" i="2"/>
  <c r="M315" i="2" s="1"/>
  <c r="T315" i="2" s="1"/>
  <c r="K314" i="2"/>
  <c r="M314" i="2" s="1"/>
  <c r="T314" i="2" s="1"/>
  <c r="K313" i="2"/>
  <c r="M313" i="2" s="1"/>
  <c r="T313" i="2" s="1"/>
  <c r="K312" i="2"/>
  <c r="M312" i="2" s="1"/>
  <c r="T312" i="2" s="1"/>
  <c r="K311" i="2"/>
  <c r="M311" i="2" s="1"/>
  <c r="T311" i="2" s="1"/>
  <c r="K310" i="2"/>
  <c r="M310" i="2" s="1"/>
  <c r="T310" i="2" s="1"/>
  <c r="K309" i="2"/>
  <c r="M309" i="2" s="1"/>
  <c r="T309" i="2" s="1"/>
  <c r="K308" i="2"/>
  <c r="M308" i="2" s="1"/>
  <c r="T308" i="2" s="1"/>
  <c r="K307" i="2"/>
  <c r="M307" i="2" s="1"/>
  <c r="T307" i="2" s="1"/>
  <c r="K306" i="2"/>
  <c r="M306" i="2" s="1"/>
  <c r="T306" i="2" s="1"/>
  <c r="K305" i="2"/>
  <c r="M305" i="2" s="1"/>
  <c r="T305" i="2" s="1"/>
  <c r="K304" i="2"/>
  <c r="M304" i="2" s="1"/>
  <c r="T304" i="2" s="1"/>
  <c r="K303" i="2"/>
  <c r="M303" i="2" s="1"/>
  <c r="T303" i="2" s="1"/>
  <c r="K302" i="2"/>
  <c r="M302" i="2" s="1"/>
  <c r="T302" i="2" s="1"/>
  <c r="K301" i="2"/>
  <c r="M301" i="2" s="1"/>
  <c r="T301" i="2" s="1"/>
  <c r="K300" i="2"/>
  <c r="M300" i="2" s="1"/>
  <c r="T300" i="2" s="1"/>
  <c r="K299" i="2"/>
  <c r="M299" i="2" s="1"/>
  <c r="T299" i="2" s="1"/>
  <c r="K298" i="2"/>
  <c r="M298" i="2" s="1"/>
  <c r="T298" i="2" s="1"/>
  <c r="K297" i="2"/>
  <c r="M297" i="2" s="1"/>
  <c r="T297" i="2" s="1"/>
  <c r="K296" i="2"/>
  <c r="M296" i="2" s="1"/>
  <c r="T296" i="2" s="1"/>
  <c r="K295" i="2"/>
  <c r="M295" i="2" s="1"/>
  <c r="T295" i="2" s="1"/>
  <c r="K294" i="2"/>
  <c r="M294" i="2" s="1"/>
  <c r="T294" i="2" s="1"/>
  <c r="K293" i="2"/>
  <c r="M293" i="2" s="1"/>
  <c r="T293" i="2" s="1"/>
  <c r="K292" i="2"/>
  <c r="M292" i="2" s="1"/>
  <c r="T292" i="2" s="1"/>
  <c r="K291" i="2"/>
  <c r="M291" i="2" s="1"/>
  <c r="T291" i="2" s="1"/>
  <c r="K290" i="2"/>
  <c r="M290" i="2" s="1"/>
  <c r="T290" i="2" s="1"/>
  <c r="K289" i="2"/>
  <c r="M289" i="2" s="1"/>
  <c r="T289" i="2" s="1"/>
  <c r="K288" i="2"/>
  <c r="M288" i="2" s="1"/>
  <c r="T288" i="2" s="1"/>
  <c r="K287" i="2"/>
  <c r="M287" i="2" s="1"/>
  <c r="T287" i="2" s="1"/>
  <c r="K286" i="2"/>
  <c r="M286" i="2" s="1"/>
  <c r="T286" i="2" s="1"/>
  <c r="K285" i="2"/>
  <c r="M285" i="2" s="1"/>
  <c r="T285" i="2" s="1"/>
  <c r="K284" i="2"/>
  <c r="M284" i="2" s="1"/>
  <c r="T284" i="2" s="1"/>
  <c r="K283" i="2"/>
  <c r="M283" i="2" s="1"/>
  <c r="T283" i="2" s="1"/>
  <c r="K282" i="2"/>
  <c r="M282" i="2" s="1"/>
  <c r="T282" i="2" s="1"/>
  <c r="K281" i="2"/>
  <c r="M281" i="2" s="1"/>
  <c r="T281" i="2" s="1"/>
  <c r="K280" i="2"/>
  <c r="M280" i="2" s="1"/>
  <c r="T280" i="2" s="1"/>
  <c r="K279" i="2"/>
  <c r="M279" i="2" s="1"/>
  <c r="T279" i="2" s="1"/>
  <c r="K278" i="2"/>
  <c r="M278" i="2" s="1"/>
  <c r="T278" i="2" s="1"/>
  <c r="K277" i="2"/>
  <c r="M277" i="2" s="1"/>
  <c r="T277" i="2" s="1"/>
  <c r="K276" i="2"/>
  <c r="M276" i="2" s="1"/>
  <c r="T276" i="2" s="1"/>
  <c r="K275" i="2"/>
  <c r="M275" i="2" s="1"/>
  <c r="T275" i="2" s="1"/>
  <c r="K274" i="2"/>
  <c r="M274" i="2" s="1"/>
  <c r="T274" i="2" s="1"/>
  <c r="K273" i="2"/>
  <c r="M273" i="2" s="1"/>
  <c r="T273" i="2" s="1"/>
  <c r="K272" i="2"/>
  <c r="M272" i="2" s="1"/>
  <c r="T272" i="2" s="1"/>
  <c r="K271" i="2"/>
  <c r="M271" i="2" s="1"/>
  <c r="T271" i="2" s="1"/>
  <c r="K270" i="2"/>
  <c r="M270" i="2" s="1"/>
  <c r="T270" i="2" s="1"/>
  <c r="K269" i="2"/>
  <c r="M269" i="2" s="1"/>
  <c r="T269" i="2" s="1"/>
  <c r="K268" i="2"/>
  <c r="M268" i="2" s="1"/>
  <c r="T268" i="2" s="1"/>
  <c r="K267" i="2"/>
  <c r="M267" i="2" s="1"/>
  <c r="T267" i="2" s="1"/>
  <c r="K266" i="2"/>
  <c r="M266" i="2" s="1"/>
  <c r="T266" i="2" s="1"/>
  <c r="K265" i="2"/>
  <c r="M265" i="2" s="1"/>
  <c r="T265" i="2" s="1"/>
  <c r="K264" i="2"/>
  <c r="M264" i="2" s="1"/>
  <c r="T264" i="2" s="1"/>
  <c r="K263" i="2"/>
  <c r="M263" i="2" s="1"/>
  <c r="T263" i="2" s="1"/>
  <c r="K262" i="2"/>
  <c r="M262" i="2" s="1"/>
  <c r="T262" i="2" s="1"/>
  <c r="K261" i="2"/>
  <c r="M261" i="2" s="1"/>
  <c r="T261" i="2" s="1"/>
  <c r="K260" i="2"/>
  <c r="M260" i="2" s="1"/>
  <c r="T260" i="2" s="1"/>
  <c r="K259" i="2"/>
  <c r="M259" i="2" s="1"/>
  <c r="T259" i="2" s="1"/>
  <c r="K258" i="2"/>
  <c r="M258" i="2" s="1"/>
  <c r="T258" i="2" s="1"/>
  <c r="K257" i="2"/>
  <c r="M257" i="2" s="1"/>
  <c r="T257" i="2" s="1"/>
  <c r="K256" i="2"/>
  <c r="M256" i="2" s="1"/>
  <c r="T256" i="2" s="1"/>
  <c r="K255" i="2"/>
  <c r="M255" i="2" s="1"/>
  <c r="T255" i="2" s="1"/>
  <c r="K254" i="2"/>
  <c r="M254" i="2" s="1"/>
  <c r="T254" i="2" s="1"/>
  <c r="K253" i="2"/>
  <c r="M253" i="2" s="1"/>
  <c r="T253" i="2" s="1"/>
  <c r="K252" i="2"/>
  <c r="M252" i="2" s="1"/>
  <c r="T252" i="2" s="1"/>
  <c r="K251" i="2"/>
  <c r="M251" i="2" s="1"/>
  <c r="T251" i="2" s="1"/>
  <c r="K250" i="2"/>
  <c r="M250" i="2" s="1"/>
  <c r="T250" i="2" s="1"/>
  <c r="K249" i="2"/>
  <c r="M249" i="2" s="1"/>
  <c r="T249" i="2" s="1"/>
  <c r="K248" i="2"/>
  <c r="M248" i="2" s="1"/>
  <c r="T248" i="2" s="1"/>
  <c r="K247" i="2"/>
  <c r="M247" i="2" s="1"/>
  <c r="T247" i="2" s="1"/>
  <c r="K246" i="2"/>
  <c r="M246" i="2" s="1"/>
  <c r="T246" i="2" s="1"/>
  <c r="K245" i="2"/>
  <c r="M245" i="2" s="1"/>
  <c r="T245" i="2" s="1"/>
  <c r="K244" i="2"/>
  <c r="M244" i="2" s="1"/>
  <c r="T244" i="2" s="1"/>
  <c r="K243" i="2"/>
  <c r="M243" i="2" s="1"/>
  <c r="T243" i="2" s="1"/>
  <c r="K242" i="2"/>
  <c r="M242" i="2" s="1"/>
  <c r="T242" i="2" s="1"/>
  <c r="K241" i="2"/>
  <c r="M241" i="2" s="1"/>
  <c r="T241" i="2" s="1"/>
  <c r="K240" i="2"/>
  <c r="M240" i="2" s="1"/>
  <c r="T240" i="2" s="1"/>
  <c r="K239" i="2"/>
  <c r="M239" i="2" s="1"/>
  <c r="T239" i="2" s="1"/>
  <c r="K238" i="2"/>
  <c r="M238" i="2" s="1"/>
  <c r="T238" i="2" s="1"/>
  <c r="K237" i="2"/>
  <c r="M237" i="2" s="1"/>
  <c r="T237" i="2" s="1"/>
  <c r="K236" i="2"/>
  <c r="M236" i="2" s="1"/>
  <c r="T236" i="2" s="1"/>
  <c r="K235" i="2"/>
  <c r="M235" i="2" s="1"/>
  <c r="T235" i="2" s="1"/>
  <c r="K234" i="2"/>
  <c r="M234" i="2" s="1"/>
  <c r="T234" i="2" s="1"/>
  <c r="K233" i="2"/>
  <c r="M233" i="2" s="1"/>
  <c r="T233" i="2" s="1"/>
  <c r="K232" i="2"/>
  <c r="M232" i="2" s="1"/>
  <c r="T232" i="2" s="1"/>
  <c r="K231" i="2"/>
  <c r="M231" i="2" s="1"/>
  <c r="T231" i="2" s="1"/>
  <c r="K230" i="2"/>
  <c r="M230" i="2" s="1"/>
  <c r="T230" i="2" s="1"/>
  <c r="K229" i="2"/>
  <c r="M229" i="2" s="1"/>
  <c r="T229" i="2" s="1"/>
  <c r="K228" i="2"/>
  <c r="M228" i="2" s="1"/>
  <c r="T228" i="2" s="1"/>
  <c r="K227" i="2"/>
  <c r="M227" i="2" s="1"/>
  <c r="T227" i="2" s="1"/>
  <c r="K226" i="2"/>
  <c r="M226" i="2" s="1"/>
  <c r="T226" i="2" s="1"/>
  <c r="K225" i="2"/>
  <c r="M225" i="2" s="1"/>
  <c r="T225" i="2" s="1"/>
  <c r="K224" i="2"/>
  <c r="M224" i="2" s="1"/>
  <c r="T224" i="2" s="1"/>
  <c r="K223" i="2"/>
  <c r="M223" i="2" s="1"/>
  <c r="T223" i="2" s="1"/>
  <c r="K222" i="2"/>
  <c r="M222" i="2" s="1"/>
  <c r="T222" i="2" s="1"/>
  <c r="K221" i="2"/>
  <c r="M221" i="2" s="1"/>
  <c r="T221" i="2" s="1"/>
  <c r="K220" i="2"/>
  <c r="M220" i="2" s="1"/>
  <c r="T220" i="2" s="1"/>
  <c r="K219" i="2"/>
  <c r="M219" i="2" s="1"/>
  <c r="T219" i="2" s="1"/>
  <c r="K218" i="2"/>
  <c r="M218" i="2" s="1"/>
  <c r="T218" i="2" s="1"/>
  <c r="K217" i="2"/>
  <c r="M217" i="2" s="1"/>
  <c r="T217" i="2" s="1"/>
  <c r="K216" i="2"/>
  <c r="M216" i="2" s="1"/>
  <c r="T216" i="2" s="1"/>
  <c r="K215" i="2"/>
  <c r="M215" i="2" s="1"/>
  <c r="T215" i="2" s="1"/>
  <c r="K214" i="2"/>
  <c r="M214" i="2" s="1"/>
  <c r="T214" i="2" s="1"/>
  <c r="K213" i="2"/>
  <c r="M213" i="2" s="1"/>
  <c r="T213" i="2" s="1"/>
  <c r="K212" i="2"/>
  <c r="M212" i="2" s="1"/>
  <c r="T212" i="2" s="1"/>
  <c r="K211" i="2"/>
  <c r="M211" i="2" s="1"/>
  <c r="T211" i="2" s="1"/>
  <c r="K210" i="2"/>
  <c r="M210" i="2" s="1"/>
  <c r="T210" i="2" s="1"/>
  <c r="K209" i="2"/>
  <c r="M209" i="2" s="1"/>
  <c r="T209" i="2" s="1"/>
  <c r="K208" i="2"/>
  <c r="M208" i="2" s="1"/>
  <c r="T208" i="2" s="1"/>
  <c r="K207" i="2"/>
  <c r="M207" i="2" s="1"/>
  <c r="T207" i="2" s="1"/>
  <c r="K206" i="2"/>
  <c r="M206" i="2" s="1"/>
  <c r="T206" i="2" s="1"/>
  <c r="K205" i="2"/>
  <c r="M205" i="2" s="1"/>
  <c r="T205" i="2" s="1"/>
  <c r="K204" i="2"/>
  <c r="M204" i="2" s="1"/>
  <c r="T204" i="2" s="1"/>
  <c r="K203" i="2"/>
  <c r="M203" i="2" s="1"/>
  <c r="T203" i="2" s="1"/>
  <c r="K202" i="2"/>
  <c r="M202" i="2" s="1"/>
  <c r="T202" i="2" s="1"/>
  <c r="K201" i="2"/>
  <c r="M201" i="2" s="1"/>
  <c r="T201" i="2" s="1"/>
  <c r="K200" i="2"/>
  <c r="M200" i="2" s="1"/>
  <c r="T200" i="2" s="1"/>
  <c r="K199" i="2"/>
  <c r="M199" i="2" s="1"/>
  <c r="T199" i="2" s="1"/>
  <c r="K198" i="2"/>
  <c r="M198" i="2" s="1"/>
  <c r="T198" i="2" s="1"/>
  <c r="K197" i="2"/>
  <c r="M197" i="2" s="1"/>
  <c r="T197" i="2" s="1"/>
  <c r="K196" i="2"/>
  <c r="M196" i="2" s="1"/>
  <c r="T196" i="2" s="1"/>
  <c r="K195" i="2"/>
  <c r="M195" i="2" s="1"/>
  <c r="T195" i="2" s="1"/>
  <c r="K194" i="2"/>
  <c r="M194" i="2" s="1"/>
  <c r="T194" i="2" s="1"/>
  <c r="K193" i="2"/>
  <c r="M193" i="2" s="1"/>
  <c r="T193" i="2" s="1"/>
  <c r="K192" i="2"/>
  <c r="M192" i="2" s="1"/>
  <c r="T192" i="2" s="1"/>
  <c r="K191" i="2"/>
  <c r="M191" i="2" s="1"/>
  <c r="T191" i="2" s="1"/>
  <c r="K190" i="2"/>
  <c r="M190" i="2" s="1"/>
  <c r="T190" i="2" s="1"/>
  <c r="K189" i="2"/>
  <c r="M189" i="2" s="1"/>
  <c r="T189" i="2" s="1"/>
  <c r="K188" i="2"/>
  <c r="M188" i="2" s="1"/>
  <c r="T188" i="2" s="1"/>
  <c r="K187" i="2"/>
  <c r="M187" i="2" s="1"/>
  <c r="T187" i="2" s="1"/>
  <c r="K186" i="2"/>
  <c r="M186" i="2" s="1"/>
  <c r="T186" i="2" s="1"/>
  <c r="K185" i="2"/>
  <c r="M185" i="2" s="1"/>
  <c r="T185" i="2" s="1"/>
  <c r="K184" i="2"/>
  <c r="M184" i="2" s="1"/>
  <c r="T184" i="2" s="1"/>
  <c r="K183" i="2"/>
  <c r="M183" i="2" s="1"/>
  <c r="T183" i="2" s="1"/>
  <c r="K182" i="2"/>
  <c r="M182" i="2" s="1"/>
  <c r="T182" i="2" s="1"/>
  <c r="K181" i="2"/>
  <c r="M181" i="2" s="1"/>
  <c r="T181" i="2" s="1"/>
  <c r="K180" i="2"/>
  <c r="M180" i="2" s="1"/>
  <c r="T180" i="2" s="1"/>
  <c r="K179" i="2"/>
  <c r="M179" i="2" s="1"/>
  <c r="T179" i="2" s="1"/>
  <c r="K178" i="2"/>
  <c r="M178" i="2" s="1"/>
  <c r="T178" i="2" s="1"/>
  <c r="K177" i="2"/>
  <c r="M177" i="2" s="1"/>
  <c r="T177" i="2" s="1"/>
  <c r="K176" i="2"/>
  <c r="M176" i="2" s="1"/>
  <c r="T176" i="2" s="1"/>
  <c r="K175" i="2"/>
  <c r="M175" i="2" s="1"/>
  <c r="T175" i="2" s="1"/>
  <c r="K174" i="2"/>
  <c r="M174" i="2" s="1"/>
  <c r="T174" i="2" s="1"/>
  <c r="K173" i="2"/>
  <c r="M173" i="2" s="1"/>
  <c r="T173" i="2" s="1"/>
  <c r="K172" i="2"/>
  <c r="M172" i="2" s="1"/>
  <c r="T172" i="2" s="1"/>
  <c r="K171" i="2"/>
  <c r="M171" i="2" s="1"/>
  <c r="T171" i="2" s="1"/>
  <c r="K170" i="2"/>
  <c r="M170" i="2" s="1"/>
  <c r="T170" i="2" s="1"/>
  <c r="K169" i="2"/>
  <c r="M169" i="2" s="1"/>
  <c r="T169" i="2" s="1"/>
  <c r="K168" i="2"/>
  <c r="M168" i="2" s="1"/>
  <c r="T168" i="2" s="1"/>
  <c r="K167" i="2"/>
  <c r="M167" i="2" s="1"/>
  <c r="T167" i="2" s="1"/>
  <c r="K166" i="2"/>
  <c r="M166" i="2" s="1"/>
  <c r="T166" i="2" s="1"/>
  <c r="K165" i="2"/>
  <c r="M165" i="2" s="1"/>
  <c r="T165" i="2" s="1"/>
  <c r="K164" i="2"/>
  <c r="M164" i="2" s="1"/>
  <c r="T164" i="2" s="1"/>
  <c r="K163" i="2"/>
  <c r="M163" i="2" s="1"/>
  <c r="T163" i="2" s="1"/>
  <c r="K162" i="2"/>
  <c r="M162" i="2" s="1"/>
  <c r="T162" i="2" s="1"/>
  <c r="K161" i="2"/>
  <c r="M161" i="2" s="1"/>
  <c r="T161" i="2" s="1"/>
  <c r="K160" i="2"/>
  <c r="M160" i="2" s="1"/>
  <c r="T160" i="2" s="1"/>
  <c r="K159" i="2"/>
  <c r="M159" i="2" s="1"/>
  <c r="T159" i="2" s="1"/>
  <c r="K158" i="2"/>
  <c r="M158" i="2" s="1"/>
  <c r="T158" i="2" s="1"/>
  <c r="K157" i="2"/>
  <c r="M157" i="2" s="1"/>
  <c r="T157" i="2" s="1"/>
  <c r="K156" i="2"/>
  <c r="M156" i="2" s="1"/>
  <c r="T156" i="2" s="1"/>
  <c r="K155" i="2"/>
  <c r="M155" i="2" s="1"/>
  <c r="T155" i="2" s="1"/>
  <c r="K154" i="2"/>
  <c r="M154" i="2" s="1"/>
  <c r="T154" i="2" s="1"/>
  <c r="K153" i="2"/>
  <c r="M153" i="2" s="1"/>
  <c r="T153" i="2" s="1"/>
  <c r="K152" i="2"/>
  <c r="M152" i="2" s="1"/>
  <c r="T152" i="2" s="1"/>
  <c r="K151" i="2"/>
  <c r="M151" i="2" s="1"/>
  <c r="T151" i="2" s="1"/>
  <c r="K150" i="2"/>
  <c r="M150" i="2" s="1"/>
  <c r="T150" i="2" s="1"/>
  <c r="K149" i="2"/>
  <c r="M149" i="2" s="1"/>
  <c r="T149" i="2" s="1"/>
  <c r="K148" i="2"/>
  <c r="M148" i="2" s="1"/>
  <c r="T148" i="2" s="1"/>
  <c r="K147" i="2"/>
  <c r="M147" i="2" s="1"/>
  <c r="T147" i="2" s="1"/>
  <c r="K146" i="2"/>
  <c r="M146" i="2" s="1"/>
  <c r="T146" i="2" s="1"/>
  <c r="K145" i="2"/>
  <c r="M145" i="2" s="1"/>
  <c r="T145" i="2" s="1"/>
  <c r="K144" i="2"/>
  <c r="M144" i="2" s="1"/>
  <c r="T144" i="2" s="1"/>
  <c r="K143" i="2"/>
  <c r="M143" i="2" s="1"/>
  <c r="T143" i="2" s="1"/>
  <c r="K142" i="2"/>
  <c r="M142" i="2" s="1"/>
  <c r="T142" i="2" s="1"/>
  <c r="K141" i="2"/>
  <c r="M141" i="2" s="1"/>
  <c r="T141" i="2" s="1"/>
  <c r="K140" i="2"/>
  <c r="M140" i="2" s="1"/>
  <c r="T140" i="2" s="1"/>
  <c r="K139" i="2"/>
  <c r="M139" i="2" s="1"/>
  <c r="T139" i="2" s="1"/>
  <c r="K138" i="2"/>
  <c r="M138" i="2" s="1"/>
  <c r="T138" i="2" s="1"/>
  <c r="K137" i="2"/>
  <c r="M137" i="2" s="1"/>
  <c r="T137" i="2" s="1"/>
  <c r="K136" i="2"/>
  <c r="M136" i="2" s="1"/>
  <c r="T136" i="2" s="1"/>
  <c r="K135" i="2"/>
  <c r="M135" i="2" s="1"/>
  <c r="T135" i="2" s="1"/>
  <c r="K134" i="2"/>
  <c r="M134" i="2" s="1"/>
  <c r="T134" i="2" s="1"/>
  <c r="K133" i="2"/>
  <c r="M133" i="2" s="1"/>
  <c r="T133" i="2" s="1"/>
  <c r="K132" i="2"/>
  <c r="M132" i="2" s="1"/>
  <c r="T132" i="2" s="1"/>
  <c r="K131" i="2"/>
  <c r="M131" i="2" s="1"/>
  <c r="T131" i="2" s="1"/>
  <c r="K130" i="2"/>
  <c r="M130" i="2" s="1"/>
  <c r="T130" i="2" s="1"/>
  <c r="K129" i="2"/>
  <c r="M129" i="2" s="1"/>
  <c r="T129" i="2" s="1"/>
  <c r="K128" i="2"/>
  <c r="M128" i="2" s="1"/>
  <c r="T128" i="2" s="1"/>
  <c r="K127" i="2"/>
  <c r="M127" i="2" s="1"/>
  <c r="T127" i="2" s="1"/>
  <c r="K126" i="2"/>
  <c r="M126" i="2" s="1"/>
  <c r="T126" i="2" s="1"/>
  <c r="K125" i="2"/>
  <c r="M125" i="2" s="1"/>
  <c r="T125" i="2" s="1"/>
  <c r="K124" i="2"/>
  <c r="M124" i="2" s="1"/>
  <c r="T124" i="2" s="1"/>
  <c r="K123" i="2"/>
  <c r="M123" i="2" s="1"/>
  <c r="T123" i="2" s="1"/>
  <c r="K122" i="2"/>
  <c r="M122" i="2" s="1"/>
  <c r="T122" i="2" s="1"/>
  <c r="K121" i="2"/>
  <c r="M121" i="2" s="1"/>
  <c r="T121" i="2" s="1"/>
  <c r="K120" i="2"/>
  <c r="M120" i="2" s="1"/>
  <c r="T120" i="2" s="1"/>
  <c r="K119" i="2"/>
  <c r="M119" i="2" s="1"/>
  <c r="T119" i="2" s="1"/>
  <c r="K118" i="2"/>
  <c r="M118" i="2" s="1"/>
  <c r="T118" i="2" s="1"/>
  <c r="K117" i="2"/>
  <c r="M117" i="2" s="1"/>
  <c r="T117" i="2" s="1"/>
  <c r="K116" i="2"/>
  <c r="M116" i="2" s="1"/>
  <c r="T116" i="2" s="1"/>
  <c r="K115" i="2"/>
  <c r="M115" i="2" s="1"/>
  <c r="T115" i="2" s="1"/>
  <c r="K114" i="2"/>
  <c r="M114" i="2" s="1"/>
  <c r="T114" i="2" s="1"/>
  <c r="K113" i="2"/>
  <c r="M113" i="2" s="1"/>
  <c r="T113" i="2" s="1"/>
  <c r="K112" i="2"/>
  <c r="M112" i="2" s="1"/>
  <c r="T112" i="2" s="1"/>
  <c r="K111" i="2"/>
  <c r="M111" i="2" s="1"/>
  <c r="T111" i="2" s="1"/>
  <c r="K110" i="2"/>
  <c r="M110" i="2" s="1"/>
  <c r="T110" i="2" s="1"/>
  <c r="K109" i="2"/>
  <c r="M109" i="2" s="1"/>
  <c r="T109" i="2" s="1"/>
  <c r="K108" i="2"/>
  <c r="M108" i="2" s="1"/>
  <c r="T108" i="2" s="1"/>
  <c r="K107" i="2"/>
  <c r="M107" i="2" s="1"/>
  <c r="T107" i="2" s="1"/>
  <c r="K106" i="2"/>
  <c r="M106" i="2" s="1"/>
  <c r="T106" i="2" s="1"/>
  <c r="K105" i="2"/>
  <c r="M105" i="2" s="1"/>
  <c r="T105" i="2" s="1"/>
  <c r="K104" i="2"/>
  <c r="M104" i="2" s="1"/>
  <c r="T104" i="2" s="1"/>
  <c r="K103" i="2"/>
  <c r="M103" i="2" s="1"/>
  <c r="T103" i="2" s="1"/>
  <c r="K102" i="2"/>
  <c r="M102" i="2" s="1"/>
  <c r="T102" i="2" s="1"/>
  <c r="K101" i="2"/>
  <c r="M101" i="2" s="1"/>
  <c r="T101" i="2" s="1"/>
  <c r="K100" i="2"/>
  <c r="M100" i="2" s="1"/>
  <c r="T100" i="2" s="1"/>
  <c r="K99" i="2"/>
  <c r="M99" i="2" s="1"/>
  <c r="T99" i="2" s="1"/>
  <c r="K98" i="2"/>
  <c r="M98" i="2" s="1"/>
  <c r="T98" i="2" s="1"/>
  <c r="K97" i="2"/>
  <c r="M97" i="2" s="1"/>
  <c r="T97" i="2" s="1"/>
  <c r="K96" i="2"/>
  <c r="M96" i="2" s="1"/>
  <c r="T96" i="2" s="1"/>
  <c r="K95" i="2"/>
  <c r="M95" i="2" s="1"/>
  <c r="T95" i="2" s="1"/>
  <c r="K94" i="2"/>
  <c r="M94" i="2" s="1"/>
  <c r="T94" i="2" s="1"/>
  <c r="K93" i="2"/>
  <c r="M93" i="2" s="1"/>
  <c r="T93" i="2" s="1"/>
  <c r="K92" i="2"/>
  <c r="M92" i="2" s="1"/>
  <c r="T92" i="2" s="1"/>
  <c r="K91" i="2"/>
  <c r="M91" i="2" s="1"/>
  <c r="T91" i="2" s="1"/>
  <c r="K90" i="2"/>
  <c r="M90" i="2" s="1"/>
  <c r="T90" i="2" s="1"/>
  <c r="K89" i="2"/>
  <c r="M89" i="2" s="1"/>
  <c r="T89" i="2" s="1"/>
  <c r="K88" i="2"/>
  <c r="M88" i="2" s="1"/>
  <c r="T88" i="2" s="1"/>
  <c r="K87" i="2"/>
  <c r="M87" i="2" s="1"/>
  <c r="T87" i="2" s="1"/>
  <c r="K86" i="2"/>
  <c r="M86" i="2" s="1"/>
  <c r="T86" i="2" s="1"/>
  <c r="K85" i="2"/>
  <c r="M85" i="2" s="1"/>
  <c r="T85" i="2" s="1"/>
  <c r="K84" i="2"/>
  <c r="M84" i="2" s="1"/>
  <c r="T84" i="2" s="1"/>
  <c r="K83" i="2"/>
  <c r="M83" i="2" s="1"/>
  <c r="T83" i="2" s="1"/>
  <c r="K82" i="2"/>
  <c r="M82" i="2" s="1"/>
  <c r="T82" i="2" s="1"/>
  <c r="K81" i="2"/>
  <c r="M81" i="2" s="1"/>
  <c r="T81" i="2" s="1"/>
  <c r="K80" i="2"/>
  <c r="M80" i="2" s="1"/>
  <c r="T80" i="2" s="1"/>
  <c r="K79" i="2"/>
  <c r="M79" i="2" s="1"/>
  <c r="T79" i="2" s="1"/>
  <c r="K78" i="2"/>
  <c r="M78" i="2" s="1"/>
  <c r="T78" i="2" s="1"/>
  <c r="K77" i="2"/>
  <c r="M77" i="2" s="1"/>
  <c r="T77" i="2" s="1"/>
  <c r="K76" i="2"/>
  <c r="M76" i="2" s="1"/>
  <c r="T76" i="2" s="1"/>
  <c r="K75" i="2"/>
  <c r="M75" i="2" s="1"/>
  <c r="T75" i="2" s="1"/>
  <c r="K74" i="2"/>
  <c r="M74" i="2" s="1"/>
  <c r="T74" i="2" s="1"/>
  <c r="K73" i="2"/>
  <c r="M73" i="2" s="1"/>
  <c r="T73" i="2" s="1"/>
  <c r="K72" i="2"/>
  <c r="M72" i="2" s="1"/>
  <c r="T72" i="2" s="1"/>
  <c r="K71" i="2"/>
  <c r="M71" i="2" s="1"/>
  <c r="T71" i="2" s="1"/>
  <c r="K70" i="2"/>
  <c r="M70" i="2" s="1"/>
  <c r="T70" i="2" s="1"/>
  <c r="K69" i="2"/>
  <c r="M69" i="2" s="1"/>
  <c r="T69" i="2" s="1"/>
  <c r="K68" i="2"/>
  <c r="M68" i="2" s="1"/>
  <c r="T68" i="2" s="1"/>
  <c r="K67" i="2"/>
  <c r="M67" i="2" s="1"/>
  <c r="T67" i="2" s="1"/>
  <c r="K66" i="2"/>
  <c r="M66" i="2" s="1"/>
  <c r="T66" i="2" s="1"/>
  <c r="K65" i="2"/>
  <c r="M65" i="2" s="1"/>
  <c r="T65" i="2" s="1"/>
  <c r="K64" i="2"/>
  <c r="M64" i="2" s="1"/>
  <c r="T64" i="2" s="1"/>
  <c r="K63" i="2"/>
  <c r="M63" i="2" s="1"/>
  <c r="T63" i="2" s="1"/>
  <c r="K62" i="2"/>
  <c r="M62" i="2" s="1"/>
  <c r="T62" i="2" s="1"/>
  <c r="K61" i="2"/>
  <c r="M61" i="2" s="1"/>
  <c r="T61" i="2" s="1"/>
  <c r="K60" i="2"/>
  <c r="M60" i="2" s="1"/>
  <c r="T60" i="2" s="1"/>
  <c r="K59" i="2"/>
  <c r="M59" i="2" s="1"/>
  <c r="T59" i="2" s="1"/>
  <c r="K58" i="2"/>
  <c r="M58" i="2" s="1"/>
  <c r="T58" i="2" s="1"/>
  <c r="K57" i="2"/>
  <c r="M57" i="2" s="1"/>
  <c r="T57" i="2" s="1"/>
  <c r="K56" i="2"/>
  <c r="M56" i="2" s="1"/>
  <c r="T56" i="2" s="1"/>
  <c r="K55" i="2"/>
  <c r="M55" i="2" s="1"/>
  <c r="T55" i="2" s="1"/>
  <c r="K54" i="2"/>
  <c r="M54" i="2" s="1"/>
  <c r="T54" i="2" s="1"/>
  <c r="K53" i="2"/>
  <c r="M53" i="2" s="1"/>
  <c r="T53" i="2" s="1"/>
  <c r="K52" i="2"/>
  <c r="M52" i="2" s="1"/>
  <c r="T52" i="2" s="1"/>
  <c r="K51" i="2"/>
  <c r="M51" i="2" s="1"/>
  <c r="T51" i="2" s="1"/>
  <c r="K50" i="2"/>
  <c r="M50" i="2" s="1"/>
  <c r="T50" i="2" s="1"/>
  <c r="K49" i="2"/>
  <c r="M49" i="2" s="1"/>
  <c r="T49" i="2" s="1"/>
  <c r="K48" i="2"/>
  <c r="M48" i="2" s="1"/>
  <c r="T48" i="2" s="1"/>
  <c r="K47" i="2"/>
  <c r="M47" i="2" s="1"/>
  <c r="T47" i="2" s="1"/>
  <c r="K46" i="2"/>
  <c r="M46" i="2" s="1"/>
  <c r="T46" i="2" s="1"/>
  <c r="K45" i="2"/>
  <c r="M45" i="2" s="1"/>
  <c r="T45" i="2" s="1"/>
  <c r="K44" i="2"/>
  <c r="M44" i="2" s="1"/>
  <c r="T44" i="2" s="1"/>
  <c r="K43" i="2"/>
  <c r="M43" i="2" s="1"/>
  <c r="T43" i="2" s="1"/>
  <c r="K42" i="2"/>
  <c r="M42" i="2" s="1"/>
  <c r="T42" i="2" s="1"/>
  <c r="K41" i="2"/>
  <c r="M41" i="2" s="1"/>
  <c r="T41" i="2" s="1"/>
  <c r="K40" i="2"/>
  <c r="M40" i="2" s="1"/>
  <c r="T40" i="2" s="1"/>
  <c r="K39" i="2"/>
  <c r="M39" i="2" s="1"/>
  <c r="T39" i="2" s="1"/>
  <c r="K38" i="2"/>
  <c r="M38" i="2" s="1"/>
  <c r="T38" i="2" s="1"/>
  <c r="K37" i="2"/>
  <c r="M37" i="2" s="1"/>
  <c r="T37" i="2" s="1"/>
  <c r="K36" i="2"/>
  <c r="M36" i="2" s="1"/>
  <c r="T36" i="2" s="1"/>
  <c r="K35" i="2"/>
  <c r="M35" i="2" s="1"/>
  <c r="T35" i="2" s="1"/>
  <c r="K34" i="2"/>
  <c r="M34" i="2" s="1"/>
  <c r="T34" i="2" s="1"/>
  <c r="K33" i="2"/>
  <c r="M33" i="2" s="1"/>
  <c r="T33" i="2" s="1"/>
  <c r="K32" i="2"/>
  <c r="M32" i="2" s="1"/>
  <c r="T32" i="2" s="1"/>
  <c r="K31" i="2"/>
  <c r="M31" i="2" s="1"/>
  <c r="T31" i="2" s="1"/>
  <c r="K30" i="2"/>
  <c r="M30" i="2" s="1"/>
  <c r="T30" i="2" s="1"/>
  <c r="K29" i="2"/>
  <c r="M29" i="2" s="1"/>
  <c r="T29" i="2" s="1"/>
  <c r="K28" i="2"/>
  <c r="M28" i="2" s="1"/>
  <c r="T28" i="2" s="1"/>
  <c r="K27" i="2"/>
  <c r="M27" i="2" s="1"/>
  <c r="T27" i="2" s="1"/>
  <c r="K26" i="2"/>
  <c r="M26" i="2" s="1"/>
  <c r="T26" i="2" s="1"/>
  <c r="K25" i="2"/>
  <c r="M25" i="2" s="1"/>
  <c r="T25" i="2" s="1"/>
  <c r="K24" i="2"/>
  <c r="M24" i="2" s="1"/>
  <c r="T24" i="2" s="1"/>
  <c r="K23" i="2"/>
  <c r="M23" i="2" s="1"/>
  <c r="T23" i="2" s="1"/>
  <c r="K22" i="2"/>
  <c r="M22" i="2" s="1"/>
  <c r="T22" i="2" s="1"/>
  <c r="K21" i="2"/>
  <c r="M21" i="2" s="1"/>
  <c r="T21" i="2" s="1"/>
  <c r="K20" i="2"/>
  <c r="M20" i="2" s="1"/>
  <c r="T20" i="2" s="1"/>
  <c r="K19" i="2"/>
  <c r="M19" i="2" s="1"/>
  <c r="T19" i="2" s="1"/>
  <c r="K18" i="2"/>
  <c r="M18" i="2" s="1"/>
  <c r="T18" i="2" s="1"/>
  <c r="K17" i="2"/>
  <c r="M17" i="2" s="1"/>
  <c r="T17" i="2" s="1"/>
  <c r="K16" i="2"/>
  <c r="M16" i="2" s="1"/>
  <c r="T16" i="2" s="1"/>
  <c r="K15" i="2"/>
  <c r="M15" i="2" s="1"/>
  <c r="T15" i="2" s="1"/>
  <c r="K14" i="2"/>
  <c r="M14" i="2" s="1"/>
  <c r="T14" i="2" s="1"/>
  <c r="K13" i="2"/>
  <c r="M13" i="2" s="1"/>
  <c r="T13" i="2" s="1"/>
  <c r="K12" i="2"/>
  <c r="M12" i="2" s="1"/>
  <c r="T12" i="2" s="1"/>
  <c r="K11" i="2"/>
  <c r="M11" i="2" s="1"/>
  <c r="T11" i="2" s="1"/>
  <c r="K10" i="2"/>
  <c r="M10" i="2" s="1"/>
  <c r="T10" i="2" s="1"/>
  <c r="K9" i="2"/>
  <c r="M9" i="2" s="1"/>
  <c r="T9" i="2" s="1"/>
  <c r="K8" i="2"/>
  <c r="M8" i="2" s="1"/>
  <c r="T8" i="2" s="1"/>
  <c r="K7" i="2"/>
  <c r="M7" i="2" s="1"/>
  <c r="T7" i="2" s="1"/>
  <c r="K6" i="2"/>
  <c r="M6" i="2" s="1"/>
  <c r="T6" i="2" s="1"/>
  <c r="K5" i="2"/>
  <c r="M5" i="2" s="1"/>
  <c r="T5" i="2" s="1"/>
  <c r="K4" i="2"/>
  <c r="M4" i="2" s="1"/>
  <c r="T4" i="2" s="1"/>
  <c r="K3" i="2"/>
  <c r="M3" i="2" s="1"/>
  <c r="T3" i="2" s="1"/>
  <c r="K2" i="2"/>
  <c r="M2" i="2" s="1"/>
  <c r="T2" i="2" s="1"/>
  <c r="G64" i="5"/>
  <c r="C57" i="5"/>
  <c r="G63" i="5"/>
  <c r="F65" i="5"/>
  <c r="D20" i="5"/>
  <c r="D21" i="5"/>
  <c r="C63" i="5"/>
  <c r="C69" i="5"/>
  <c r="C62" i="5"/>
  <c r="C68" i="5"/>
  <c r="G58" i="5"/>
  <c r="G69" i="5"/>
  <c r="G57" i="5"/>
  <c r="G68" i="5"/>
  <c r="C58" i="5"/>
  <c r="C59" i="5" l="1"/>
  <c r="B13" i="6" s="1"/>
  <c r="G59" i="5"/>
  <c r="E13" i="6" s="1"/>
  <c r="C64" i="5"/>
  <c r="H13" i="6" s="1"/>
  <c r="G65" i="5"/>
  <c r="L13" i="6" s="1"/>
  <c r="G70" i="5"/>
  <c r="C70" i="5"/>
  <c r="U1396" i="2"/>
  <c r="V1396" i="2" s="1"/>
  <c r="T1396" i="2"/>
  <c r="U1268" i="2"/>
  <c r="V1268" i="2" s="1"/>
  <c r="T1268" i="2"/>
  <c r="U871" i="2"/>
  <c r="V871" i="2" s="1"/>
  <c r="T871" i="2"/>
  <c r="U1111" i="2"/>
  <c r="V1111" i="2" s="1"/>
  <c r="T1111" i="2"/>
  <c r="U1436" i="2"/>
  <c r="V1436" i="2" s="1"/>
  <c r="U1428" i="2"/>
  <c r="V1428" i="2" s="1"/>
  <c r="U1420" i="2"/>
  <c r="V1420" i="2" s="1"/>
  <c r="U1412" i="2"/>
  <c r="V1412" i="2" s="1"/>
  <c r="U1404" i="2"/>
  <c r="V1404" i="2" s="1"/>
  <c r="U1388" i="2"/>
  <c r="V1388" i="2" s="1"/>
  <c r="U1380" i="2"/>
  <c r="V1380" i="2" s="1"/>
  <c r="U1372" i="2"/>
  <c r="V1372" i="2" s="1"/>
  <c r="U1364" i="2"/>
  <c r="V1364" i="2" s="1"/>
  <c r="U1356" i="2"/>
  <c r="V1356" i="2" s="1"/>
  <c r="U1348" i="2"/>
  <c r="V1348" i="2" s="1"/>
  <c r="U1340" i="2"/>
  <c r="V1340" i="2" s="1"/>
  <c r="U1332" i="2"/>
  <c r="V1332" i="2" s="1"/>
  <c r="U1324" i="2"/>
  <c r="V1324" i="2" s="1"/>
  <c r="U1316" i="2"/>
  <c r="V1316" i="2" s="1"/>
  <c r="U1308" i="2"/>
  <c r="V1308" i="2" s="1"/>
  <c r="U1300" i="2"/>
  <c r="V1300" i="2" s="1"/>
  <c r="U1292" i="2"/>
  <c r="V1292" i="2" s="1"/>
  <c r="U1284" i="2"/>
  <c r="V1284" i="2" s="1"/>
  <c r="U1276" i="2"/>
  <c r="V1276" i="2" s="1"/>
  <c r="U1260" i="2"/>
  <c r="V1260" i="2" s="1"/>
  <c r="U1252" i="2"/>
  <c r="V1252" i="2" s="1"/>
  <c r="U1244" i="2"/>
  <c r="V1244" i="2" s="1"/>
  <c r="U1236" i="2"/>
  <c r="V1236" i="2" s="1"/>
  <c r="U1228" i="2"/>
  <c r="V1228" i="2" s="1"/>
  <c r="U1220" i="2"/>
  <c r="V1220" i="2" s="1"/>
  <c r="U1212" i="2"/>
  <c r="V1212" i="2" s="1"/>
  <c r="U1204" i="2"/>
  <c r="V1204" i="2" s="1"/>
  <c r="U1196" i="2"/>
  <c r="V1196" i="2" s="1"/>
  <c r="U1188" i="2"/>
  <c r="V1188" i="2" s="1"/>
  <c r="U1180" i="2"/>
  <c r="V1180" i="2" s="1"/>
  <c r="U1172" i="2"/>
  <c r="V1172" i="2" s="1"/>
  <c r="U1164" i="2"/>
  <c r="V1164" i="2" s="1"/>
  <c r="U1156" i="2"/>
  <c r="V1156" i="2" s="1"/>
  <c r="U1148" i="2"/>
  <c r="V1148" i="2" s="1"/>
  <c r="U1140" i="2"/>
  <c r="V1140" i="2" s="1"/>
  <c r="U1132" i="2"/>
  <c r="V1132" i="2" s="1"/>
  <c r="U1124" i="2"/>
  <c r="V1124" i="2" s="1"/>
  <c r="U1116" i="2"/>
  <c r="V1116" i="2" s="1"/>
  <c r="U1108" i="2"/>
  <c r="V1108" i="2" s="1"/>
  <c r="U1100" i="2"/>
  <c r="V1100" i="2" s="1"/>
  <c r="U1092" i="2"/>
  <c r="V1092" i="2" s="1"/>
  <c r="U1084" i="2"/>
  <c r="V1084" i="2" s="1"/>
  <c r="U1076" i="2"/>
  <c r="V1076" i="2" s="1"/>
  <c r="U1068" i="2"/>
  <c r="V1068" i="2" s="1"/>
  <c r="U1060" i="2"/>
  <c r="V1060" i="2" s="1"/>
  <c r="U1052" i="2"/>
  <c r="V1052" i="2" s="1"/>
  <c r="U1044" i="2"/>
  <c r="V1044" i="2" s="1"/>
  <c r="U1036" i="2"/>
  <c r="V1036" i="2" s="1"/>
  <c r="U1028" i="2"/>
  <c r="V1028" i="2" s="1"/>
  <c r="U1020" i="2"/>
  <c r="V1020" i="2" s="1"/>
  <c r="U1012" i="2"/>
  <c r="V1012" i="2" s="1"/>
  <c r="U1004" i="2"/>
  <c r="V1004" i="2" s="1"/>
  <c r="U996" i="2"/>
  <c r="V996" i="2" s="1"/>
  <c r="U988" i="2"/>
  <c r="V988" i="2" s="1"/>
  <c r="U980" i="2"/>
  <c r="V980" i="2" s="1"/>
  <c r="U972" i="2"/>
  <c r="V972" i="2" s="1"/>
  <c r="U964" i="2"/>
  <c r="V964" i="2" s="1"/>
  <c r="U956" i="2"/>
  <c r="V956" i="2" s="1"/>
  <c r="U948" i="2"/>
  <c r="V948" i="2" s="1"/>
  <c r="U940" i="2"/>
  <c r="V940" i="2" s="1"/>
  <c r="U932" i="2"/>
  <c r="V932" i="2" s="1"/>
  <c r="U924" i="2"/>
  <c r="V924" i="2" s="1"/>
  <c r="U916" i="2"/>
  <c r="V916" i="2" s="1"/>
  <c r="U908" i="2"/>
  <c r="V908" i="2" s="1"/>
  <c r="U900" i="2"/>
  <c r="V900" i="2" s="1"/>
  <c r="U892" i="2"/>
  <c r="V892" i="2" s="1"/>
  <c r="U884" i="2"/>
  <c r="V884" i="2" s="1"/>
  <c r="U876" i="2"/>
  <c r="V876" i="2" s="1"/>
  <c r="U868" i="2"/>
  <c r="V868" i="2" s="1"/>
  <c r="U860" i="2"/>
  <c r="V860" i="2" s="1"/>
  <c r="U852" i="2"/>
  <c r="V852" i="2" s="1"/>
  <c r="U844" i="2"/>
  <c r="V844" i="2" s="1"/>
  <c r="U836" i="2"/>
  <c r="V836" i="2" s="1"/>
  <c r="U828" i="2"/>
  <c r="V828" i="2" s="1"/>
  <c r="U820" i="2"/>
  <c r="V820" i="2" s="1"/>
  <c r="U812" i="2"/>
  <c r="V812" i="2" s="1"/>
  <c r="U804" i="2"/>
  <c r="V804" i="2" s="1"/>
  <c r="U796" i="2"/>
  <c r="V796" i="2" s="1"/>
  <c r="U788" i="2"/>
  <c r="V788" i="2" s="1"/>
  <c r="U780" i="2"/>
  <c r="V780" i="2" s="1"/>
  <c r="U772" i="2"/>
  <c r="V772" i="2" s="1"/>
  <c r="U764" i="2"/>
  <c r="V764" i="2" s="1"/>
  <c r="U756" i="2"/>
  <c r="V756" i="2" s="1"/>
  <c r="U748" i="2"/>
  <c r="V748" i="2" s="1"/>
  <c r="U740" i="2"/>
  <c r="V740" i="2" s="1"/>
  <c r="U732" i="2"/>
  <c r="V732" i="2" s="1"/>
  <c r="U724" i="2"/>
  <c r="V724" i="2" s="1"/>
  <c r="U716" i="2"/>
  <c r="V716" i="2" s="1"/>
  <c r="U708" i="2"/>
  <c r="V708" i="2" s="1"/>
  <c r="U700" i="2"/>
  <c r="V700" i="2" s="1"/>
  <c r="U692" i="2"/>
  <c r="V692" i="2" s="1"/>
  <c r="U684" i="2"/>
  <c r="V684" i="2" s="1"/>
  <c r="U676" i="2"/>
  <c r="V676" i="2" s="1"/>
  <c r="U668" i="2"/>
  <c r="V668" i="2" s="1"/>
  <c r="U660" i="2"/>
  <c r="V660" i="2" s="1"/>
  <c r="U652" i="2"/>
  <c r="V652" i="2" s="1"/>
  <c r="U644" i="2"/>
  <c r="V644" i="2" s="1"/>
  <c r="U1441" i="2"/>
  <c r="V1441" i="2" s="1"/>
  <c r="U1433" i="2"/>
  <c r="V1433" i="2" s="1"/>
  <c r="U1425" i="2"/>
  <c r="V1425" i="2" s="1"/>
  <c r="U1417" i="2"/>
  <c r="V1417" i="2" s="1"/>
  <c r="U1409" i="2"/>
  <c r="V1409" i="2" s="1"/>
  <c r="U1401" i="2"/>
  <c r="V1401" i="2" s="1"/>
  <c r="U1393" i="2"/>
  <c r="V1393" i="2" s="1"/>
  <c r="U1385" i="2"/>
  <c r="V1385" i="2" s="1"/>
  <c r="U1377" i="2"/>
  <c r="V1377" i="2" s="1"/>
  <c r="U1369" i="2"/>
  <c r="V1369" i="2" s="1"/>
  <c r="U1361" i="2"/>
  <c r="V1361" i="2" s="1"/>
  <c r="U1353" i="2"/>
  <c r="V1353" i="2" s="1"/>
  <c r="U1345" i="2"/>
  <c r="V1345" i="2" s="1"/>
  <c r="U1337" i="2"/>
  <c r="V1337" i="2" s="1"/>
  <c r="U1329" i="2"/>
  <c r="V1329" i="2" s="1"/>
  <c r="U1439" i="2"/>
  <c r="V1439" i="2" s="1"/>
  <c r="U1431" i="2"/>
  <c r="V1431" i="2" s="1"/>
  <c r="U1423" i="2"/>
  <c r="V1423" i="2" s="1"/>
  <c r="U1415" i="2"/>
  <c r="V1415" i="2" s="1"/>
  <c r="U1407" i="2"/>
  <c r="V1407" i="2" s="1"/>
  <c r="U1399" i="2"/>
  <c r="V1399" i="2" s="1"/>
  <c r="U1391" i="2"/>
  <c r="V1391" i="2" s="1"/>
  <c r="U1383" i="2"/>
  <c r="V1383" i="2" s="1"/>
  <c r="U1375" i="2"/>
  <c r="V1375" i="2" s="1"/>
  <c r="U1367" i="2"/>
  <c r="V1367" i="2" s="1"/>
  <c r="U1359" i="2"/>
  <c r="V1359" i="2" s="1"/>
  <c r="U1351" i="2"/>
  <c r="V1351" i="2" s="1"/>
  <c r="U1343" i="2"/>
  <c r="V1343" i="2" s="1"/>
  <c r="U1335" i="2"/>
  <c r="V1335" i="2" s="1"/>
  <c r="U1327" i="2"/>
  <c r="V1327" i="2" s="1"/>
  <c r="U1319" i="2"/>
  <c r="V1319" i="2" s="1"/>
  <c r="U1311" i="2"/>
  <c r="V1311" i="2" s="1"/>
  <c r="U1303" i="2"/>
  <c r="V1303" i="2" s="1"/>
  <c r="U1295" i="2"/>
  <c r="V1295" i="2" s="1"/>
  <c r="U1287" i="2"/>
  <c r="V1287" i="2" s="1"/>
  <c r="U1279" i="2"/>
  <c r="V1279" i="2" s="1"/>
  <c r="U1271" i="2"/>
  <c r="V1271" i="2" s="1"/>
  <c r="U1263" i="2"/>
  <c r="V1263" i="2" s="1"/>
  <c r="U1255" i="2"/>
  <c r="V1255" i="2" s="1"/>
  <c r="U1247" i="2"/>
  <c r="V1247" i="2" s="1"/>
  <c r="U1239" i="2"/>
  <c r="V1239" i="2" s="1"/>
  <c r="U1231" i="2"/>
  <c r="V1231" i="2" s="1"/>
  <c r="U1223" i="2"/>
  <c r="V1223" i="2" s="1"/>
  <c r="U1215" i="2"/>
  <c r="V1215" i="2" s="1"/>
  <c r="U1207" i="2"/>
  <c r="V1207" i="2" s="1"/>
  <c r="U1199" i="2"/>
  <c r="V1199" i="2" s="1"/>
  <c r="U1191" i="2"/>
  <c r="V1191" i="2" s="1"/>
  <c r="U1183" i="2"/>
  <c r="V1183" i="2" s="1"/>
  <c r="U1438" i="2"/>
  <c r="V1438" i="2" s="1"/>
  <c r="U1430" i="2"/>
  <c r="V1430" i="2" s="1"/>
  <c r="U1422" i="2"/>
  <c r="V1422" i="2" s="1"/>
  <c r="U1414" i="2"/>
  <c r="V1414" i="2" s="1"/>
  <c r="U1406" i="2"/>
  <c r="V1406" i="2" s="1"/>
  <c r="U1398" i="2"/>
  <c r="V1398" i="2" s="1"/>
  <c r="U1390" i="2"/>
  <c r="V1390" i="2" s="1"/>
  <c r="U1382" i="2"/>
  <c r="V1382" i="2" s="1"/>
  <c r="U1374" i="2"/>
  <c r="V1374" i="2" s="1"/>
  <c r="U1366" i="2"/>
  <c r="V1366" i="2" s="1"/>
  <c r="U1358" i="2"/>
  <c r="V1358" i="2" s="1"/>
  <c r="U1350" i="2"/>
  <c r="V1350" i="2" s="1"/>
  <c r="U1342" i="2"/>
  <c r="V1342" i="2" s="1"/>
  <c r="U1334" i="2"/>
  <c r="V1334" i="2" s="1"/>
  <c r="U1326" i="2"/>
  <c r="V1326" i="2" s="1"/>
  <c r="U1318" i="2"/>
  <c r="V1318" i="2" s="1"/>
  <c r="U1310" i="2"/>
  <c r="V1310" i="2" s="1"/>
  <c r="U1302" i="2"/>
  <c r="V1302" i="2" s="1"/>
  <c r="U1294" i="2"/>
  <c r="V1294" i="2" s="1"/>
  <c r="U1286" i="2"/>
  <c r="V1286" i="2" s="1"/>
  <c r="U1278" i="2"/>
  <c r="V1278" i="2" s="1"/>
  <c r="U1270" i="2"/>
  <c r="V1270" i="2" s="1"/>
  <c r="U1262" i="2"/>
  <c r="V1262" i="2" s="1"/>
  <c r="U1254" i="2"/>
  <c r="V1254" i="2" s="1"/>
  <c r="U1246" i="2"/>
  <c r="V1246" i="2" s="1"/>
  <c r="U1238" i="2"/>
  <c r="V1238" i="2" s="1"/>
  <c r="U1230" i="2"/>
  <c r="V1230" i="2" s="1"/>
  <c r="U1222" i="2"/>
  <c r="V1222" i="2" s="1"/>
  <c r="U1214" i="2"/>
  <c r="V1214" i="2" s="1"/>
  <c r="U1206" i="2"/>
  <c r="V1206" i="2" s="1"/>
  <c r="U1198" i="2"/>
  <c r="V1198" i="2" s="1"/>
  <c r="U1190" i="2"/>
  <c r="V1190" i="2" s="1"/>
  <c r="U1182" i="2"/>
  <c r="V1182" i="2" s="1"/>
  <c r="U1174" i="2"/>
  <c r="V1174" i="2" s="1"/>
  <c r="U1166" i="2"/>
  <c r="V1166" i="2" s="1"/>
  <c r="U1158" i="2"/>
  <c r="V1158" i="2" s="1"/>
  <c r="U1150" i="2"/>
  <c r="V1150" i="2" s="1"/>
  <c r="U1142" i="2"/>
  <c r="V1142" i="2" s="1"/>
  <c r="U1134" i="2"/>
  <c r="V1134" i="2" s="1"/>
  <c r="U1126" i="2"/>
  <c r="V1126" i="2" s="1"/>
  <c r="U1118" i="2"/>
  <c r="V1118" i="2" s="1"/>
  <c r="U1110" i="2"/>
  <c r="V1110" i="2" s="1"/>
  <c r="U1102" i="2"/>
  <c r="V1102" i="2" s="1"/>
  <c r="U1094" i="2"/>
  <c r="V1094" i="2" s="1"/>
  <c r="U1086" i="2"/>
  <c r="V1086" i="2" s="1"/>
  <c r="U1078" i="2"/>
  <c r="V1078" i="2" s="1"/>
  <c r="U1070" i="2"/>
  <c r="V1070" i="2" s="1"/>
  <c r="U1062" i="2"/>
  <c r="V1062" i="2" s="1"/>
  <c r="U1054" i="2"/>
  <c r="V1054" i="2" s="1"/>
  <c r="U1046" i="2"/>
  <c r="V1046" i="2" s="1"/>
  <c r="U1038" i="2"/>
  <c r="V1038" i="2" s="1"/>
  <c r="U1030" i="2"/>
  <c r="V1030" i="2" s="1"/>
  <c r="U1022" i="2"/>
  <c r="V1022" i="2" s="1"/>
  <c r="U1014" i="2"/>
  <c r="V1014" i="2" s="1"/>
  <c r="U1006" i="2"/>
  <c r="V1006" i="2" s="1"/>
  <c r="U998" i="2"/>
  <c r="V998" i="2" s="1"/>
  <c r="U990" i="2"/>
  <c r="V990" i="2" s="1"/>
  <c r="U982" i="2"/>
  <c r="V982" i="2" s="1"/>
  <c r="U974" i="2"/>
  <c r="V974" i="2" s="1"/>
  <c r="U966" i="2"/>
  <c r="V966" i="2" s="1"/>
  <c r="U958" i="2"/>
  <c r="V958" i="2" s="1"/>
  <c r="U950" i="2"/>
  <c r="V950" i="2" s="1"/>
  <c r="U942" i="2"/>
  <c r="V942" i="2" s="1"/>
  <c r="U934" i="2"/>
  <c r="V934" i="2" s="1"/>
  <c r="U926" i="2"/>
  <c r="V926" i="2" s="1"/>
  <c r="U918" i="2"/>
  <c r="V918" i="2" s="1"/>
  <c r="U910" i="2"/>
  <c r="V910" i="2" s="1"/>
  <c r="U902" i="2"/>
  <c r="V902" i="2" s="1"/>
  <c r="U894" i="2"/>
  <c r="V894" i="2" s="1"/>
  <c r="U886" i="2"/>
  <c r="V886" i="2" s="1"/>
  <c r="U878" i="2"/>
  <c r="V878" i="2" s="1"/>
  <c r="U870" i="2"/>
  <c r="V870" i="2" s="1"/>
  <c r="U862" i="2"/>
  <c r="V862" i="2" s="1"/>
  <c r="U854" i="2"/>
  <c r="V854" i="2" s="1"/>
  <c r="U846" i="2"/>
  <c r="V846" i="2" s="1"/>
  <c r="U838" i="2"/>
  <c r="V838" i="2" s="1"/>
  <c r="U830" i="2"/>
  <c r="V830" i="2" s="1"/>
  <c r="U822" i="2"/>
  <c r="V822" i="2" s="1"/>
  <c r="U814" i="2"/>
  <c r="V814" i="2" s="1"/>
  <c r="U806" i="2"/>
  <c r="V806" i="2" s="1"/>
  <c r="U798" i="2"/>
  <c r="V798" i="2" s="1"/>
  <c r="U790" i="2"/>
  <c r="V790" i="2" s="1"/>
  <c r="U782" i="2"/>
  <c r="V782" i="2" s="1"/>
  <c r="U774" i="2"/>
  <c r="V774" i="2" s="1"/>
  <c r="U766" i="2"/>
  <c r="V766" i="2" s="1"/>
  <c r="U758" i="2"/>
  <c r="V758" i="2" s="1"/>
  <c r="U750" i="2"/>
  <c r="V750" i="2" s="1"/>
  <c r="U742" i="2"/>
  <c r="V742" i="2" s="1"/>
  <c r="U734" i="2"/>
  <c r="V734" i="2" s="1"/>
  <c r="U726" i="2"/>
  <c r="V726" i="2" s="1"/>
  <c r="U718" i="2"/>
  <c r="V718" i="2" s="1"/>
  <c r="U710" i="2"/>
  <c r="V710" i="2" s="1"/>
  <c r="U702" i="2"/>
  <c r="V702" i="2" s="1"/>
  <c r="U694" i="2"/>
  <c r="V694" i="2" s="1"/>
  <c r="U686" i="2"/>
  <c r="V686" i="2" s="1"/>
  <c r="U678" i="2"/>
  <c r="V678" i="2" s="1"/>
  <c r="U670" i="2"/>
  <c r="V670" i="2" s="1"/>
  <c r="U662" i="2"/>
  <c r="V662" i="2" s="1"/>
  <c r="U654" i="2"/>
  <c r="V654" i="2" s="1"/>
  <c r="U646" i="2"/>
  <c r="V646" i="2" s="1"/>
  <c r="U638" i="2"/>
  <c r="V638" i="2" s="1"/>
  <c r="U630" i="2"/>
  <c r="V630" i="2" s="1"/>
  <c r="U622" i="2"/>
  <c r="V622" i="2" s="1"/>
  <c r="U614" i="2"/>
  <c r="V614" i="2" s="1"/>
  <c r="U606" i="2"/>
  <c r="V606" i="2" s="1"/>
  <c r="U598" i="2"/>
  <c r="V598" i="2" s="1"/>
  <c r="U590" i="2"/>
  <c r="V590" i="2" s="1"/>
  <c r="U582" i="2"/>
  <c r="V582" i="2" s="1"/>
  <c r="U574" i="2"/>
  <c r="V574" i="2" s="1"/>
  <c r="U566" i="2"/>
  <c r="V566" i="2" s="1"/>
  <c r="U558" i="2"/>
  <c r="V558" i="2" s="1"/>
  <c r="U550" i="2"/>
  <c r="V550" i="2" s="1"/>
  <c r="U542" i="2"/>
  <c r="V542" i="2" s="1"/>
  <c r="U534" i="2"/>
  <c r="V534" i="2" s="1"/>
  <c r="U526" i="2"/>
  <c r="V526" i="2" s="1"/>
  <c r="U518" i="2"/>
  <c r="V518" i="2" s="1"/>
  <c r="U510" i="2"/>
  <c r="V510" i="2" s="1"/>
  <c r="U502" i="2"/>
  <c r="V502" i="2" s="1"/>
  <c r="U494" i="2"/>
  <c r="V494" i="2" s="1"/>
  <c r="U486" i="2"/>
  <c r="V486" i="2" s="1"/>
  <c r="U478" i="2"/>
  <c r="V478" i="2" s="1"/>
  <c r="U470" i="2"/>
  <c r="V470" i="2" s="1"/>
  <c r="U462" i="2"/>
  <c r="V462" i="2" s="1"/>
  <c r="U454" i="2"/>
  <c r="V454" i="2" s="1"/>
  <c r="U446" i="2"/>
  <c r="V446" i="2" s="1"/>
  <c r="U438" i="2"/>
  <c r="V438" i="2" s="1"/>
  <c r="U430" i="2"/>
  <c r="V430" i="2" s="1"/>
  <c r="U422" i="2"/>
  <c r="V422" i="2" s="1"/>
  <c r="U414" i="2"/>
  <c r="V414" i="2" s="1"/>
  <c r="U406" i="2"/>
  <c r="V406" i="2" s="1"/>
  <c r="U398" i="2"/>
  <c r="V398" i="2" s="1"/>
  <c r="U390" i="2"/>
  <c r="V390" i="2" s="1"/>
  <c r="U382" i="2"/>
  <c r="V382" i="2" s="1"/>
  <c r="U374" i="2"/>
  <c r="V374" i="2" s="1"/>
  <c r="U366" i="2"/>
  <c r="V366" i="2" s="1"/>
  <c r="U358" i="2"/>
  <c r="V358" i="2" s="1"/>
  <c r="U350" i="2"/>
  <c r="V350" i="2" s="1"/>
  <c r="U342" i="2"/>
  <c r="V342" i="2" s="1"/>
  <c r="U334" i="2"/>
  <c r="V334" i="2" s="1"/>
  <c r="U326" i="2"/>
  <c r="V326" i="2" s="1"/>
  <c r="U318" i="2"/>
  <c r="V318" i="2" s="1"/>
  <c r="U310" i="2"/>
  <c r="V310" i="2" s="1"/>
  <c r="U302" i="2"/>
  <c r="V302" i="2" s="1"/>
  <c r="U294" i="2"/>
  <c r="V294" i="2" s="1"/>
  <c r="U286" i="2"/>
  <c r="V286" i="2" s="1"/>
  <c r="U278" i="2"/>
  <c r="V278" i="2" s="1"/>
  <c r="U270" i="2"/>
  <c r="V270" i="2" s="1"/>
  <c r="U262" i="2"/>
  <c r="V262" i="2" s="1"/>
  <c r="U254" i="2"/>
  <c r="V254" i="2" s="1"/>
  <c r="U246" i="2"/>
  <c r="V246" i="2" s="1"/>
  <c r="U238" i="2"/>
  <c r="V238" i="2" s="1"/>
  <c r="U230" i="2"/>
  <c r="V230" i="2" s="1"/>
  <c r="U222" i="2"/>
  <c r="V222" i="2" s="1"/>
  <c r="U214" i="2"/>
  <c r="V214" i="2" s="1"/>
  <c r="U206" i="2"/>
  <c r="V206" i="2" s="1"/>
  <c r="U198" i="2"/>
  <c r="V198" i="2" s="1"/>
  <c r="U190" i="2"/>
  <c r="V190" i="2" s="1"/>
  <c r="U182" i="2"/>
  <c r="V182" i="2" s="1"/>
  <c r="U174" i="2"/>
  <c r="V174" i="2" s="1"/>
  <c r="U166" i="2"/>
  <c r="V166" i="2" s="1"/>
  <c r="U158" i="2"/>
  <c r="V158" i="2" s="1"/>
  <c r="U150" i="2"/>
  <c r="V150" i="2" s="1"/>
  <c r="U142" i="2"/>
  <c r="V142" i="2" s="1"/>
  <c r="U134" i="2"/>
  <c r="V134" i="2" s="1"/>
  <c r="U126" i="2"/>
  <c r="V126" i="2" s="1"/>
  <c r="U118" i="2"/>
  <c r="V118" i="2" s="1"/>
  <c r="U110" i="2"/>
  <c r="V110" i="2" s="1"/>
  <c r="U102" i="2"/>
  <c r="V102" i="2" s="1"/>
  <c r="U94" i="2"/>
  <c r="V94" i="2" s="1"/>
  <c r="U86" i="2"/>
  <c r="V86" i="2" s="1"/>
  <c r="U78" i="2"/>
  <c r="V78" i="2" s="1"/>
  <c r="U70" i="2"/>
  <c r="V70" i="2" s="1"/>
  <c r="U62" i="2"/>
  <c r="V62" i="2" s="1"/>
  <c r="U54" i="2"/>
  <c r="V54" i="2" s="1"/>
  <c r="U46" i="2"/>
  <c r="V46" i="2" s="1"/>
  <c r="U38" i="2"/>
  <c r="V38" i="2" s="1"/>
  <c r="U30" i="2"/>
  <c r="V30" i="2" s="1"/>
  <c r="U22" i="2"/>
  <c r="V22" i="2" s="1"/>
  <c r="U14" i="2"/>
  <c r="V14" i="2" s="1"/>
  <c r="U6" i="2"/>
  <c r="V6" i="2" s="1"/>
  <c r="U636" i="2"/>
  <c r="V636" i="2" s="1"/>
  <c r="U628" i="2"/>
  <c r="V628" i="2" s="1"/>
  <c r="U620" i="2"/>
  <c r="V620" i="2" s="1"/>
  <c r="U612" i="2"/>
  <c r="V612" i="2" s="1"/>
  <c r="U604" i="2"/>
  <c r="V604" i="2" s="1"/>
  <c r="U596" i="2"/>
  <c r="V596" i="2" s="1"/>
  <c r="U588" i="2"/>
  <c r="V588" i="2" s="1"/>
  <c r="U580" i="2"/>
  <c r="V580" i="2" s="1"/>
  <c r="U572" i="2"/>
  <c r="V572" i="2" s="1"/>
  <c r="U564" i="2"/>
  <c r="V564" i="2" s="1"/>
  <c r="U556" i="2"/>
  <c r="V556" i="2" s="1"/>
  <c r="U548" i="2"/>
  <c r="V548" i="2" s="1"/>
  <c r="U540" i="2"/>
  <c r="V540" i="2" s="1"/>
  <c r="U532" i="2"/>
  <c r="V532" i="2" s="1"/>
  <c r="U524" i="2"/>
  <c r="V524" i="2" s="1"/>
  <c r="U516" i="2"/>
  <c r="V516" i="2" s="1"/>
  <c r="U508" i="2"/>
  <c r="V508" i="2" s="1"/>
  <c r="U500" i="2"/>
  <c r="V500" i="2" s="1"/>
  <c r="U492" i="2"/>
  <c r="V492" i="2" s="1"/>
  <c r="U484" i="2"/>
  <c r="V484" i="2" s="1"/>
  <c r="U476" i="2"/>
  <c r="V476" i="2" s="1"/>
  <c r="U468" i="2"/>
  <c r="V468" i="2" s="1"/>
  <c r="U460" i="2"/>
  <c r="V460" i="2" s="1"/>
  <c r="U452" i="2"/>
  <c r="V452" i="2" s="1"/>
  <c r="U444" i="2"/>
  <c r="V444" i="2" s="1"/>
  <c r="U436" i="2"/>
  <c r="V436" i="2" s="1"/>
  <c r="U428" i="2"/>
  <c r="V428" i="2" s="1"/>
  <c r="U420" i="2"/>
  <c r="V420" i="2" s="1"/>
  <c r="U412" i="2"/>
  <c r="V412" i="2" s="1"/>
  <c r="U404" i="2"/>
  <c r="V404" i="2" s="1"/>
  <c r="U396" i="2"/>
  <c r="V396" i="2" s="1"/>
  <c r="U388" i="2"/>
  <c r="V388" i="2" s="1"/>
  <c r="U380" i="2"/>
  <c r="V380" i="2" s="1"/>
  <c r="U372" i="2"/>
  <c r="V372" i="2" s="1"/>
  <c r="U364" i="2"/>
  <c r="V364" i="2" s="1"/>
  <c r="U356" i="2"/>
  <c r="V356" i="2" s="1"/>
  <c r="U348" i="2"/>
  <c r="V348" i="2" s="1"/>
  <c r="U340" i="2"/>
  <c r="V340" i="2" s="1"/>
  <c r="U332" i="2"/>
  <c r="V332" i="2" s="1"/>
  <c r="U324" i="2"/>
  <c r="V324" i="2" s="1"/>
  <c r="U316" i="2"/>
  <c r="V316" i="2" s="1"/>
  <c r="U308" i="2"/>
  <c r="V308" i="2" s="1"/>
  <c r="U300" i="2"/>
  <c r="V300" i="2" s="1"/>
  <c r="U292" i="2"/>
  <c r="V292" i="2" s="1"/>
  <c r="U284" i="2"/>
  <c r="V284" i="2" s="1"/>
  <c r="U276" i="2"/>
  <c r="V276" i="2" s="1"/>
  <c r="U268" i="2"/>
  <c r="V268" i="2" s="1"/>
  <c r="U260" i="2"/>
  <c r="V260" i="2" s="1"/>
  <c r="U252" i="2"/>
  <c r="V252" i="2" s="1"/>
  <c r="U244" i="2"/>
  <c r="V244" i="2" s="1"/>
  <c r="U236" i="2"/>
  <c r="V236" i="2" s="1"/>
  <c r="U228" i="2"/>
  <c r="V228" i="2" s="1"/>
  <c r="U220" i="2"/>
  <c r="V220" i="2" s="1"/>
  <c r="U212" i="2"/>
  <c r="V212" i="2" s="1"/>
  <c r="U204" i="2"/>
  <c r="V204" i="2" s="1"/>
  <c r="U196" i="2"/>
  <c r="V196" i="2" s="1"/>
  <c r="U188" i="2"/>
  <c r="V188" i="2" s="1"/>
  <c r="U180" i="2"/>
  <c r="V180" i="2" s="1"/>
  <c r="U172" i="2"/>
  <c r="V172" i="2" s="1"/>
  <c r="U164" i="2"/>
  <c r="V164" i="2" s="1"/>
  <c r="U156" i="2"/>
  <c r="V156" i="2" s="1"/>
  <c r="U148" i="2"/>
  <c r="V148" i="2" s="1"/>
  <c r="U140" i="2"/>
  <c r="V140" i="2" s="1"/>
  <c r="U132" i="2"/>
  <c r="V132" i="2" s="1"/>
  <c r="U124" i="2"/>
  <c r="V124" i="2" s="1"/>
  <c r="U116" i="2"/>
  <c r="V116" i="2" s="1"/>
  <c r="U108" i="2"/>
  <c r="V108" i="2" s="1"/>
  <c r="U100" i="2"/>
  <c r="V100" i="2" s="1"/>
  <c r="U92" i="2"/>
  <c r="V92" i="2" s="1"/>
  <c r="U84" i="2"/>
  <c r="V84" i="2" s="1"/>
  <c r="U76" i="2"/>
  <c r="V76" i="2" s="1"/>
  <c r="U68" i="2"/>
  <c r="V68" i="2" s="1"/>
  <c r="U60" i="2"/>
  <c r="V60" i="2" s="1"/>
  <c r="U52" i="2"/>
  <c r="V52" i="2" s="1"/>
  <c r="U44" i="2"/>
  <c r="V44" i="2" s="1"/>
  <c r="U36" i="2"/>
  <c r="V36" i="2" s="1"/>
  <c r="U28" i="2"/>
  <c r="V28" i="2" s="1"/>
  <c r="U20" i="2"/>
  <c r="V20" i="2" s="1"/>
  <c r="U12" i="2"/>
  <c r="V12" i="2" s="1"/>
  <c r="U4" i="2"/>
  <c r="V4" i="2" s="1"/>
  <c r="U1435" i="2"/>
  <c r="V1435" i="2" s="1"/>
  <c r="U1427" i="2"/>
  <c r="V1427" i="2" s="1"/>
  <c r="U1419" i="2"/>
  <c r="V1419" i="2" s="1"/>
  <c r="U1411" i="2"/>
  <c r="V1411" i="2" s="1"/>
  <c r="U1403" i="2"/>
  <c r="V1403" i="2" s="1"/>
  <c r="U1395" i="2"/>
  <c r="V1395" i="2" s="1"/>
  <c r="U1387" i="2"/>
  <c r="V1387" i="2" s="1"/>
  <c r="U1379" i="2"/>
  <c r="V1379" i="2" s="1"/>
  <c r="U1371" i="2"/>
  <c r="V1371" i="2" s="1"/>
  <c r="U1363" i="2"/>
  <c r="V1363" i="2" s="1"/>
  <c r="U1355" i="2"/>
  <c r="V1355" i="2" s="1"/>
  <c r="U1347" i="2"/>
  <c r="V1347" i="2" s="1"/>
  <c r="U1339" i="2"/>
  <c r="V1339" i="2" s="1"/>
  <c r="U1331" i="2"/>
  <c r="V1331" i="2" s="1"/>
  <c r="U1323" i="2"/>
  <c r="V1323" i="2" s="1"/>
  <c r="U1315" i="2"/>
  <c r="V1315" i="2" s="1"/>
  <c r="U1307" i="2"/>
  <c r="V1307" i="2" s="1"/>
  <c r="U1299" i="2"/>
  <c r="V1299" i="2" s="1"/>
  <c r="U1291" i="2"/>
  <c r="V1291" i="2" s="1"/>
  <c r="U1283" i="2"/>
  <c r="V1283" i="2" s="1"/>
  <c r="U1275" i="2"/>
  <c r="V1275" i="2" s="1"/>
  <c r="U1267" i="2"/>
  <c r="V1267" i="2" s="1"/>
  <c r="U1259" i="2"/>
  <c r="V1259" i="2" s="1"/>
  <c r="U1251" i="2"/>
  <c r="V1251" i="2" s="1"/>
  <c r="U1243" i="2"/>
  <c r="V1243" i="2" s="1"/>
  <c r="U1235" i="2"/>
  <c r="V1235" i="2" s="1"/>
  <c r="U1227" i="2"/>
  <c r="V1227" i="2" s="1"/>
  <c r="U1219" i="2"/>
  <c r="V1219" i="2" s="1"/>
  <c r="U1211" i="2"/>
  <c r="V1211" i="2" s="1"/>
  <c r="U1203" i="2"/>
  <c r="V1203" i="2" s="1"/>
  <c r="U1195" i="2"/>
  <c r="V1195" i="2" s="1"/>
  <c r="U1187" i="2"/>
  <c r="V1187" i="2" s="1"/>
  <c r="U1179" i="2"/>
  <c r="V1179" i="2" s="1"/>
  <c r="U2" i="2"/>
  <c r="V2" i="2" s="1"/>
  <c r="U1434" i="2"/>
  <c r="V1434" i="2" s="1"/>
  <c r="U1426" i="2"/>
  <c r="V1426" i="2" s="1"/>
  <c r="U1418" i="2"/>
  <c r="V1418" i="2" s="1"/>
  <c r="U1410" i="2"/>
  <c r="V1410" i="2" s="1"/>
  <c r="U1402" i="2"/>
  <c r="V1402" i="2" s="1"/>
  <c r="U1437" i="2"/>
  <c r="V1437" i="2" s="1"/>
  <c r="U1429" i="2"/>
  <c r="V1429" i="2" s="1"/>
  <c r="U1421" i="2"/>
  <c r="V1421" i="2" s="1"/>
  <c r="U1413" i="2"/>
  <c r="V1413" i="2" s="1"/>
  <c r="U1405" i="2"/>
  <c r="V1405" i="2" s="1"/>
  <c r="U1397" i="2"/>
  <c r="V1397" i="2" s="1"/>
  <c r="U1389" i="2"/>
  <c r="V1389" i="2" s="1"/>
  <c r="U1381" i="2"/>
  <c r="V1381" i="2" s="1"/>
  <c r="U1373" i="2"/>
  <c r="V1373" i="2" s="1"/>
  <c r="U1365" i="2"/>
  <c r="V1365" i="2" s="1"/>
  <c r="U1357" i="2"/>
  <c r="V1357" i="2" s="1"/>
  <c r="U1349" i="2"/>
  <c r="V1349" i="2" s="1"/>
  <c r="U1341" i="2"/>
  <c r="V1341" i="2" s="1"/>
  <c r="U1333" i="2"/>
  <c r="V1333" i="2" s="1"/>
  <c r="U1325" i="2"/>
  <c r="V1325" i="2" s="1"/>
  <c r="U1317" i="2"/>
  <c r="V1317" i="2" s="1"/>
  <c r="U1309" i="2"/>
  <c r="V1309" i="2" s="1"/>
  <c r="U1301" i="2"/>
  <c r="V1301" i="2" s="1"/>
  <c r="U1293" i="2"/>
  <c r="V1293" i="2" s="1"/>
  <c r="U1285" i="2"/>
  <c r="V1285" i="2" s="1"/>
  <c r="U1277" i="2"/>
  <c r="V1277" i="2" s="1"/>
  <c r="U1269" i="2"/>
  <c r="V1269" i="2" s="1"/>
  <c r="U1261" i="2"/>
  <c r="V1261" i="2" s="1"/>
  <c r="U1253" i="2"/>
  <c r="V1253" i="2" s="1"/>
  <c r="U1245" i="2"/>
  <c r="V1245" i="2" s="1"/>
  <c r="U1237" i="2"/>
  <c r="V1237" i="2" s="1"/>
  <c r="U1229" i="2"/>
  <c r="V1229" i="2" s="1"/>
  <c r="U1221" i="2"/>
  <c r="V1221" i="2" s="1"/>
  <c r="U1213" i="2"/>
  <c r="V1213" i="2" s="1"/>
  <c r="U1205" i="2"/>
  <c r="V1205" i="2" s="1"/>
  <c r="U1197" i="2"/>
  <c r="V1197" i="2" s="1"/>
  <c r="U1189" i="2"/>
  <c r="V1189" i="2" s="1"/>
  <c r="U1181" i="2"/>
  <c r="V1181" i="2" s="1"/>
  <c r="U1173" i="2"/>
  <c r="V1173" i="2" s="1"/>
  <c r="U1165" i="2"/>
  <c r="V1165" i="2" s="1"/>
  <c r="U1157" i="2"/>
  <c r="V1157" i="2" s="1"/>
  <c r="U1149" i="2"/>
  <c r="V1149" i="2" s="1"/>
  <c r="U1141" i="2"/>
  <c r="V1141" i="2" s="1"/>
  <c r="U1133" i="2"/>
  <c r="V1133" i="2" s="1"/>
  <c r="U1125" i="2"/>
  <c r="V1125" i="2" s="1"/>
  <c r="U1117" i="2"/>
  <c r="V1117" i="2" s="1"/>
  <c r="U1109" i="2"/>
  <c r="V1109" i="2" s="1"/>
  <c r="U1101" i="2"/>
  <c r="V1101" i="2" s="1"/>
  <c r="U1093" i="2"/>
  <c r="V1093" i="2" s="1"/>
  <c r="U1085" i="2"/>
  <c r="V1085" i="2" s="1"/>
  <c r="U1077" i="2"/>
  <c r="V1077" i="2" s="1"/>
  <c r="U1069" i="2"/>
  <c r="V1069" i="2" s="1"/>
  <c r="U1061" i="2"/>
  <c r="V1061" i="2" s="1"/>
  <c r="U1053" i="2"/>
  <c r="V1053" i="2" s="1"/>
  <c r="U1045" i="2"/>
  <c r="V1045" i="2" s="1"/>
  <c r="U1037" i="2"/>
  <c r="V1037" i="2" s="1"/>
  <c r="U1029" i="2"/>
  <c r="V1029" i="2" s="1"/>
  <c r="U1021" i="2"/>
  <c r="V1021" i="2" s="1"/>
  <c r="U1013" i="2"/>
  <c r="V1013" i="2" s="1"/>
  <c r="U1005" i="2"/>
  <c r="V1005" i="2" s="1"/>
  <c r="U997" i="2"/>
  <c r="V997" i="2" s="1"/>
  <c r="U989" i="2"/>
  <c r="V989" i="2" s="1"/>
  <c r="U981" i="2"/>
  <c r="V981" i="2" s="1"/>
  <c r="U973" i="2"/>
  <c r="V973" i="2" s="1"/>
  <c r="U965" i="2"/>
  <c r="V965" i="2" s="1"/>
  <c r="U957" i="2"/>
  <c r="V957" i="2" s="1"/>
  <c r="U949" i="2"/>
  <c r="V949" i="2" s="1"/>
  <c r="U941" i="2"/>
  <c r="V941" i="2" s="1"/>
  <c r="U933" i="2"/>
  <c r="V933" i="2" s="1"/>
  <c r="U925" i="2"/>
  <c r="V925" i="2" s="1"/>
  <c r="U917" i="2"/>
  <c r="V917" i="2" s="1"/>
  <c r="U909" i="2"/>
  <c r="V909" i="2" s="1"/>
  <c r="U901" i="2"/>
  <c r="V901" i="2" s="1"/>
  <c r="U893" i="2"/>
  <c r="V893" i="2" s="1"/>
  <c r="U885" i="2"/>
  <c r="V885" i="2" s="1"/>
  <c r="U877" i="2"/>
  <c r="V877" i="2" s="1"/>
  <c r="U869" i="2"/>
  <c r="V869" i="2" s="1"/>
  <c r="U861" i="2"/>
  <c r="V861" i="2" s="1"/>
  <c r="U853" i="2"/>
  <c r="V853" i="2" s="1"/>
  <c r="U845" i="2"/>
  <c r="V845" i="2" s="1"/>
  <c r="U837" i="2"/>
  <c r="V837" i="2" s="1"/>
  <c r="U829" i="2"/>
  <c r="V829" i="2" s="1"/>
  <c r="U821" i="2"/>
  <c r="V821" i="2" s="1"/>
  <c r="U813" i="2"/>
  <c r="V813" i="2" s="1"/>
  <c r="U805" i="2"/>
  <c r="V805" i="2" s="1"/>
  <c r="U797" i="2"/>
  <c r="V797" i="2" s="1"/>
  <c r="U789" i="2"/>
  <c r="V789" i="2" s="1"/>
  <c r="U781" i="2"/>
  <c r="V781" i="2" s="1"/>
  <c r="U773" i="2"/>
  <c r="V773" i="2" s="1"/>
  <c r="U765" i="2"/>
  <c r="V765" i="2" s="1"/>
  <c r="U757" i="2"/>
  <c r="V757" i="2" s="1"/>
  <c r="U749" i="2"/>
  <c r="V749" i="2" s="1"/>
  <c r="U741" i="2"/>
  <c r="V741" i="2" s="1"/>
  <c r="U733" i="2"/>
  <c r="V733" i="2" s="1"/>
  <c r="U725" i="2"/>
  <c r="V725" i="2" s="1"/>
  <c r="U717" i="2"/>
  <c r="V717" i="2" s="1"/>
  <c r="U709" i="2"/>
  <c r="V709" i="2" s="1"/>
  <c r="U701" i="2"/>
  <c r="V701" i="2" s="1"/>
  <c r="U693" i="2"/>
  <c r="V693" i="2" s="1"/>
  <c r="U685" i="2"/>
  <c r="V685" i="2" s="1"/>
  <c r="U677" i="2"/>
  <c r="V677" i="2" s="1"/>
  <c r="U669" i="2"/>
  <c r="V669" i="2" s="1"/>
  <c r="U661" i="2"/>
  <c r="V661" i="2" s="1"/>
  <c r="U653" i="2"/>
  <c r="V653" i="2" s="1"/>
  <c r="U645" i="2"/>
  <c r="V645" i="2" s="1"/>
  <c r="U637" i="2"/>
  <c r="V637" i="2" s="1"/>
  <c r="U629" i="2"/>
  <c r="V629" i="2" s="1"/>
  <c r="U621" i="2"/>
  <c r="V621" i="2" s="1"/>
  <c r="U613" i="2"/>
  <c r="V613" i="2" s="1"/>
  <c r="U605" i="2"/>
  <c r="V605" i="2" s="1"/>
  <c r="U597" i="2"/>
  <c r="V597" i="2" s="1"/>
  <c r="U589" i="2"/>
  <c r="V589" i="2" s="1"/>
  <c r="U581" i="2"/>
  <c r="V581" i="2" s="1"/>
  <c r="U573" i="2"/>
  <c r="V573" i="2" s="1"/>
  <c r="U565" i="2"/>
  <c r="V565" i="2" s="1"/>
  <c r="U557" i="2"/>
  <c r="V557" i="2" s="1"/>
  <c r="U549" i="2"/>
  <c r="V549" i="2" s="1"/>
  <c r="U541" i="2"/>
  <c r="V541" i="2" s="1"/>
  <c r="U533" i="2"/>
  <c r="V533" i="2" s="1"/>
  <c r="U525" i="2"/>
  <c r="V525" i="2" s="1"/>
  <c r="U517" i="2"/>
  <c r="V517" i="2" s="1"/>
  <c r="U509" i="2"/>
  <c r="V509" i="2" s="1"/>
  <c r="U501" i="2"/>
  <c r="V501" i="2" s="1"/>
  <c r="U493" i="2"/>
  <c r="V493" i="2" s="1"/>
  <c r="U485" i="2"/>
  <c r="V485" i="2" s="1"/>
  <c r="U477" i="2"/>
  <c r="V477" i="2" s="1"/>
  <c r="U469" i="2"/>
  <c r="V469" i="2" s="1"/>
  <c r="U461" i="2"/>
  <c r="V461" i="2" s="1"/>
  <c r="U453" i="2"/>
  <c r="V453" i="2" s="1"/>
  <c r="U445" i="2"/>
  <c r="V445" i="2" s="1"/>
  <c r="U437" i="2"/>
  <c r="V437" i="2" s="1"/>
  <c r="U429" i="2"/>
  <c r="V429" i="2" s="1"/>
  <c r="U421" i="2"/>
  <c r="V421" i="2" s="1"/>
  <c r="U413" i="2"/>
  <c r="V413" i="2" s="1"/>
  <c r="U405" i="2"/>
  <c r="V405" i="2" s="1"/>
  <c r="U397" i="2"/>
  <c r="V397" i="2" s="1"/>
  <c r="U389" i="2"/>
  <c r="V389" i="2" s="1"/>
  <c r="U381" i="2"/>
  <c r="V381" i="2" s="1"/>
  <c r="U373" i="2"/>
  <c r="V373" i="2" s="1"/>
  <c r="U1171" i="2"/>
  <c r="V1171" i="2" s="1"/>
  <c r="U1163" i="2"/>
  <c r="V1163" i="2" s="1"/>
  <c r="U1155" i="2"/>
  <c r="V1155" i="2" s="1"/>
  <c r="U1147" i="2"/>
  <c r="V1147" i="2" s="1"/>
  <c r="U1139" i="2"/>
  <c r="V1139" i="2" s="1"/>
  <c r="U1131" i="2"/>
  <c r="V1131" i="2" s="1"/>
  <c r="U1123" i="2"/>
  <c r="V1123" i="2" s="1"/>
  <c r="U1115" i="2"/>
  <c r="V1115" i="2" s="1"/>
  <c r="U1107" i="2"/>
  <c r="V1107" i="2" s="1"/>
  <c r="U1099" i="2"/>
  <c r="V1099" i="2" s="1"/>
  <c r="U1091" i="2"/>
  <c r="V1091" i="2" s="1"/>
  <c r="U1083" i="2"/>
  <c r="V1083" i="2" s="1"/>
  <c r="U1075" i="2"/>
  <c r="V1075" i="2" s="1"/>
  <c r="U1067" i="2"/>
  <c r="V1067" i="2" s="1"/>
  <c r="U1059" i="2"/>
  <c r="V1059" i="2" s="1"/>
  <c r="U1051" i="2"/>
  <c r="V1051" i="2" s="1"/>
  <c r="U1043" i="2"/>
  <c r="V1043" i="2" s="1"/>
  <c r="U1035" i="2"/>
  <c r="V1035" i="2" s="1"/>
  <c r="U1027" i="2"/>
  <c r="V1027" i="2" s="1"/>
  <c r="U1019" i="2"/>
  <c r="V1019" i="2" s="1"/>
  <c r="U1011" i="2"/>
  <c r="V1011" i="2" s="1"/>
  <c r="U1003" i="2"/>
  <c r="V1003" i="2" s="1"/>
  <c r="U995" i="2"/>
  <c r="V995" i="2" s="1"/>
  <c r="U987" i="2"/>
  <c r="V987" i="2" s="1"/>
  <c r="U979" i="2"/>
  <c r="V979" i="2" s="1"/>
  <c r="U971" i="2"/>
  <c r="V971" i="2" s="1"/>
  <c r="U963" i="2"/>
  <c r="V963" i="2" s="1"/>
  <c r="U955" i="2"/>
  <c r="V955" i="2" s="1"/>
  <c r="U947" i="2"/>
  <c r="V947" i="2" s="1"/>
  <c r="U939" i="2"/>
  <c r="V939" i="2" s="1"/>
  <c r="U931" i="2"/>
  <c r="V931" i="2" s="1"/>
  <c r="U923" i="2"/>
  <c r="V923" i="2" s="1"/>
  <c r="U915" i="2"/>
  <c r="V915" i="2" s="1"/>
  <c r="U907" i="2"/>
  <c r="V907" i="2" s="1"/>
  <c r="U899" i="2"/>
  <c r="V899" i="2" s="1"/>
  <c r="U891" i="2"/>
  <c r="V891" i="2" s="1"/>
  <c r="U883" i="2"/>
  <c r="V883" i="2" s="1"/>
  <c r="U875" i="2"/>
  <c r="V875" i="2" s="1"/>
  <c r="U867" i="2"/>
  <c r="V867" i="2" s="1"/>
  <c r="U859" i="2"/>
  <c r="V859" i="2" s="1"/>
  <c r="U851" i="2"/>
  <c r="V851" i="2" s="1"/>
  <c r="U843" i="2"/>
  <c r="V843" i="2" s="1"/>
  <c r="U835" i="2"/>
  <c r="V835" i="2" s="1"/>
  <c r="U827" i="2"/>
  <c r="V827" i="2" s="1"/>
  <c r="U819" i="2"/>
  <c r="V819" i="2" s="1"/>
  <c r="U811" i="2"/>
  <c r="V811" i="2" s="1"/>
  <c r="U803" i="2"/>
  <c r="V803" i="2" s="1"/>
  <c r="U795" i="2"/>
  <c r="V795" i="2" s="1"/>
  <c r="U787" i="2"/>
  <c r="V787" i="2" s="1"/>
  <c r="U779" i="2"/>
  <c r="V779" i="2" s="1"/>
  <c r="U771" i="2"/>
  <c r="V771" i="2" s="1"/>
  <c r="U763" i="2"/>
  <c r="V763" i="2" s="1"/>
  <c r="U755" i="2"/>
  <c r="V755" i="2" s="1"/>
  <c r="U747" i="2"/>
  <c r="V747" i="2" s="1"/>
  <c r="U739" i="2"/>
  <c r="V739" i="2" s="1"/>
  <c r="U731" i="2"/>
  <c r="V731" i="2" s="1"/>
  <c r="U723" i="2"/>
  <c r="V723" i="2" s="1"/>
  <c r="U715" i="2"/>
  <c r="V715" i="2" s="1"/>
  <c r="U707" i="2"/>
  <c r="V707" i="2" s="1"/>
  <c r="U699" i="2"/>
  <c r="V699" i="2" s="1"/>
  <c r="U691" i="2"/>
  <c r="V691" i="2" s="1"/>
  <c r="U683" i="2"/>
  <c r="V683" i="2" s="1"/>
  <c r="U675" i="2"/>
  <c r="V675" i="2" s="1"/>
  <c r="U667" i="2"/>
  <c r="V667" i="2" s="1"/>
  <c r="U659" i="2"/>
  <c r="V659" i="2" s="1"/>
  <c r="U651" i="2"/>
  <c r="V651" i="2" s="1"/>
  <c r="U643" i="2"/>
  <c r="V643" i="2" s="1"/>
  <c r="U635" i="2"/>
  <c r="V635" i="2" s="1"/>
  <c r="U627" i="2"/>
  <c r="V627" i="2" s="1"/>
  <c r="U619" i="2"/>
  <c r="V619" i="2" s="1"/>
  <c r="U611" i="2"/>
  <c r="V611" i="2" s="1"/>
  <c r="U603" i="2"/>
  <c r="V603" i="2" s="1"/>
  <c r="U595" i="2"/>
  <c r="V595" i="2" s="1"/>
  <c r="U587" i="2"/>
  <c r="V587" i="2" s="1"/>
  <c r="U579" i="2"/>
  <c r="V579" i="2" s="1"/>
  <c r="U571" i="2"/>
  <c r="V571" i="2" s="1"/>
  <c r="U563" i="2"/>
  <c r="V563" i="2" s="1"/>
  <c r="U555" i="2"/>
  <c r="V555" i="2" s="1"/>
  <c r="U547" i="2"/>
  <c r="V547" i="2" s="1"/>
  <c r="U539" i="2"/>
  <c r="V539" i="2" s="1"/>
  <c r="U531" i="2"/>
  <c r="V531" i="2" s="1"/>
  <c r="U523" i="2"/>
  <c r="V523" i="2" s="1"/>
  <c r="U515" i="2"/>
  <c r="V515" i="2" s="1"/>
  <c r="U507" i="2"/>
  <c r="V507" i="2" s="1"/>
  <c r="U499" i="2"/>
  <c r="V499" i="2" s="1"/>
  <c r="U491" i="2"/>
  <c r="V491" i="2" s="1"/>
  <c r="U483" i="2"/>
  <c r="V483" i="2" s="1"/>
  <c r="U475" i="2"/>
  <c r="V475" i="2" s="1"/>
  <c r="U467" i="2"/>
  <c r="V467" i="2" s="1"/>
  <c r="U459" i="2"/>
  <c r="V459" i="2" s="1"/>
  <c r="U451" i="2"/>
  <c r="V451" i="2" s="1"/>
  <c r="U443" i="2"/>
  <c r="V443" i="2" s="1"/>
  <c r="U435" i="2"/>
  <c r="V435" i="2" s="1"/>
  <c r="U427" i="2"/>
  <c r="V427" i="2" s="1"/>
  <c r="U419" i="2"/>
  <c r="V419" i="2" s="1"/>
  <c r="U411" i="2"/>
  <c r="V411" i="2" s="1"/>
  <c r="U403" i="2"/>
  <c r="V403" i="2" s="1"/>
  <c r="U395" i="2"/>
  <c r="V395" i="2" s="1"/>
  <c r="U387" i="2"/>
  <c r="V387" i="2" s="1"/>
  <c r="U379" i="2"/>
  <c r="V379" i="2" s="1"/>
  <c r="U371" i="2"/>
  <c r="V371" i="2" s="1"/>
  <c r="U363" i="2"/>
  <c r="V363" i="2" s="1"/>
  <c r="U355" i="2"/>
  <c r="V355" i="2" s="1"/>
  <c r="U347" i="2"/>
  <c r="V347" i="2" s="1"/>
  <c r="U339" i="2"/>
  <c r="V339" i="2" s="1"/>
  <c r="U331" i="2"/>
  <c r="V331" i="2" s="1"/>
  <c r="U323" i="2"/>
  <c r="V323" i="2" s="1"/>
  <c r="U315" i="2"/>
  <c r="V315" i="2" s="1"/>
  <c r="U307" i="2"/>
  <c r="V307" i="2" s="1"/>
  <c r="U299" i="2"/>
  <c r="V299" i="2" s="1"/>
  <c r="U291" i="2"/>
  <c r="V291" i="2" s="1"/>
  <c r="U283" i="2"/>
  <c r="V283" i="2" s="1"/>
  <c r="U275" i="2"/>
  <c r="V275" i="2" s="1"/>
  <c r="U267" i="2"/>
  <c r="V267" i="2" s="1"/>
  <c r="U259" i="2"/>
  <c r="V259" i="2" s="1"/>
  <c r="U251" i="2"/>
  <c r="V251" i="2" s="1"/>
  <c r="U243" i="2"/>
  <c r="V243" i="2" s="1"/>
  <c r="U235" i="2"/>
  <c r="V235" i="2" s="1"/>
  <c r="U227" i="2"/>
  <c r="V227" i="2" s="1"/>
  <c r="U219" i="2"/>
  <c r="V219" i="2" s="1"/>
  <c r="U211" i="2"/>
  <c r="V211" i="2" s="1"/>
  <c r="U203" i="2"/>
  <c r="V203" i="2" s="1"/>
  <c r="U195" i="2"/>
  <c r="V195" i="2" s="1"/>
  <c r="U187" i="2"/>
  <c r="V187" i="2" s="1"/>
  <c r="U179" i="2"/>
  <c r="V179" i="2" s="1"/>
  <c r="U171" i="2"/>
  <c r="V171" i="2" s="1"/>
  <c r="U163" i="2"/>
  <c r="V163" i="2" s="1"/>
  <c r="U155" i="2"/>
  <c r="V155" i="2" s="1"/>
  <c r="U147" i="2"/>
  <c r="V147" i="2" s="1"/>
  <c r="U139" i="2"/>
  <c r="V139" i="2" s="1"/>
  <c r="U131" i="2"/>
  <c r="V131" i="2" s="1"/>
  <c r="U123" i="2"/>
  <c r="V123" i="2" s="1"/>
  <c r="U115" i="2"/>
  <c r="V115" i="2" s="1"/>
  <c r="U1394" i="2"/>
  <c r="V1394" i="2" s="1"/>
  <c r="U1386" i="2"/>
  <c r="V1386" i="2" s="1"/>
  <c r="U1378" i="2"/>
  <c r="V1378" i="2" s="1"/>
  <c r="U1370" i="2"/>
  <c r="V1370" i="2" s="1"/>
  <c r="U1362" i="2"/>
  <c r="V1362" i="2" s="1"/>
  <c r="U1354" i="2"/>
  <c r="V1354" i="2" s="1"/>
  <c r="U1346" i="2"/>
  <c r="V1346" i="2" s="1"/>
  <c r="U1338" i="2"/>
  <c r="V1338" i="2" s="1"/>
  <c r="U1330" i="2"/>
  <c r="V1330" i="2" s="1"/>
  <c r="U1322" i="2"/>
  <c r="V1322" i="2" s="1"/>
  <c r="U1314" i="2"/>
  <c r="V1314" i="2" s="1"/>
  <c r="U1306" i="2"/>
  <c r="V1306" i="2" s="1"/>
  <c r="U1298" i="2"/>
  <c r="V1298" i="2" s="1"/>
  <c r="U1290" i="2"/>
  <c r="V1290" i="2" s="1"/>
  <c r="U1282" i="2"/>
  <c r="V1282" i="2" s="1"/>
  <c r="U1274" i="2"/>
  <c r="V1274" i="2" s="1"/>
  <c r="U1266" i="2"/>
  <c r="V1266" i="2" s="1"/>
  <c r="U1258" i="2"/>
  <c r="V1258" i="2" s="1"/>
  <c r="U1250" i="2"/>
  <c r="V1250" i="2" s="1"/>
  <c r="U1242" i="2"/>
  <c r="V1242" i="2" s="1"/>
  <c r="U1234" i="2"/>
  <c r="V1234" i="2" s="1"/>
  <c r="U1226" i="2"/>
  <c r="V1226" i="2" s="1"/>
  <c r="U1218" i="2"/>
  <c r="V1218" i="2" s="1"/>
  <c r="U1210" i="2"/>
  <c r="V1210" i="2" s="1"/>
  <c r="U1202" i="2"/>
  <c r="V1202" i="2" s="1"/>
  <c r="U1194" i="2"/>
  <c r="V1194" i="2" s="1"/>
  <c r="U1186" i="2"/>
  <c r="V1186" i="2" s="1"/>
  <c r="U1178" i="2"/>
  <c r="V1178" i="2" s="1"/>
  <c r="U1170" i="2"/>
  <c r="V1170" i="2" s="1"/>
  <c r="U1162" i="2"/>
  <c r="V1162" i="2" s="1"/>
  <c r="U1154" i="2"/>
  <c r="V1154" i="2" s="1"/>
  <c r="U1146" i="2"/>
  <c r="V1146" i="2" s="1"/>
  <c r="U1138" i="2"/>
  <c r="V1138" i="2" s="1"/>
  <c r="U1130" i="2"/>
  <c r="V1130" i="2" s="1"/>
  <c r="U1122" i="2"/>
  <c r="V1122" i="2" s="1"/>
  <c r="U1114" i="2"/>
  <c r="V1114" i="2" s="1"/>
  <c r="U1106" i="2"/>
  <c r="V1106" i="2" s="1"/>
  <c r="U1098" i="2"/>
  <c r="V1098" i="2" s="1"/>
  <c r="U1090" i="2"/>
  <c r="V1090" i="2" s="1"/>
  <c r="U1082" i="2"/>
  <c r="V1082" i="2" s="1"/>
  <c r="U1074" i="2"/>
  <c r="V1074" i="2" s="1"/>
  <c r="U1066" i="2"/>
  <c r="V1066" i="2" s="1"/>
  <c r="U1058" i="2"/>
  <c r="V1058" i="2" s="1"/>
  <c r="U1050" i="2"/>
  <c r="V1050" i="2" s="1"/>
  <c r="U1042" i="2"/>
  <c r="V1042" i="2" s="1"/>
  <c r="U1034" i="2"/>
  <c r="V1034" i="2" s="1"/>
  <c r="U1026" i="2"/>
  <c r="V1026" i="2" s="1"/>
  <c r="U1018" i="2"/>
  <c r="V1018" i="2" s="1"/>
  <c r="U1010" i="2"/>
  <c r="V1010" i="2" s="1"/>
  <c r="U1002" i="2"/>
  <c r="V1002" i="2" s="1"/>
  <c r="U994" i="2"/>
  <c r="V994" i="2" s="1"/>
  <c r="U986" i="2"/>
  <c r="V986" i="2" s="1"/>
  <c r="U978" i="2"/>
  <c r="V978" i="2" s="1"/>
  <c r="U970" i="2"/>
  <c r="V970" i="2" s="1"/>
  <c r="U962" i="2"/>
  <c r="V962" i="2" s="1"/>
  <c r="U954" i="2"/>
  <c r="V954" i="2" s="1"/>
  <c r="U946" i="2"/>
  <c r="V946" i="2" s="1"/>
  <c r="U938" i="2"/>
  <c r="V938" i="2" s="1"/>
  <c r="U930" i="2"/>
  <c r="V930" i="2" s="1"/>
  <c r="U922" i="2"/>
  <c r="V922" i="2" s="1"/>
  <c r="U914" i="2"/>
  <c r="V914" i="2" s="1"/>
  <c r="U906" i="2"/>
  <c r="V906" i="2" s="1"/>
  <c r="U898" i="2"/>
  <c r="V898" i="2" s="1"/>
  <c r="U890" i="2"/>
  <c r="V890" i="2" s="1"/>
  <c r="U882" i="2"/>
  <c r="V882" i="2" s="1"/>
  <c r="U874" i="2"/>
  <c r="V874" i="2" s="1"/>
  <c r="U866" i="2"/>
  <c r="V866" i="2" s="1"/>
  <c r="U858" i="2"/>
  <c r="V858" i="2" s="1"/>
  <c r="U850" i="2"/>
  <c r="V850" i="2" s="1"/>
  <c r="U842" i="2"/>
  <c r="V842" i="2" s="1"/>
  <c r="U834" i="2"/>
  <c r="V834" i="2" s="1"/>
  <c r="U826" i="2"/>
  <c r="V826" i="2" s="1"/>
  <c r="U818" i="2"/>
  <c r="V818" i="2" s="1"/>
  <c r="U810" i="2"/>
  <c r="V810" i="2" s="1"/>
  <c r="U802" i="2"/>
  <c r="V802" i="2" s="1"/>
  <c r="U794" i="2"/>
  <c r="V794" i="2" s="1"/>
  <c r="U786" i="2"/>
  <c r="V786" i="2" s="1"/>
  <c r="U778" i="2"/>
  <c r="V778" i="2" s="1"/>
  <c r="U770" i="2"/>
  <c r="V770" i="2" s="1"/>
  <c r="U762" i="2"/>
  <c r="V762" i="2" s="1"/>
  <c r="U754" i="2"/>
  <c r="V754" i="2" s="1"/>
  <c r="U746" i="2"/>
  <c r="V746" i="2" s="1"/>
  <c r="U738" i="2"/>
  <c r="V738" i="2" s="1"/>
  <c r="U730" i="2"/>
  <c r="V730" i="2" s="1"/>
  <c r="U722" i="2"/>
  <c r="V722" i="2" s="1"/>
  <c r="U714" i="2"/>
  <c r="V714" i="2" s="1"/>
  <c r="U706" i="2"/>
  <c r="V706" i="2" s="1"/>
  <c r="U698" i="2"/>
  <c r="V698" i="2" s="1"/>
  <c r="U690" i="2"/>
  <c r="V690" i="2" s="1"/>
  <c r="U682" i="2"/>
  <c r="V682" i="2" s="1"/>
  <c r="U674" i="2"/>
  <c r="V674" i="2" s="1"/>
  <c r="U666" i="2"/>
  <c r="V666" i="2" s="1"/>
  <c r="U658" i="2"/>
  <c r="V658" i="2" s="1"/>
  <c r="U650" i="2"/>
  <c r="V650" i="2" s="1"/>
  <c r="U642" i="2"/>
  <c r="V642" i="2" s="1"/>
  <c r="U634" i="2"/>
  <c r="V634" i="2" s="1"/>
  <c r="U626" i="2"/>
  <c r="V626" i="2" s="1"/>
  <c r="U618" i="2"/>
  <c r="V618" i="2" s="1"/>
  <c r="U610" i="2"/>
  <c r="V610" i="2" s="1"/>
  <c r="U602" i="2"/>
  <c r="V602" i="2" s="1"/>
  <c r="U594" i="2"/>
  <c r="V594" i="2" s="1"/>
  <c r="U586" i="2"/>
  <c r="V586" i="2" s="1"/>
  <c r="U578" i="2"/>
  <c r="V578" i="2" s="1"/>
  <c r="U570" i="2"/>
  <c r="V570" i="2" s="1"/>
  <c r="U562" i="2"/>
  <c r="V562" i="2" s="1"/>
  <c r="U554" i="2"/>
  <c r="V554" i="2" s="1"/>
  <c r="U546" i="2"/>
  <c r="V546" i="2" s="1"/>
  <c r="U538" i="2"/>
  <c r="V538" i="2" s="1"/>
  <c r="U530" i="2"/>
  <c r="V530" i="2" s="1"/>
  <c r="U522" i="2"/>
  <c r="V522" i="2" s="1"/>
  <c r="U514" i="2"/>
  <c r="V514" i="2" s="1"/>
  <c r="U506" i="2"/>
  <c r="V506" i="2" s="1"/>
  <c r="U498" i="2"/>
  <c r="V498" i="2" s="1"/>
  <c r="U490" i="2"/>
  <c r="V490" i="2" s="1"/>
  <c r="U482" i="2"/>
  <c r="V482" i="2" s="1"/>
  <c r="U474" i="2"/>
  <c r="V474" i="2" s="1"/>
  <c r="U466" i="2"/>
  <c r="V466" i="2" s="1"/>
  <c r="U458" i="2"/>
  <c r="V458" i="2" s="1"/>
  <c r="U450" i="2"/>
  <c r="V450" i="2" s="1"/>
  <c r="U442" i="2"/>
  <c r="V442" i="2" s="1"/>
  <c r="U434" i="2"/>
  <c r="V434" i="2" s="1"/>
  <c r="U426" i="2"/>
  <c r="V426" i="2" s="1"/>
  <c r="U418" i="2"/>
  <c r="V418" i="2" s="1"/>
  <c r="U410" i="2"/>
  <c r="V410" i="2" s="1"/>
  <c r="U402" i="2"/>
  <c r="V402" i="2" s="1"/>
  <c r="U394" i="2"/>
  <c r="V394" i="2" s="1"/>
  <c r="U386" i="2"/>
  <c r="V386" i="2" s="1"/>
  <c r="U378" i="2"/>
  <c r="V378" i="2" s="1"/>
  <c r="U370" i="2"/>
  <c r="V370" i="2" s="1"/>
  <c r="U362" i="2"/>
  <c r="V362" i="2" s="1"/>
  <c r="U354" i="2"/>
  <c r="V354" i="2" s="1"/>
  <c r="U346" i="2"/>
  <c r="V346" i="2" s="1"/>
  <c r="U338" i="2"/>
  <c r="V338" i="2" s="1"/>
  <c r="U330" i="2"/>
  <c r="V330" i="2" s="1"/>
  <c r="U322" i="2"/>
  <c r="V322" i="2" s="1"/>
  <c r="U314" i="2"/>
  <c r="V314" i="2" s="1"/>
  <c r="U306" i="2"/>
  <c r="V306" i="2" s="1"/>
  <c r="U1321" i="2"/>
  <c r="V1321" i="2" s="1"/>
  <c r="U1313" i="2"/>
  <c r="V1313" i="2" s="1"/>
  <c r="U1305" i="2"/>
  <c r="V1305" i="2" s="1"/>
  <c r="U1297" i="2"/>
  <c r="V1297" i="2" s="1"/>
  <c r="U1289" i="2"/>
  <c r="V1289" i="2" s="1"/>
  <c r="U1281" i="2"/>
  <c r="V1281" i="2" s="1"/>
  <c r="U1273" i="2"/>
  <c r="V1273" i="2" s="1"/>
  <c r="U1265" i="2"/>
  <c r="V1265" i="2" s="1"/>
  <c r="U1257" i="2"/>
  <c r="V1257" i="2" s="1"/>
  <c r="U1249" i="2"/>
  <c r="V1249" i="2" s="1"/>
  <c r="U1241" i="2"/>
  <c r="V1241" i="2" s="1"/>
  <c r="U1233" i="2"/>
  <c r="V1233" i="2" s="1"/>
  <c r="U1225" i="2"/>
  <c r="V1225" i="2" s="1"/>
  <c r="U1217" i="2"/>
  <c r="V1217" i="2" s="1"/>
  <c r="U1209" i="2"/>
  <c r="V1209" i="2" s="1"/>
  <c r="U1201" i="2"/>
  <c r="V1201" i="2" s="1"/>
  <c r="U1193" i="2"/>
  <c r="V1193" i="2" s="1"/>
  <c r="U1185" i="2"/>
  <c r="V1185" i="2" s="1"/>
  <c r="U1177" i="2"/>
  <c r="V1177" i="2" s="1"/>
  <c r="U1169" i="2"/>
  <c r="V1169" i="2" s="1"/>
  <c r="U1161" i="2"/>
  <c r="V1161" i="2" s="1"/>
  <c r="U1153" i="2"/>
  <c r="V1153" i="2" s="1"/>
  <c r="U1145" i="2"/>
  <c r="V1145" i="2" s="1"/>
  <c r="U1137" i="2"/>
  <c r="V1137" i="2" s="1"/>
  <c r="U1129" i="2"/>
  <c r="V1129" i="2" s="1"/>
  <c r="U1121" i="2"/>
  <c r="V1121" i="2" s="1"/>
  <c r="U1113" i="2"/>
  <c r="V1113" i="2" s="1"/>
  <c r="U1105" i="2"/>
  <c r="V1105" i="2" s="1"/>
  <c r="U1097" i="2"/>
  <c r="V1097" i="2" s="1"/>
  <c r="U1089" i="2"/>
  <c r="V1089" i="2" s="1"/>
  <c r="U1081" i="2"/>
  <c r="V1081" i="2" s="1"/>
  <c r="U1073" i="2"/>
  <c r="V1073" i="2" s="1"/>
  <c r="U1065" i="2"/>
  <c r="V1065" i="2" s="1"/>
  <c r="U1057" i="2"/>
  <c r="V1057" i="2" s="1"/>
  <c r="U1049" i="2"/>
  <c r="V1049" i="2" s="1"/>
  <c r="U1041" i="2"/>
  <c r="V1041" i="2" s="1"/>
  <c r="U1033" i="2"/>
  <c r="V1033" i="2" s="1"/>
  <c r="U1025" i="2"/>
  <c r="V1025" i="2" s="1"/>
  <c r="U1017" i="2"/>
  <c r="V1017" i="2" s="1"/>
  <c r="U1009" i="2"/>
  <c r="V1009" i="2" s="1"/>
  <c r="U1001" i="2"/>
  <c r="V1001" i="2" s="1"/>
  <c r="U993" i="2"/>
  <c r="V993" i="2" s="1"/>
  <c r="U985" i="2"/>
  <c r="V985" i="2" s="1"/>
  <c r="U977" i="2"/>
  <c r="V977" i="2" s="1"/>
  <c r="U969" i="2"/>
  <c r="V969" i="2" s="1"/>
  <c r="U961" i="2"/>
  <c r="V961" i="2" s="1"/>
  <c r="U953" i="2"/>
  <c r="V953" i="2" s="1"/>
  <c r="U945" i="2"/>
  <c r="V945" i="2" s="1"/>
  <c r="U937" i="2"/>
  <c r="V937" i="2" s="1"/>
  <c r="U929" i="2"/>
  <c r="V929" i="2" s="1"/>
  <c r="U921" i="2"/>
  <c r="V921" i="2" s="1"/>
  <c r="U913" i="2"/>
  <c r="V913" i="2" s="1"/>
  <c r="U905" i="2"/>
  <c r="V905" i="2" s="1"/>
  <c r="U897" i="2"/>
  <c r="V897" i="2" s="1"/>
  <c r="U889" i="2"/>
  <c r="V889" i="2" s="1"/>
  <c r="U881" i="2"/>
  <c r="V881" i="2" s="1"/>
  <c r="U873" i="2"/>
  <c r="V873" i="2" s="1"/>
  <c r="U865" i="2"/>
  <c r="V865" i="2" s="1"/>
  <c r="U857" i="2"/>
  <c r="V857" i="2" s="1"/>
  <c r="U849" i="2"/>
  <c r="V849" i="2" s="1"/>
  <c r="U841" i="2"/>
  <c r="V841" i="2" s="1"/>
  <c r="U833" i="2"/>
  <c r="V833" i="2" s="1"/>
  <c r="U825" i="2"/>
  <c r="V825" i="2" s="1"/>
  <c r="U817" i="2"/>
  <c r="V817" i="2" s="1"/>
  <c r="U809" i="2"/>
  <c r="V809" i="2" s="1"/>
  <c r="U801" i="2"/>
  <c r="V801" i="2" s="1"/>
  <c r="U793" i="2"/>
  <c r="V793" i="2" s="1"/>
  <c r="U785" i="2"/>
  <c r="V785" i="2" s="1"/>
  <c r="U777" i="2"/>
  <c r="V777" i="2" s="1"/>
  <c r="U769" i="2"/>
  <c r="V769" i="2" s="1"/>
  <c r="U761" i="2"/>
  <c r="V761" i="2" s="1"/>
  <c r="U753" i="2"/>
  <c r="V753" i="2" s="1"/>
  <c r="U745" i="2"/>
  <c r="V745" i="2" s="1"/>
  <c r="U737" i="2"/>
  <c r="V737" i="2" s="1"/>
  <c r="U729" i="2"/>
  <c r="V729" i="2" s="1"/>
  <c r="U721" i="2"/>
  <c r="V721" i="2" s="1"/>
  <c r="U713" i="2"/>
  <c r="V713" i="2" s="1"/>
  <c r="U705" i="2"/>
  <c r="V705" i="2" s="1"/>
  <c r="U697" i="2"/>
  <c r="V697" i="2" s="1"/>
  <c r="U689" i="2"/>
  <c r="V689" i="2" s="1"/>
  <c r="U681" i="2"/>
  <c r="V681" i="2" s="1"/>
  <c r="U673" i="2"/>
  <c r="V673" i="2" s="1"/>
  <c r="U665" i="2"/>
  <c r="V665" i="2" s="1"/>
  <c r="U657" i="2"/>
  <c r="V657" i="2" s="1"/>
  <c r="U649" i="2"/>
  <c r="V649" i="2" s="1"/>
  <c r="U641" i="2"/>
  <c r="V641" i="2" s="1"/>
  <c r="U633" i="2"/>
  <c r="V633" i="2" s="1"/>
  <c r="U625" i="2"/>
  <c r="V625" i="2" s="1"/>
  <c r="U617" i="2"/>
  <c r="V617" i="2" s="1"/>
  <c r="U609" i="2"/>
  <c r="V609" i="2" s="1"/>
  <c r="U601" i="2"/>
  <c r="V601" i="2" s="1"/>
  <c r="U593" i="2"/>
  <c r="V593" i="2" s="1"/>
  <c r="U585" i="2"/>
  <c r="V585" i="2" s="1"/>
  <c r="U577" i="2"/>
  <c r="V577" i="2" s="1"/>
  <c r="U569" i="2"/>
  <c r="V569" i="2" s="1"/>
  <c r="U561" i="2"/>
  <c r="V561" i="2" s="1"/>
  <c r="U553" i="2"/>
  <c r="V553" i="2" s="1"/>
  <c r="U545" i="2"/>
  <c r="V545" i="2" s="1"/>
  <c r="U537" i="2"/>
  <c r="V537" i="2" s="1"/>
  <c r="U529" i="2"/>
  <c r="V529" i="2" s="1"/>
  <c r="U521" i="2"/>
  <c r="V521" i="2" s="1"/>
  <c r="U513" i="2"/>
  <c r="V513" i="2" s="1"/>
  <c r="U505" i="2"/>
  <c r="V505" i="2" s="1"/>
  <c r="U497" i="2"/>
  <c r="V497" i="2" s="1"/>
  <c r="U489" i="2"/>
  <c r="V489" i="2" s="1"/>
  <c r="U481" i="2"/>
  <c r="V481" i="2" s="1"/>
  <c r="U473" i="2"/>
  <c r="V473" i="2" s="1"/>
  <c r="U465" i="2"/>
  <c r="V465" i="2" s="1"/>
  <c r="U457" i="2"/>
  <c r="V457" i="2" s="1"/>
  <c r="U449" i="2"/>
  <c r="V449" i="2" s="1"/>
  <c r="U441" i="2"/>
  <c r="V441" i="2" s="1"/>
  <c r="U433" i="2"/>
  <c r="V433" i="2" s="1"/>
  <c r="U425" i="2"/>
  <c r="V425" i="2" s="1"/>
  <c r="U417" i="2"/>
  <c r="V417" i="2" s="1"/>
  <c r="U409" i="2"/>
  <c r="V409" i="2" s="1"/>
  <c r="U401" i="2"/>
  <c r="V401" i="2" s="1"/>
  <c r="U393" i="2"/>
  <c r="V393" i="2" s="1"/>
  <c r="U385" i="2"/>
  <c r="V385" i="2" s="1"/>
  <c r="U377" i="2"/>
  <c r="V377" i="2" s="1"/>
  <c r="U369" i="2"/>
  <c r="V369" i="2" s="1"/>
  <c r="U361" i="2"/>
  <c r="V361" i="2" s="1"/>
  <c r="U353" i="2"/>
  <c r="V353" i="2" s="1"/>
  <c r="U1440" i="2"/>
  <c r="V1440" i="2" s="1"/>
  <c r="U1432" i="2"/>
  <c r="V1432" i="2" s="1"/>
  <c r="U1424" i="2"/>
  <c r="V1424" i="2" s="1"/>
  <c r="U1416" i="2"/>
  <c r="V1416" i="2" s="1"/>
  <c r="U1408" i="2"/>
  <c r="V1408" i="2" s="1"/>
  <c r="U1400" i="2"/>
  <c r="V1400" i="2" s="1"/>
  <c r="U1392" i="2"/>
  <c r="V1392" i="2" s="1"/>
  <c r="U1384" i="2"/>
  <c r="V1384" i="2" s="1"/>
  <c r="U1376" i="2"/>
  <c r="V1376" i="2" s="1"/>
  <c r="U1368" i="2"/>
  <c r="V1368" i="2" s="1"/>
  <c r="U1360" i="2"/>
  <c r="V1360" i="2" s="1"/>
  <c r="U1352" i="2"/>
  <c r="V1352" i="2" s="1"/>
  <c r="U1344" i="2"/>
  <c r="V1344" i="2" s="1"/>
  <c r="U1336" i="2"/>
  <c r="V1336" i="2" s="1"/>
  <c r="U1328" i="2"/>
  <c r="V1328" i="2" s="1"/>
  <c r="U1320" i="2"/>
  <c r="V1320" i="2" s="1"/>
  <c r="U1312" i="2"/>
  <c r="V1312" i="2" s="1"/>
  <c r="U1304" i="2"/>
  <c r="V1304" i="2" s="1"/>
  <c r="U1296" i="2"/>
  <c r="V1296" i="2" s="1"/>
  <c r="U1288" i="2"/>
  <c r="V1288" i="2" s="1"/>
  <c r="U1280" i="2"/>
  <c r="V1280" i="2" s="1"/>
  <c r="U1272" i="2"/>
  <c r="V1272" i="2" s="1"/>
  <c r="U1264" i="2"/>
  <c r="V1264" i="2" s="1"/>
  <c r="U1256" i="2"/>
  <c r="V1256" i="2" s="1"/>
  <c r="U1248" i="2"/>
  <c r="V1248" i="2" s="1"/>
  <c r="U1240" i="2"/>
  <c r="V1240" i="2" s="1"/>
  <c r="U1232" i="2"/>
  <c r="V1232" i="2" s="1"/>
  <c r="U1224" i="2"/>
  <c r="V1224" i="2" s="1"/>
  <c r="U1216" i="2"/>
  <c r="V1216" i="2" s="1"/>
  <c r="U1208" i="2"/>
  <c r="V1208" i="2" s="1"/>
  <c r="U1200" i="2"/>
  <c r="V1200" i="2" s="1"/>
  <c r="U1192" i="2"/>
  <c r="V1192" i="2" s="1"/>
  <c r="U1184" i="2"/>
  <c r="V1184" i="2" s="1"/>
  <c r="U1176" i="2"/>
  <c r="V1176" i="2" s="1"/>
  <c r="U1168" i="2"/>
  <c r="V1168" i="2" s="1"/>
  <c r="U1160" i="2"/>
  <c r="V1160" i="2" s="1"/>
  <c r="U1152" i="2"/>
  <c r="V1152" i="2" s="1"/>
  <c r="U1144" i="2"/>
  <c r="V1144" i="2" s="1"/>
  <c r="U1136" i="2"/>
  <c r="V1136" i="2" s="1"/>
  <c r="U1128" i="2"/>
  <c r="V1128" i="2" s="1"/>
  <c r="U1120" i="2"/>
  <c r="V1120" i="2" s="1"/>
  <c r="U1112" i="2"/>
  <c r="V1112" i="2" s="1"/>
  <c r="U1104" i="2"/>
  <c r="V1104" i="2" s="1"/>
  <c r="U1096" i="2"/>
  <c r="V1096" i="2" s="1"/>
  <c r="U1088" i="2"/>
  <c r="V1088" i="2" s="1"/>
  <c r="U1080" i="2"/>
  <c r="V1080" i="2" s="1"/>
  <c r="U1072" i="2"/>
  <c r="V1072" i="2" s="1"/>
  <c r="U1064" i="2"/>
  <c r="V1064" i="2" s="1"/>
  <c r="U1056" i="2"/>
  <c r="V1056" i="2" s="1"/>
  <c r="U1048" i="2"/>
  <c r="V1048" i="2" s="1"/>
  <c r="U1040" i="2"/>
  <c r="V1040" i="2" s="1"/>
  <c r="U1032" i="2"/>
  <c r="V1032" i="2" s="1"/>
  <c r="U1024" i="2"/>
  <c r="V1024" i="2" s="1"/>
  <c r="U1016" i="2"/>
  <c r="V1016" i="2" s="1"/>
  <c r="U1008" i="2"/>
  <c r="V1008" i="2" s="1"/>
  <c r="U1000" i="2"/>
  <c r="V1000" i="2" s="1"/>
  <c r="U992" i="2"/>
  <c r="V992" i="2" s="1"/>
  <c r="U984" i="2"/>
  <c r="V984" i="2" s="1"/>
  <c r="U976" i="2"/>
  <c r="V976" i="2" s="1"/>
  <c r="U968" i="2"/>
  <c r="V968" i="2" s="1"/>
  <c r="U960" i="2"/>
  <c r="V960" i="2" s="1"/>
  <c r="U952" i="2"/>
  <c r="V952" i="2" s="1"/>
  <c r="U944" i="2"/>
  <c r="V944" i="2" s="1"/>
  <c r="U936" i="2"/>
  <c r="V936" i="2" s="1"/>
  <c r="U928" i="2"/>
  <c r="V928" i="2" s="1"/>
  <c r="U920" i="2"/>
  <c r="V920" i="2" s="1"/>
  <c r="U912" i="2"/>
  <c r="V912" i="2" s="1"/>
  <c r="U904" i="2"/>
  <c r="V904" i="2" s="1"/>
  <c r="U896" i="2"/>
  <c r="V896" i="2" s="1"/>
  <c r="U888" i="2"/>
  <c r="V888" i="2" s="1"/>
  <c r="U880" i="2"/>
  <c r="V880" i="2" s="1"/>
  <c r="U872" i="2"/>
  <c r="V872" i="2" s="1"/>
  <c r="U864" i="2"/>
  <c r="V864" i="2" s="1"/>
  <c r="U856" i="2"/>
  <c r="V856" i="2" s="1"/>
  <c r="U848" i="2"/>
  <c r="V848" i="2" s="1"/>
  <c r="U840" i="2"/>
  <c r="V840" i="2" s="1"/>
  <c r="U832" i="2"/>
  <c r="V832" i="2" s="1"/>
  <c r="U824" i="2"/>
  <c r="V824" i="2" s="1"/>
  <c r="U816" i="2"/>
  <c r="V816" i="2" s="1"/>
  <c r="U808" i="2"/>
  <c r="V808" i="2" s="1"/>
  <c r="U800" i="2"/>
  <c r="V800" i="2" s="1"/>
  <c r="U792" i="2"/>
  <c r="V792" i="2" s="1"/>
  <c r="U784" i="2"/>
  <c r="V784" i="2" s="1"/>
  <c r="U776" i="2"/>
  <c r="V776" i="2" s="1"/>
  <c r="U768" i="2"/>
  <c r="V768" i="2" s="1"/>
  <c r="U760" i="2"/>
  <c r="V760" i="2" s="1"/>
  <c r="U752" i="2"/>
  <c r="V752" i="2" s="1"/>
  <c r="U744" i="2"/>
  <c r="V744" i="2" s="1"/>
  <c r="U736" i="2"/>
  <c r="V736" i="2" s="1"/>
  <c r="U728" i="2"/>
  <c r="V728" i="2" s="1"/>
  <c r="U720" i="2"/>
  <c r="V720" i="2" s="1"/>
  <c r="U712" i="2"/>
  <c r="V712" i="2" s="1"/>
  <c r="U704" i="2"/>
  <c r="V704" i="2" s="1"/>
  <c r="U696" i="2"/>
  <c r="V696" i="2" s="1"/>
  <c r="U688" i="2"/>
  <c r="V688" i="2" s="1"/>
  <c r="U680" i="2"/>
  <c r="V680" i="2" s="1"/>
  <c r="U672" i="2"/>
  <c r="V672" i="2" s="1"/>
  <c r="U664" i="2"/>
  <c r="V664" i="2" s="1"/>
  <c r="U656" i="2"/>
  <c r="V656" i="2" s="1"/>
  <c r="U648" i="2"/>
  <c r="V648" i="2" s="1"/>
  <c r="U640" i="2"/>
  <c r="V640" i="2" s="1"/>
  <c r="U632" i="2"/>
  <c r="V632" i="2" s="1"/>
  <c r="U624" i="2"/>
  <c r="V624" i="2" s="1"/>
  <c r="U616" i="2"/>
  <c r="V616" i="2" s="1"/>
  <c r="U608" i="2"/>
  <c r="V608" i="2" s="1"/>
  <c r="U600" i="2"/>
  <c r="V600" i="2" s="1"/>
  <c r="U592" i="2"/>
  <c r="V592" i="2" s="1"/>
  <c r="U584" i="2"/>
  <c r="V584" i="2" s="1"/>
  <c r="U576" i="2"/>
  <c r="V576" i="2" s="1"/>
  <c r="U568" i="2"/>
  <c r="V568" i="2" s="1"/>
  <c r="U560" i="2"/>
  <c r="V560" i="2" s="1"/>
  <c r="U552" i="2"/>
  <c r="V552" i="2" s="1"/>
  <c r="U544" i="2"/>
  <c r="V544" i="2" s="1"/>
  <c r="U536" i="2"/>
  <c r="V536" i="2" s="1"/>
  <c r="U528" i="2"/>
  <c r="V528" i="2" s="1"/>
  <c r="U520" i="2"/>
  <c r="V520" i="2" s="1"/>
  <c r="U512" i="2"/>
  <c r="V512" i="2" s="1"/>
  <c r="U504" i="2"/>
  <c r="V504" i="2" s="1"/>
  <c r="U496" i="2"/>
  <c r="V496" i="2" s="1"/>
  <c r="U488" i="2"/>
  <c r="V488" i="2" s="1"/>
  <c r="U480" i="2"/>
  <c r="V480" i="2" s="1"/>
  <c r="U472" i="2"/>
  <c r="V472" i="2" s="1"/>
  <c r="U464" i="2"/>
  <c r="V464" i="2" s="1"/>
  <c r="U456" i="2"/>
  <c r="V456" i="2" s="1"/>
  <c r="U448" i="2"/>
  <c r="V448" i="2" s="1"/>
  <c r="U440" i="2"/>
  <c r="V440" i="2" s="1"/>
  <c r="U432" i="2"/>
  <c r="V432" i="2" s="1"/>
  <c r="U424" i="2"/>
  <c r="V424" i="2" s="1"/>
  <c r="U416" i="2"/>
  <c r="V416" i="2" s="1"/>
  <c r="U408" i="2"/>
  <c r="V408" i="2" s="1"/>
  <c r="U400" i="2"/>
  <c r="V400" i="2" s="1"/>
  <c r="U392" i="2"/>
  <c r="V392" i="2" s="1"/>
  <c r="U384" i="2"/>
  <c r="V384" i="2" s="1"/>
  <c r="U376" i="2"/>
  <c r="V376" i="2" s="1"/>
  <c r="U368" i="2"/>
  <c r="V368" i="2" s="1"/>
  <c r="U360" i="2"/>
  <c r="V360" i="2" s="1"/>
  <c r="U1175" i="2"/>
  <c r="V1175" i="2" s="1"/>
  <c r="U1167" i="2"/>
  <c r="V1167" i="2" s="1"/>
  <c r="U1159" i="2"/>
  <c r="V1159" i="2" s="1"/>
  <c r="U1151" i="2"/>
  <c r="V1151" i="2" s="1"/>
  <c r="U1143" i="2"/>
  <c r="V1143" i="2" s="1"/>
  <c r="U1135" i="2"/>
  <c r="V1135" i="2" s="1"/>
  <c r="U1127" i="2"/>
  <c r="V1127" i="2" s="1"/>
  <c r="U1119" i="2"/>
  <c r="V1119" i="2" s="1"/>
  <c r="U1103" i="2"/>
  <c r="V1103" i="2" s="1"/>
  <c r="U1095" i="2"/>
  <c r="V1095" i="2" s="1"/>
  <c r="U1087" i="2"/>
  <c r="V1087" i="2" s="1"/>
  <c r="U1079" i="2"/>
  <c r="V1079" i="2" s="1"/>
  <c r="U1071" i="2"/>
  <c r="V1071" i="2" s="1"/>
  <c r="U1063" i="2"/>
  <c r="V1063" i="2" s="1"/>
  <c r="U1055" i="2"/>
  <c r="V1055" i="2" s="1"/>
  <c r="U1047" i="2"/>
  <c r="V1047" i="2" s="1"/>
  <c r="U1039" i="2"/>
  <c r="V1039" i="2" s="1"/>
  <c r="U1031" i="2"/>
  <c r="V1031" i="2" s="1"/>
  <c r="U1023" i="2"/>
  <c r="V1023" i="2" s="1"/>
  <c r="U1015" i="2"/>
  <c r="V1015" i="2" s="1"/>
  <c r="U1007" i="2"/>
  <c r="V1007" i="2" s="1"/>
  <c r="U999" i="2"/>
  <c r="V999" i="2" s="1"/>
  <c r="U991" i="2"/>
  <c r="V991" i="2" s="1"/>
  <c r="U983" i="2"/>
  <c r="V983" i="2" s="1"/>
  <c r="U975" i="2"/>
  <c r="V975" i="2" s="1"/>
  <c r="U967" i="2"/>
  <c r="V967" i="2" s="1"/>
  <c r="U959" i="2"/>
  <c r="V959" i="2" s="1"/>
  <c r="U951" i="2"/>
  <c r="V951" i="2" s="1"/>
  <c r="U943" i="2"/>
  <c r="V943" i="2" s="1"/>
  <c r="U935" i="2"/>
  <c r="V935" i="2" s="1"/>
  <c r="U927" i="2"/>
  <c r="V927" i="2" s="1"/>
  <c r="U919" i="2"/>
  <c r="V919" i="2" s="1"/>
  <c r="U911" i="2"/>
  <c r="V911" i="2" s="1"/>
  <c r="U903" i="2"/>
  <c r="V903" i="2" s="1"/>
  <c r="U895" i="2"/>
  <c r="V895" i="2" s="1"/>
  <c r="U887" i="2"/>
  <c r="V887" i="2" s="1"/>
  <c r="U879" i="2"/>
  <c r="V879" i="2" s="1"/>
  <c r="U863" i="2"/>
  <c r="V863" i="2" s="1"/>
  <c r="U855" i="2"/>
  <c r="V855" i="2" s="1"/>
  <c r="U847" i="2"/>
  <c r="V847" i="2" s="1"/>
  <c r="U839" i="2"/>
  <c r="V839" i="2" s="1"/>
  <c r="U831" i="2"/>
  <c r="V831" i="2" s="1"/>
  <c r="U823" i="2"/>
  <c r="V823" i="2" s="1"/>
  <c r="U815" i="2"/>
  <c r="V815" i="2" s="1"/>
  <c r="U807" i="2"/>
  <c r="V807" i="2" s="1"/>
  <c r="U799" i="2"/>
  <c r="V799" i="2" s="1"/>
  <c r="U791" i="2"/>
  <c r="V791" i="2" s="1"/>
  <c r="U783" i="2"/>
  <c r="V783" i="2" s="1"/>
  <c r="U775" i="2"/>
  <c r="V775" i="2" s="1"/>
  <c r="U767" i="2"/>
  <c r="V767" i="2" s="1"/>
  <c r="U759" i="2"/>
  <c r="V759" i="2" s="1"/>
  <c r="U751" i="2"/>
  <c r="V751" i="2" s="1"/>
  <c r="U743" i="2"/>
  <c r="V743" i="2" s="1"/>
  <c r="U735" i="2"/>
  <c r="V735" i="2" s="1"/>
  <c r="U727" i="2"/>
  <c r="V727" i="2" s="1"/>
  <c r="U719" i="2"/>
  <c r="V719" i="2" s="1"/>
  <c r="U711" i="2"/>
  <c r="V711" i="2" s="1"/>
  <c r="U703" i="2"/>
  <c r="V703" i="2" s="1"/>
  <c r="U695" i="2"/>
  <c r="V695" i="2" s="1"/>
  <c r="U687" i="2"/>
  <c r="V687" i="2" s="1"/>
  <c r="U679" i="2"/>
  <c r="V679" i="2" s="1"/>
  <c r="U671" i="2"/>
  <c r="V671" i="2" s="1"/>
  <c r="U663" i="2"/>
  <c r="V663" i="2" s="1"/>
  <c r="U655" i="2"/>
  <c r="V655" i="2" s="1"/>
  <c r="U647" i="2"/>
  <c r="V647" i="2" s="1"/>
  <c r="U639" i="2"/>
  <c r="V639" i="2" s="1"/>
  <c r="U631" i="2"/>
  <c r="V631" i="2" s="1"/>
  <c r="U623" i="2"/>
  <c r="V623" i="2" s="1"/>
  <c r="U615" i="2"/>
  <c r="V615" i="2" s="1"/>
  <c r="U607" i="2"/>
  <c r="V607" i="2" s="1"/>
  <c r="U599" i="2"/>
  <c r="V599" i="2" s="1"/>
  <c r="U591" i="2"/>
  <c r="V591" i="2" s="1"/>
  <c r="U583" i="2"/>
  <c r="V583" i="2" s="1"/>
  <c r="U575" i="2"/>
  <c r="V575" i="2" s="1"/>
  <c r="U567" i="2"/>
  <c r="V567" i="2" s="1"/>
  <c r="U559" i="2"/>
  <c r="V559" i="2" s="1"/>
  <c r="U551" i="2"/>
  <c r="V551" i="2" s="1"/>
  <c r="U543" i="2"/>
  <c r="V543" i="2" s="1"/>
  <c r="U535" i="2"/>
  <c r="V535" i="2" s="1"/>
  <c r="U527" i="2"/>
  <c r="V527" i="2" s="1"/>
  <c r="U519" i="2"/>
  <c r="V519" i="2" s="1"/>
  <c r="U511" i="2"/>
  <c r="V511" i="2" s="1"/>
  <c r="U503" i="2"/>
  <c r="V503" i="2" s="1"/>
  <c r="U495" i="2"/>
  <c r="V495" i="2" s="1"/>
  <c r="U487" i="2"/>
  <c r="V487" i="2" s="1"/>
  <c r="U479" i="2"/>
  <c r="V479" i="2" s="1"/>
  <c r="U471" i="2"/>
  <c r="V471" i="2" s="1"/>
  <c r="U463" i="2"/>
  <c r="V463" i="2" s="1"/>
  <c r="U455" i="2"/>
  <c r="V455" i="2" s="1"/>
  <c r="U447" i="2"/>
  <c r="V447" i="2" s="1"/>
  <c r="U439" i="2"/>
  <c r="V439" i="2" s="1"/>
  <c r="U431" i="2"/>
  <c r="V431" i="2" s="1"/>
  <c r="U423" i="2"/>
  <c r="V423" i="2" s="1"/>
  <c r="U415" i="2"/>
  <c r="V415" i="2" s="1"/>
  <c r="U407" i="2"/>
  <c r="V407" i="2" s="1"/>
  <c r="U399" i="2"/>
  <c r="V399" i="2" s="1"/>
  <c r="U391" i="2"/>
  <c r="V391" i="2" s="1"/>
  <c r="U383" i="2"/>
  <c r="V383" i="2" s="1"/>
  <c r="U375" i="2"/>
  <c r="V375" i="2" s="1"/>
  <c r="U367" i="2"/>
  <c r="V367" i="2" s="1"/>
  <c r="U359" i="2"/>
  <c r="V359" i="2" s="1"/>
  <c r="U351" i="2"/>
  <c r="V351" i="2" s="1"/>
  <c r="U343" i="2"/>
  <c r="V343" i="2" s="1"/>
  <c r="U335" i="2"/>
  <c r="V335" i="2" s="1"/>
  <c r="U327" i="2"/>
  <c r="V327" i="2" s="1"/>
  <c r="U319" i="2"/>
  <c r="V319" i="2" s="1"/>
  <c r="U311" i="2"/>
  <c r="V311" i="2" s="1"/>
  <c r="U303" i="2"/>
  <c r="V303" i="2" s="1"/>
  <c r="U295" i="2"/>
  <c r="V295" i="2" s="1"/>
  <c r="U287" i="2"/>
  <c r="V287" i="2" s="1"/>
  <c r="U279" i="2"/>
  <c r="V279" i="2" s="1"/>
  <c r="U271" i="2"/>
  <c r="V271" i="2" s="1"/>
  <c r="U263" i="2"/>
  <c r="V263" i="2" s="1"/>
  <c r="U255" i="2"/>
  <c r="V255" i="2" s="1"/>
  <c r="U247" i="2"/>
  <c r="V247" i="2" s="1"/>
  <c r="U365" i="2"/>
  <c r="V365" i="2" s="1"/>
  <c r="U357" i="2"/>
  <c r="V357" i="2" s="1"/>
  <c r="U349" i="2"/>
  <c r="V349" i="2" s="1"/>
  <c r="U341" i="2"/>
  <c r="V341" i="2" s="1"/>
  <c r="U333" i="2"/>
  <c r="V333" i="2" s="1"/>
  <c r="U325" i="2"/>
  <c r="V325" i="2" s="1"/>
  <c r="U317" i="2"/>
  <c r="V317" i="2" s="1"/>
  <c r="U309" i="2"/>
  <c r="V309" i="2" s="1"/>
  <c r="U301" i="2"/>
  <c r="V301" i="2" s="1"/>
  <c r="U293" i="2"/>
  <c r="V293" i="2" s="1"/>
  <c r="U285" i="2"/>
  <c r="V285" i="2" s="1"/>
  <c r="U277" i="2"/>
  <c r="V277" i="2" s="1"/>
  <c r="U269" i="2"/>
  <c r="V269" i="2" s="1"/>
  <c r="U261" i="2"/>
  <c r="V261" i="2" s="1"/>
  <c r="U253" i="2"/>
  <c r="V253" i="2" s="1"/>
  <c r="U245" i="2"/>
  <c r="V245" i="2" s="1"/>
  <c r="U237" i="2"/>
  <c r="V237" i="2" s="1"/>
  <c r="U229" i="2"/>
  <c r="V229" i="2" s="1"/>
  <c r="U221" i="2"/>
  <c r="V221" i="2" s="1"/>
  <c r="U213" i="2"/>
  <c r="V213" i="2" s="1"/>
  <c r="U205" i="2"/>
  <c r="V205" i="2" s="1"/>
  <c r="U197" i="2"/>
  <c r="V197" i="2" s="1"/>
  <c r="U189" i="2"/>
  <c r="V189" i="2" s="1"/>
  <c r="U181" i="2"/>
  <c r="V181" i="2" s="1"/>
  <c r="U173" i="2"/>
  <c r="V173" i="2" s="1"/>
  <c r="U165" i="2"/>
  <c r="V165" i="2" s="1"/>
  <c r="U157" i="2"/>
  <c r="V157" i="2" s="1"/>
  <c r="U149" i="2"/>
  <c r="V149" i="2" s="1"/>
  <c r="U141" i="2"/>
  <c r="V141" i="2" s="1"/>
  <c r="U133" i="2"/>
  <c r="V133" i="2" s="1"/>
  <c r="U125" i="2"/>
  <c r="V125" i="2" s="1"/>
  <c r="U117" i="2"/>
  <c r="V117" i="2" s="1"/>
  <c r="U109" i="2"/>
  <c r="V109" i="2" s="1"/>
  <c r="U101" i="2"/>
  <c r="V101" i="2" s="1"/>
  <c r="U93" i="2"/>
  <c r="V93" i="2" s="1"/>
  <c r="U85" i="2"/>
  <c r="V85" i="2" s="1"/>
  <c r="U77" i="2"/>
  <c r="V77" i="2" s="1"/>
  <c r="U69" i="2"/>
  <c r="V69" i="2" s="1"/>
  <c r="U61" i="2"/>
  <c r="V61" i="2" s="1"/>
  <c r="U53" i="2"/>
  <c r="V53" i="2" s="1"/>
  <c r="U45" i="2"/>
  <c r="V45" i="2" s="1"/>
  <c r="U37" i="2"/>
  <c r="V37" i="2" s="1"/>
  <c r="U29" i="2"/>
  <c r="V29" i="2" s="1"/>
  <c r="U21" i="2"/>
  <c r="V21" i="2" s="1"/>
  <c r="U13" i="2"/>
  <c r="V13" i="2" s="1"/>
  <c r="U5" i="2"/>
  <c r="V5" i="2" s="1"/>
  <c r="U107" i="2"/>
  <c r="V107" i="2" s="1"/>
  <c r="U99" i="2"/>
  <c r="V99" i="2" s="1"/>
  <c r="U91" i="2"/>
  <c r="V91" i="2" s="1"/>
  <c r="U83" i="2"/>
  <c r="V83" i="2" s="1"/>
  <c r="U75" i="2"/>
  <c r="V75" i="2" s="1"/>
  <c r="U67" i="2"/>
  <c r="V67" i="2" s="1"/>
  <c r="U59" i="2"/>
  <c r="V59" i="2" s="1"/>
  <c r="U51" i="2"/>
  <c r="V51" i="2" s="1"/>
  <c r="U43" i="2"/>
  <c r="V43" i="2" s="1"/>
  <c r="U35" i="2"/>
  <c r="V35" i="2" s="1"/>
  <c r="U27" i="2"/>
  <c r="V27" i="2" s="1"/>
  <c r="U19" i="2"/>
  <c r="V19" i="2" s="1"/>
  <c r="U11" i="2"/>
  <c r="V11" i="2" s="1"/>
  <c r="U3" i="2"/>
  <c r="V3" i="2" s="1"/>
  <c r="U298" i="2"/>
  <c r="V298" i="2" s="1"/>
  <c r="U290" i="2"/>
  <c r="V290" i="2" s="1"/>
  <c r="U282" i="2"/>
  <c r="V282" i="2" s="1"/>
  <c r="U274" i="2"/>
  <c r="V274" i="2" s="1"/>
  <c r="U266" i="2"/>
  <c r="V266" i="2" s="1"/>
  <c r="U258" i="2"/>
  <c r="V258" i="2" s="1"/>
  <c r="U250" i="2"/>
  <c r="V250" i="2" s="1"/>
  <c r="U242" i="2"/>
  <c r="V242" i="2" s="1"/>
  <c r="U234" i="2"/>
  <c r="V234" i="2" s="1"/>
  <c r="U226" i="2"/>
  <c r="V226" i="2" s="1"/>
  <c r="U218" i="2"/>
  <c r="V218" i="2" s="1"/>
  <c r="U210" i="2"/>
  <c r="V210" i="2" s="1"/>
  <c r="U202" i="2"/>
  <c r="V202" i="2" s="1"/>
  <c r="U194" i="2"/>
  <c r="V194" i="2" s="1"/>
  <c r="U186" i="2"/>
  <c r="V186" i="2" s="1"/>
  <c r="U178" i="2"/>
  <c r="V178" i="2" s="1"/>
  <c r="U170" i="2"/>
  <c r="V170" i="2" s="1"/>
  <c r="U162" i="2"/>
  <c r="V162" i="2" s="1"/>
  <c r="U154" i="2"/>
  <c r="V154" i="2" s="1"/>
  <c r="U146" i="2"/>
  <c r="V146" i="2" s="1"/>
  <c r="U138" i="2"/>
  <c r="V138" i="2" s="1"/>
  <c r="U130" i="2"/>
  <c r="V130" i="2" s="1"/>
  <c r="U122" i="2"/>
  <c r="V122" i="2" s="1"/>
  <c r="U114" i="2"/>
  <c r="V114" i="2" s="1"/>
  <c r="U106" i="2"/>
  <c r="V106" i="2" s="1"/>
  <c r="U98" i="2"/>
  <c r="V98" i="2" s="1"/>
  <c r="U90" i="2"/>
  <c r="V90" i="2" s="1"/>
  <c r="U82" i="2"/>
  <c r="V82" i="2" s="1"/>
  <c r="U74" i="2"/>
  <c r="V74" i="2" s="1"/>
  <c r="U66" i="2"/>
  <c r="V66" i="2" s="1"/>
  <c r="U58" i="2"/>
  <c r="V58" i="2" s="1"/>
  <c r="U50" i="2"/>
  <c r="V50" i="2" s="1"/>
  <c r="U42" i="2"/>
  <c r="V42" i="2" s="1"/>
  <c r="U34" i="2"/>
  <c r="V34" i="2" s="1"/>
  <c r="U26" i="2"/>
  <c r="V26" i="2" s="1"/>
  <c r="U18" i="2"/>
  <c r="V18" i="2" s="1"/>
  <c r="U10" i="2"/>
  <c r="V10" i="2" s="1"/>
  <c r="U345" i="2"/>
  <c r="V345" i="2" s="1"/>
  <c r="U337" i="2"/>
  <c r="V337" i="2" s="1"/>
  <c r="U329" i="2"/>
  <c r="V329" i="2" s="1"/>
  <c r="U321" i="2"/>
  <c r="V321" i="2" s="1"/>
  <c r="U313" i="2"/>
  <c r="V313" i="2" s="1"/>
  <c r="U305" i="2"/>
  <c r="V305" i="2" s="1"/>
  <c r="U297" i="2"/>
  <c r="V297" i="2" s="1"/>
  <c r="U289" i="2"/>
  <c r="V289" i="2" s="1"/>
  <c r="U281" i="2"/>
  <c r="V281" i="2" s="1"/>
  <c r="U273" i="2"/>
  <c r="V273" i="2" s="1"/>
  <c r="U265" i="2"/>
  <c r="V265" i="2" s="1"/>
  <c r="U257" i="2"/>
  <c r="V257" i="2" s="1"/>
  <c r="U249" i="2"/>
  <c r="V249" i="2" s="1"/>
  <c r="U241" i="2"/>
  <c r="V241" i="2" s="1"/>
  <c r="U233" i="2"/>
  <c r="V233" i="2" s="1"/>
  <c r="U225" i="2"/>
  <c r="V225" i="2" s="1"/>
  <c r="U217" i="2"/>
  <c r="V217" i="2" s="1"/>
  <c r="U209" i="2"/>
  <c r="V209" i="2" s="1"/>
  <c r="U201" i="2"/>
  <c r="V201" i="2" s="1"/>
  <c r="U193" i="2"/>
  <c r="V193" i="2" s="1"/>
  <c r="U185" i="2"/>
  <c r="V185" i="2" s="1"/>
  <c r="U177" i="2"/>
  <c r="V177" i="2" s="1"/>
  <c r="U169" i="2"/>
  <c r="V169" i="2" s="1"/>
  <c r="U161" i="2"/>
  <c r="V161" i="2" s="1"/>
  <c r="U153" i="2"/>
  <c r="V153" i="2" s="1"/>
  <c r="U145" i="2"/>
  <c r="V145" i="2" s="1"/>
  <c r="U137" i="2"/>
  <c r="V137" i="2" s="1"/>
  <c r="U129" i="2"/>
  <c r="V129" i="2" s="1"/>
  <c r="U121" i="2"/>
  <c r="V121" i="2" s="1"/>
  <c r="U113" i="2"/>
  <c r="V113" i="2" s="1"/>
  <c r="U105" i="2"/>
  <c r="V105" i="2" s="1"/>
  <c r="U97" i="2"/>
  <c r="V97" i="2" s="1"/>
  <c r="U89" i="2"/>
  <c r="V89" i="2" s="1"/>
  <c r="U81" i="2"/>
  <c r="V81" i="2" s="1"/>
  <c r="U73" i="2"/>
  <c r="V73" i="2" s="1"/>
  <c r="U65" i="2"/>
  <c r="V65" i="2" s="1"/>
  <c r="U57" i="2"/>
  <c r="V57" i="2" s="1"/>
  <c r="U49" i="2"/>
  <c r="V49" i="2" s="1"/>
  <c r="U41" i="2"/>
  <c r="V41" i="2" s="1"/>
  <c r="U33" i="2"/>
  <c r="V33" i="2" s="1"/>
  <c r="U25" i="2"/>
  <c r="V25" i="2" s="1"/>
  <c r="U17" i="2"/>
  <c r="V17" i="2" s="1"/>
  <c r="U9" i="2"/>
  <c r="V9" i="2" s="1"/>
  <c r="U352" i="2"/>
  <c r="V352" i="2" s="1"/>
  <c r="U344" i="2"/>
  <c r="V344" i="2" s="1"/>
  <c r="U336" i="2"/>
  <c r="V336" i="2" s="1"/>
  <c r="U328" i="2"/>
  <c r="V328" i="2" s="1"/>
  <c r="U320" i="2"/>
  <c r="V320" i="2" s="1"/>
  <c r="U312" i="2"/>
  <c r="V312" i="2" s="1"/>
  <c r="U304" i="2"/>
  <c r="V304" i="2" s="1"/>
  <c r="U296" i="2"/>
  <c r="V296" i="2" s="1"/>
  <c r="U288" i="2"/>
  <c r="V288" i="2" s="1"/>
  <c r="U280" i="2"/>
  <c r="V280" i="2" s="1"/>
  <c r="U272" i="2"/>
  <c r="V272" i="2" s="1"/>
  <c r="U264" i="2"/>
  <c r="V264" i="2" s="1"/>
  <c r="U256" i="2"/>
  <c r="V256" i="2" s="1"/>
  <c r="U248" i="2"/>
  <c r="V248" i="2" s="1"/>
  <c r="U240" i="2"/>
  <c r="V240" i="2" s="1"/>
  <c r="U232" i="2"/>
  <c r="V232" i="2" s="1"/>
  <c r="U224" i="2"/>
  <c r="V224" i="2" s="1"/>
  <c r="U216" i="2"/>
  <c r="V216" i="2" s="1"/>
  <c r="U208" i="2"/>
  <c r="V208" i="2" s="1"/>
  <c r="U200" i="2"/>
  <c r="V200" i="2" s="1"/>
  <c r="U192" i="2"/>
  <c r="V192" i="2" s="1"/>
  <c r="U184" i="2"/>
  <c r="V184" i="2" s="1"/>
  <c r="U176" i="2"/>
  <c r="V176" i="2" s="1"/>
  <c r="U168" i="2"/>
  <c r="V168" i="2" s="1"/>
  <c r="U160" i="2"/>
  <c r="V160" i="2" s="1"/>
  <c r="U152" i="2"/>
  <c r="V152" i="2" s="1"/>
  <c r="U144" i="2"/>
  <c r="V144" i="2" s="1"/>
  <c r="U136" i="2"/>
  <c r="V136" i="2" s="1"/>
  <c r="U128" i="2"/>
  <c r="V128" i="2" s="1"/>
  <c r="U120" i="2"/>
  <c r="V120" i="2" s="1"/>
  <c r="U112" i="2"/>
  <c r="V112" i="2" s="1"/>
  <c r="U104" i="2"/>
  <c r="V104" i="2" s="1"/>
  <c r="U96" i="2"/>
  <c r="V96" i="2" s="1"/>
  <c r="U88" i="2"/>
  <c r="V88" i="2" s="1"/>
  <c r="U80" i="2"/>
  <c r="V80" i="2" s="1"/>
  <c r="U72" i="2"/>
  <c r="V72" i="2" s="1"/>
  <c r="U64" i="2"/>
  <c r="V64" i="2" s="1"/>
  <c r="U56" i="2"/>
  <c r="V56" i="2" s="1"/>
  <c r="U48" i="2"/>
  <c r="V48" i="2" s="1"/>
  <c r="U40" i="2"/>
  <c r="V40" i="2" s="1"/>
  <c r="U32" i="2"/>
  <c r="V32" i="2" s="1"/>
  <c r="U24" i="2"/>
  <c r="V24" i="2" s="1"/>
  <c r="U16" i="2"/>
  <c r="V16" i="2" s="1"/>
  <c r="U8" i="2"/>
  <c r="V8" i="2" s="1"/>
  <c r="U239" i="2"/>
  <c r="V239" i="2" s="1"/>
  <c r="U231" i="2"/>
  <c r="V231" i="2" s="1"/>
  <c r="U223" i="2"/>
  <c r="V223" i="2" s="1"/>
  <c r="U215" i="2"/>
  <c r="V215" i="2" s="1"/>
  <c r="U207" i="2"/>
  <c r="V207" i="2" s="1"/>
  <c r="U199" i="2"/>
  <c r="V199" i="2" s="1"/>
  <c r="U191" i="2"/>
  <c r="V191" i="2" s="1"/>
  <c r="U183" i="2"/>
  <c r="V183" i="2" s="1"/>
  <c r="U175" i="2"/>
  <c r="V175" i="2" s="1"/>
  <c r="U167" i="2"/>
  <c r="V167" i="2" s="1"/>
  <c r="U159" i="2"/>
  <c r="V159" i="2" s="1"/>
  <c r="U151" i="2"/>
  <c r="V151" i="2" s="1"/>
  <c r="U143" i="2"/>
  <c r="V143" i="2" s="1"/>
  <c r="U135" i="2"/>
  <c r="V135" i="2" s="1"/>
  <c r="U127" i="2"/>
  <c r="V127" i="2" s="1"/>
  <c r="U119" i="2"/>
  <c r="V119" i="2" s="1"/>
  <c r="U111" i="2"/>
  <c r="V111" i="2" s="1"/>
  <c r="U103" i="2"/>
  <c r="V103" i="2" s="1"/>
  <c r="U95" i="2"/>
  <c r="V95" i="2" s="1"/>
  <c r="U87" i="2"/>
  <c r="V87" i="2" s="1"/>
  <c r="U79" i="2"/>
  <c r="V79" i="2" s="1"/>
  <c r="U71" i="2"/>
  <c r="V71" i="2" s="1"/>
  <c r="U63" i="2"/>
  <c r="V63" i="2" s="1"/>
  <c r="U55" i="2"/>
  <c r="V55" i="2" s="1"/>
  <c r="U47" i="2"/>
  <c r="V47" i="2" s="1"/>
  <c r="U39" i="2"/>
  <c r="V39" i="2" s="1"/>
  <c r="U31" i="2"/>
  <c r="V31" i="2" s="1"/>
  <c r="U23" i="2"/>
  <c r="V23" i="2" s="1"/>
  <c r="U15" i="2"/>
  <c r="V15" i="2" s="1"/>
  <c r="U7" i="2"/>
  <c r="V7" i="2" s="1"/>
  <c r="R13" i="6" l="1"/>
  <c r="O13" i="6"/>
</calcChain>
</file>

<file path=xl/sharedStrings.xml><?xml version="1.0" encoding="utf-8"?>
<sst xmlns="http://schemas.openxmlformats.org/spreadsheetml/2006/main" count="13125" uniqueCount="1550">
  <si>
    <t>Period</t>
  </si>
  <si>
    <t>Date</t>
  </si>
  <si>
    <t>Invoice_ID</t>
  </si>
  <si>
    <t>Customer</t>
  </si>
  <si>
    <t>Product</t>
  </si>
  <si>
    <t>Category</t>
  </si>
  <si>
    <t>Region</t>
  </si>
  <si>
    <t>Salesperson</t>
  </si>
  <si>
    <t>Sales_Channel</t>
  </si>
  <si>
    <t>Quantity</t>
  </si>
  <si>
    <t>Unit_Price</t>
  </si>
  <si>
    <t>Gross_Sales</t>
  </si>
  <si>
    <t>Discount</t>
  </si>
  <si>
    <t>Net_Sales</t>
  </si>
  <si>
    <t>Product_Cost</t>
  </si>
  <si>
    <t>Transport_Cost</t>
  </si>
  <si>
    <t>Labour_Cost</t>
  </si>
  <si>
    <t>Marketing_Cost</t>
  </si>
  <si>
    <t>Other_Cost</t>
  </si>
  <si>
    <t>Total_Cost</t>
  </si>
  <si>
    <t>Gross_Profit</t>
  </si>
  <si>
    <t>Net_Profit</t>
  </si>
  <si>
    <t>Net_Margin</t>
  </si>
  <si>
    <t>Payment_Status</t>
  </si>
  <si>
    <t>Month</t>
  </si>
  <si>
    <t>Month_No</t>
  </si>
  <si>
    <t>INV-01394</t>
  </si>
  <si>
    <t>Supermart</t>
  </si>
  <si>
    <t>Premium Malt</t>
  </si>
  <si>
    <t>Beverages</t>
  </si>
  <si>
    <t>Abuja</t>
  </si>
  <si>
    <t>Daniel</t>
  </si>
  <si>
    <t>Distributor</t>
  </si>
  <si>
    <t>Paid</t>
  </si>
  <si>
    <t>Jan</t>
  </si>
  <si>
    <t>INV-00118</t>
  </si>
  <si>
    <t>Justrite</t>
  </si>
  <si>
    <t>Standard Tissue</t>
  </si>
  <si>
    <t>Paper Products</t>
  </si>
  <si>
    <t>Port Harcourt</t>
  </si>
  <si>
    <t>Samuel</t>
  </si>
  <si>
    <t>Wholesale</t>
  </si>
  <si>
    <t>INV-01194</t>
  </si>
  <si>
    <t>CityMart</t>
  </si>
  <si>
    <t>Basic Detergent 1kg</t>
  </si>
  <si>
    <t>Home Care</t>
  </si>
  <si>
    <t>Ibadan</t>
  </si>
  <si>
    <t>Supermarket</t>
  </si>
  <si>
    <t>INV-01021</t>
  </si>
  <si>
    <t>Green Basket</t>
  </si>
  <si>
    <t>Standard Biscuit</t>
  </si>
  <si>
    <t>Biscuits</t>
  </si>
  <si>
    <t>Lagos</t>
  </si>
  <si>
    <t>INV-00049</t>
  </si>
  <si>
    <t>INV-00581</t>
  </si>
  <si>
    <t>Market Square</t>
  </si>
  <si>
    <t>Premium Bath Soap</t>
  </si>
  <si>
    <t>Personal Care</t>
  </si>
  <si>
    <t>Ibrahim</t>
  </si>
  <si>
    <t>Retail</t>
  </si>
  <si>
    <t>INV-00586</t>
  </si>
  <si>
    <t>Mary</t>
  </si>
  <si>
    <t>INV-01051</t>
  </si>
  <si>
    <t>Prime Retailers</t>
  </si>
  <si>
    <t>Tunde</t>
  </si>
  <si>
    <t>INV-01254</t>
  </si>
  <si>
    <t>Premium Biscuit</t>
  </si>
  <si>
    <t>INV-00294</t>
  </si>
  <si>
    <t>Bottled Water</t>
  </si>
  <si>
    <t>INV-01036</t>
  </si>
  <si>
    <t>Lagos Wholesale Mart</t>
  </si>
  <si>
    <t>Fatima</t>
  </si>
  <si>
    <t>Pending</t>
  </si>
  <si>
    <t>INV-01376</t>
  </si>
  <si>
    <t>Standard Cooking Oil 1L</t>
  </si>
  <si>
    <t>Cooking Oil</t>
  </si>
  <si>
    <t>Emeka</t>
  </si>
  <si>
    <t>INV-00284</t>
  </si>
  <si>
    <t>Ikeja Retail Hub</t>
  </si>
  <si>
    <t>INV-01382</t>
  </si>
  <si>
    <t>INV-00867</t>
  </si>
  <si>
    <t>Premium Detergent 1kg</t>
  </si>
  <si>
    <t>INV-00661</t>
  </si>
  <si>
    <t>Spar</t>
  </si>
  <si>
    <t>INV-00425</t>
  </si>
  <si>
    <t>Basic Bath Soap</t>
  </si>
  <si>
    <t>Amina</t>
  </si>
  <si>
    <t>INV-00541</t>
  </si>
  <si>
    <t>INV-01362</t>
  </si>
  <si>
    <t>INV-00879</t>
  </si>
  <si>
    <t>INV-00958</t>
  </si>
  <si>
    <t>INV-00815</t>
  </si>
  <si>
    <t>INV-00596</t>
  </si>
  <si>
    <t>INV-00926</t>
  </si>
  <si>
    <t>INV-00413</t>
  </si>
  <si>
    <t>INV-00849</t>
  </si>
  <si>
    <t>INV-00836</t>
  </si>
  <si>
    <t>INV-01133</t>
  </si>
  <si>
    <t>ValuePoint</t>
  </si>
  <si>
    <t>INV-01002</t>
  </si>
  <si>
    <t>Premium Cooking Oil 1L</t>
  </si>
  <si>
    <t>INV-00121</t>
  </si>
  <si>
    <t>INV-01230</t>
  </si>
  <si>
    <t>INV-00810</t>
  </si>
  <si>
    <t>INV-00790</t>
  </si>
  <si>
    <t>INV-01295</t>
  </si>
  <si>
    <t>INV-00164</t>
  </si>
  <si>
    <t>Abuja Mega Store</t>
  </si>
  <si>
    <t>INV-00189</t>
  </si>
  <si>
    <t>INV-01158</t>
  </si>
  <si>
    <t>INV-00735</t>
  </si>
  <si>
    <t>INV-00107</t>
  </si>
  <si>
    <t>INV-01353</t>
  </si>
  <si>
    <t>INV-01169</t>
  </si>
  <si>
    <t>INV-01231</t>
  </si>
  <si>
    <t>INV-00188</t>
  </si>
  <si>
    <t>INV-00912</t>
  </si>
  <si>
    <t>Shoprite</t>
  </si>
  <si>
    <t>INV-00881</t>
  </si>
  <si>
    <t>INV-00069</t>
  </si>
  <si>
    <t>INV-00676</t>
  </si>
  <si>
    <t>INV-00602</t>
  </si>
  <si>
    <t>INV-00341</t>
  </si>
  <si>
    <t>INV-00272</t>
  </si>
  <si>
    <t>INV-00821</t>
  </si>
  <si>
    <t>INV-00953</t>
  </si>
  <si>
    <t>INV-00382</t>
  </si>
  <si>
    <t>INV-00448</t>
  </si>
  <si>
    <t>INV-01102</t>
  </si>
  <si>
    <t>INV-00832</t>
  </si>
  <si>
    <t>INV-01431</t>
  </si>
  <si>
    <t>INV-00682</t>
  </si>
  <si>
    <t>INV-00716</t>
  </si>
  <si>
    <t>INV-00450</t>
  </si>
  <si>
    <t>INV-00021</t>
  </si>
  <si>
    <t>INV-00536</t>
  </si>
  <si>
    <t>INV-00216</t>
  </si>
  <si>
    <t>INV-00826</t>
  </si>
  <si>
    <t>INV-01371</t>
  </si>
  <si>
    <t>INV-01183</t>
  </si>
  <si>
    <t>INV-01321</t>
  </si>
  <si>
    <t>INV-00671</t>
  </si>
  <si>
    <t>INV-00418</t>
  </si>
  <si>
    <t>INV-00665</t>
  </si>
  <si>
    <t>INV-00087</t>
  </si>
  <si>
    <t>INV-00399</t>
  </si>
  <si>
    <t>INV-00456</t>
  </si>
  <si>
    <t>INV-01410</t>
  </si>
  <si>
    <t>INV-00653</t>
  </si>
  <si>
    <t>INV-00993</t>
  </si>
  <si>
    <t>INV-01357</t>
  </si>
  <si>
    <t>INV-00759</t>
  </si>
  <si>
    <t>INV-00079</t>
  </si>
  <si>
    <t>INV-00781</t>
  </si>
  <si>
    <t>INV-00946</t>
  </si>
  <si>
    <t>INV-01174</t>
  </si>
  <si>
    <t>INV-00100</t>
  </si>
  <si>
    <t>INV-01413</t>
  </si>
  <si>
    <t>INV-00822</t>
  </si>
  <si>
    <t>INV-01044</t>
  </si>
  <si>
    <t>INV-01325</t>
  </si>
  <si>
    <t>INV-00271</t>
  </si>
  <si>
    <t>INV-01241</t>
  </si>
  <si>
    <t>INV-01038</t>
  </si>
  <si>
    <t>INV-01266</t>
  </si>
  <si>
    <t>INV-00901</t>
  </si>
  <si>
    <t>INV-00827</t>
  </si>
  <si>
    <t>INV-00755</t>
  </si>
  <si>
    <t>INV-00728</t>
  </si>
  <si>
    <t>INV-00784</t>
  </si>
  <si>
    <t>INV-00954</t>
  </si>
  <si>
    <t>INV-00292</t>
  </si>
  <si>
    <t>INV-00073</t>
  </si>
  <si>
    <t>INV-01162</t>
  </si>
  <si>
    <t>INV-00723</t>
  </si>
  <si>
    <t>INV-00181</t>
  </si>
  <si>
    <t>INV-00542</t>
  </si>
  <si>
    <t>INV-00807</t>
  </si>
  <si>
    <t>INV-00831</t>
  </si>
  <si>
    <t>INV-00499</t>
  </si>
  <si>
    <t>INV-00968</t>
  </si>
  <si>
    <t>INV-01057</t>
  </si>
  <si>
    <t>INV-00160</t>
  </si>
  <si>
    <t>Premium Tissue</t>
  </si>
  <si>
    <t>INV-00543</t>
  </si>
  <si>
    <t>INV-00110</t>
  </si>
  <si>
    <t>INV-00522</t>
  </si>
  <si>
    <t>INV-01396</t>
  </si>
  <si>
    <t>INV-01031</t>
  </si>
  <si>
    <t>INV-00503</t>
  </si>
  <si>
    <t>INV-01320</t>
  </si>
  <si>
    <t>INV-01197</t>
  </si>
  <si>
    <t>INV-00489</t>
  </si>
  <si>
    <t>INV-00454</t>
  </si>
  <si>
    <t>INV-00951</t>
  </si>
  <si>
    <t>INV-00167</t>
  </si>
  <si>
    <t>INV-00059</t>
  </si>
  <si>
    <t>INV-01329</t>
  </si>
  <si>
    <t>INV-00639</t>
  </si>
  <si>
    <t>INV-00172</t>
  </si>
  <si>
    <t>INV-00626</t>
  </si>
  <si>
    <t>INV-00644</t>
  </si>
  <si>
    <t>INV-00761</t>
  </si>
  <si>
    <t>INV-01217</t>
  </si>
  <si>
    <t>INV-01256</t>
  </si>
  <si>
    <t>INV-00773</t>
  </si>
  <si>
    <t>INV-01307</t>
  </si>
  <si>
    <t>INV-00675</t>
  </si>
  <si>
    <t>INV-00889</t>
  </si>
  <si>
    <t>Feb</t>
  </si>
  <si>
    <t>INV-01245</t>
  </si>
  <si>
    <t>INV-01157</t>
  </si>
  <si>
    <t>INV-01278</t>
  </si>
  <si>
    <t>INV-00243</t>
  </si>
  <si>
    <t>INV-00440</t>
  </si>
  <si>
    <t>INV-00833</t>
  </si>
  <si>
    <t>INV-00229</t>
  </si>
  <si>
    <t>INV-01291</t>
  </si>
  <si>
    <t>INV-00066</t>
  </si>
  <si>
    <t>INV-01135</t>
  </si>
  <si>
    <t>INV-00730</t>
  </si>
  <si>
    <t>INV-00763</t>
  </si>
  <si>
    <t>INV-01049</t>
  </si>
  <si>
    <t>INV-00568</t>
  </si>
  <si>
    <t>INV-00757</t>
  </si>
  <si>
    <t>INV-01094</t>
  </si>
  <si>
    <t>INV-00455</t>
  </si>
  <si>
    <t>INV-00368</t>
  </si>
  <si>
    <t>INV-00617</t>
  </si>
  <si>
    <t>INV-00689</t>
  </si>
  <si>
    <t>INV-00151</t>
  </si>
  <si>
    <t>INV-01358</t>
  </si>
  <si>
    <t>INV-01148</t>
  </si>
  <si>
    <t>INV-00053</t>
  </si>
  <si>
    <t>INV-00170</t>
  </si>
  <si>
    <t>INV-00864</t>
  </si>
  <si>
    <t>INV-00808</t>
  </si>
  <si>
    <t>INV-00298</t>
  </si>
  <si>
    <t>INV-00150</t>
  </si>
  <si>
    <t>INV-01427</t>
  </si>
  <si>
    <t>INV-00932</t>
  </si>
  <si>
    <t>INV-00114</t>
  </si>
  <si>
    <t>INV-01003</t>
  </si>
  <si>
    <t>INV-01077</t>
  </si>
  <si>
    <t>INV-00687</t>
  </si>
  <si>
    <t>INV-00148</t>
  </si>
  <si>
    <t>INV-00231</t>
  </si>
  <si>
    <t>INV-00304</t>
  </si>
  <si>
    <t>INV-00983</t>
  </si>
  <si>
    <t>INV-01316</t>
  </si>
  <si>
    <t>INV-00196</t>
  </si>
  <si>
    <t>INV-01187</t>
  </si>
  <si>
    <t>INV-00576</t>
  </si>
  <si>
    <t>INV-00670</t>
  </si>
  <si>
    <t>INV-00580</t>
  </si>
  <si>
    <t>INV-00375</t>
  </si>
  <si>
    <t>INV-00566</t>
  </si>
  <si>
    <t>INV-00217</t>
  </si>
  <si>
    <t>INV-00014</t>
  </si>
  <si>
    <t>INV-00501</t>
  </si>
  <si>
    <t>INV-00279</t>
  </si>
  <si>
    <t>INV-00829</t>
  </si>
  <si>
    <t>INV-01142</t>
  </si>
  <si>
    <t>INV-00887</t>
  </si>
  <si>
    <t>INV-01348</t>
  </si>
  <si>
    <t>INV-00037</t>
  </si>
  <si>
    <t>INV-01073</t>
  </si>
  <si>
    <t>INV-01311</t>
  </si>
  <si>
    <t>INV-00814</t>
  </si>
  <si>
    <t>INV-00975</t>
  </si>
  <si>
    <t>INV-00894</t>
  </si>
  <si>
    <t>INV-01389</t>
  </si>
  <si>
    <t>INV-01120</t>
  </si>
  <si>
    <t>INV-00752</t>
  </si>
  <si>
    <t>INV-00484</t>
  </si>
  <si>
    <t>INV-01317</t>
  </si>
  <si>
    <t>INV-00492</t>
  </si>
  <si>
    <t>INV-00599</t>
  </si>
  <si>
    <t>INV-00792</t>
  </si>
  <si>
    <t>INV-00520</t>
  </si>
  <si>
    <t>INV-00942</t>
  </si>
  <si>
    <t>INV-00777</t>
  </si>
  <si>
    <t>INV-00412</t>
  </si>
  <si>
    <t>INV-00297</t>
  </si>
  <si>
    <t>INV-00224</t>
  </si>
  <si>
    <t>INV-00385</t>
  </si>
  <si>
    <t>INV-00931</t>
  </si>
  <si>
    <t>INV-00311</t>
  </si>
  <si>
    <t>INV-00074</t>
  </si>
  <si>
    <t>INV-00377</t>
  </si>
  <si>
    <t>INV-00386</t>
  </si>
  <si>
    <t>INV-01013</t>
  </si>
  <si>
    <t>INV-00077</t>
  </si>
  <si>
    <t>INV-00863</t>
  </si>
  <si>
    <t>INV-00248</t>
  </si>
  <si>
    <t>INV-00574</t>
  </si>
  <si>
    <t>INV-01115</t>
  </si>
  <si>
    <t>INV-00378</t>
  </si>
  <si>
    <t>INV-00939</t>
  </si>
  <si>
    <t>INV-00533</t>
  </si>
  <si>
    <t>INV-01152</t>
  </si>
  <si>
    <t>INV-01378</t>
  </si>
  <si>
    <t>INV-01293</t>
  </si>
  <si>
    <t>INV-00656</t>
  </si>
  <si>
    <t>INV-00488</t>
  </si>
  <si>
    <t>INV-01331</t>
  </si>
  <si>
    <t>INV-00028</t>
  </si>
  <si>
    <t>INV-00548</t>
  </si>
  <si>
    <t>INV-00733</t>
  </si>
  <si>
    <t>INV-00743</t>
  </si>
  <si>
    <t>INV-01258</t>
  </si>
  <si>
    <t>INV-00360</t>
  </si>
  <si>
    <t>INV-00460</t>
  </si>
  <si>
    <t>INV-00406</t>
  </si>
  <si>
    <t>INV-00198</t>
  </si>
  <si>
    <t>INV-00168</t>
  </si>
  <si>
    <t>INV-00655</t>
  </si>
  <si>
    <t>INV-00955</t>
  </si>
  <si>
    <t>INV-00392</t>
  </si>
  <si>
    <t>INV-00890</t>
  </si>
  <si>
    <t>INV-00319</t>
  </si>
  <si>
    <t>INV-00410</t>
  </si>
  <si>
    <t>INV-00225</t>
  </si>
  <si>
    <t>INV-00075</t>
  </si>
  <si>
    <t>INV-00177</t>
  </si>
  <si>
    <t>INV-01107</t>
  </si>
  <si>
    <t>INV-01405</t>
  </si>
  <si>
    <t>INV-00076</t>
  </si>
  <si>
    <t>INV-00473</t>
  </si>
  <si>
    <t>INV-00131</t>
  </si>
  <si>
    <t>INV-00528</t>
  </si>
  <si>
    <t>INV-00770</t>
  </si>
  <si>
    <t>Mar</t>
  </si>
  <si>
    <t>INV-00209</t>
  </si>
  <si>
    <t>INV-00650</t>
  </si>
  <si>
    <t>INV-00903</t>
  </si>
  <si>
    <t>INV-00930</t>
  </si>
  <si>
    <t>INV-01222</t>
  </si>
  <si>
    <t>INV-01017</t>
  </si>
  <si>
    <t>INV-00389</t>
  </si>
  <si>
    <t>INV-01091</t>
  </si>
  <si>
    <t>INV-00491</t>
  </si>
  <si>
    <t>INV-00685</t>
  </si>
  <si>
    <t>INV-00083</t>
  </si>
  <si>
    <t>INV-00445</t>
  </si>
  <si>
    <t>INV-00751</t>
  </si>
  <si>
    <t>INV-01117</t>
  </si>
  <si>
    <t>INV-00694</t>
  </si>
  <si>
    <t>INV-00775</t>
  </si>
  <si>
    <t>INV-00132</t>
  </si>
  <si>
    <t>INV-00240</t>
  </si>
  <si>
    <t>INV-00915</t>
  </si>
  <si>
    <t>INV-01380</t>
  </si>
  <si>
    <t>INV-00331</t>
  </si>
  <si>
    <t>INV-01004</t>
  </si>
  <si>
    <t>INV-00480</t>
  </si>
  <si>
    <t>INV-01271</t>
  </si>
  <si>
    <t>INV-01179</t>
  </si>
  <si>
    <t>INV-00779</t>
  </si>
  <si>
    <t>INV-00591</t>
  </si>
  <si>
    <t>INV-00474</t>
  </si>
  <si>
    <t>INV-01216</t>
  </si>
  <si>
    <t>INV-00666</t>
  </si>
  <si>
    <t>INV-01270</t>
  </si>
  <si>
    <t>INV-00122</t>
  </si>
  <si>
    <t>INV-00510</t>
  </si>
  <si>
    <t>INV-01398</t>
  </si>
  <si>
    <t>INV-00223</t>
  </si>
  <si>
    <t>INV-00141</t>
  </si>
  <si>
    <t>INV-01195</t>
  </si>
  <si>
    <t>INV-00910</t>
  </si>
  <si>
    <t>INV-00182</t>
  </si>
  <si>
    <t>INV-00898</t>
  </si>
  <si>
    <t>INV-00068</t>
  </si>
  <si>
    <t>INV-00550</t>
  </si>
  <si>
    <t>INV-00387</t>
  </si>
  <si>
    <t>INV-01356</t>
  </si>
  <si>
    <t>INV-01323</t>
  </si>
  <si>
    <t>INV-01202</t>
  </si>
  <si>
    <t>INV-00457</t>
  </si>
  <si>
    <t>INV-01092</t>
  </si>
  <si>
    <t>INV-01097</t>
  </si>
  <si>
    <t>INV-00376</t>
  </si>
  <si>
    <t>INV-00390</t>
  </si>
  <si>
    <t>INV-00717</t>
  </si>
  <si>
    <t>INV-00349</t>
  </si>
  <si>
    <t>INV-00895</t>
  </si>
  <si>
    <t>INV-00003</t>
  </si>
  <si>
    <t>INV-01147</t>
  </si>
  <si>
    <t>INV-00335</t>
  </si>
  <si>
    <t>INV-01182</t>
  </si>
  <si>
    <t>INV-01432</t>
  </si>
  <si>
    <t>INV-00050</t>
  </si>
  <si>
    <t>INV-01243</t>
  </si>
  <si>
    <t>INV-00195</t>
  </si>
  <si>
    <t>INV-01007</t>
  </si>
  <si>
    <t>INV-00504</t>
  </si>
  <si>
    <t>INV-01268</t>
  </si>
  <si>
    <t>INV-00305</t>
  </si>
  <si>
    <t>INV-00664</t>
  </si>
  <si>
    <t>INV-00416</t>
  </si>
  <si>
    <t>INV-00706</t>
  </si>
  <si>
    <t>INV-00855</t>
  </si>
  <si>
    <t>INV-00871</t>
  </si>
  <si>
    <t>INV-01372</t>
  </si>
  <si>
    <t>INV-00620</t>
  </si>
  <si>
    <t>INV-00019</t>
  </si>
  <si>
    <t>INV-01145</t>
  </si>
  <si>
    <t>INV-00451</t>
  </si>
  <si>
    <t>INV-01434</t>
  </si>
  <si>
    <t>INV-00835</t>
  </si>
  <si>
    <t>INV-00945</t>
  </si>
  <si>
    <t>INV-00082</t>
  </si>
  <si>
    <t>INV-00646</t>
  </si>
  <si>
    <t>INV-00803</t>
  </si>
  <si>
    <t>INV-00088</t>
  </si>
  <si>
    <t>INV-00449</t>
  </si>
  <si>
    <t>INV-01301</t>
  </si>
  <si>
    <t>INV-00200</t>
  </si>
  <si>
    <t>INV-00851</t>
  </si>
  <si>
    <t>INV-00071</t>
  </si>
  <si>
    <t>INV-00525</t>
  </si>
  <si>
    <t>INV-01274</t>
  </si>
  <si>
    <t>INV-00570</t>
  </si>
  <si>
    <t>INV-00813</t>
  </si>
  <si>
    <t>INV-00007</t>
  </si>
  <si>
    <t>INV-01061</t>
  </si>
  <si>
    <t>INV-01280</t>
  </si>
  <si>
    <t>INV-01326</t>
  </si>
  <si>
    <t>INV-00962</t>
  </si>
  <si>
    <t>INV-01164</t>
  </si>
  <si>
    <t>INV-00054</t>
  </si>
  <si>
    <t>INV-01294</t>
  </si>
  <si>
    <t>INV-00748</t>
  </si>
  <si>
    <t>INV-01052</t>
  </si>
  <si>
    <t>INV-00683</t>
  </si>
  <si>
    <t>INV-01189</t>
  </si>
  <si>
    <t>INV-00633</t>
  </si>
  <si>
    <t>INV-00587</t>
  </si>
  <si>
    <t>INV-00265</t>
  </si>
  <si>
    <t>INV-00688</t>
  </si>
  <si>
    <t>INV-00326</t>
  </si>
  <si>
    <t>INV-01156</t>
  </si>
  <si>
    <t>Apr</t>
  </si>
  <si>
    <t>INV-00963</t>
  </si>
  <si>
    <t>INV-01305</t>
  </si>
  <si>
    <t>INV-01210</t>
  </si>
  <si>
    <t>INV-01367</t>
  </si>
  <si>
    <t>INV-01000</t>
  </si>
  <si>
    <t>INV-00323</t>
  </si>
  <si>
    <t>INV-00913</t>
  </si>
  <si>
    <t>INV-01313</t>
  </si>
  <si>
    <t>INV-00668</t>
  </si>
  <si>
    <t>INV-00966</t>
  </si>
  <si>
    <t>INV-01168</t>
  </si>
  <si>
    <t>INV-01402</t>
  </si>
  <si>
    <t>INV-00681</t>
  </si>
  <si>
    <t>INV-01387</t>
  </si>
  <si>
    <t>INV-00391</t>
  </si>
  <si>
    <t>INV-00001</t>
  </si>
  <si>
    <t>INV-00710</t>
  </si>
  <si>
    <t>INV-01127</t>
  </si>
  <si>
    <t>INV-00949</t>
  </si>
  <si>
    <t>INV-01139</t>
  </si>
  <si>
    <t>INV-01259</t>
  </si>
  <si>
    <t>INV-00364</t>
  </si>
  <si>
    <t>INV-00143</t>
  </si>
  <si>
    <t>INV-00268</t>
  </si>
  <si>
    <t>INV-00793</t>
  </si>
  <si>
    <t>INV-00691</t>
  </si>
  <si>
    <t>INV-01082</t>
  </si>
  <si>
    <t>INV-00512</t>
  </si>
  <si>
    <t>INV-01016</t>
  </si>
  <si>
    <t>INV-00380</t>
  </si>
  <si>
    <t>INV-00325</t>
  </si>
  <si>
    <t>INV-00857</t>
  </si>
  <si>
    <t>INV-00608</t>
  </si>
  <si>
    <t>INV-00640</t>
  </si>
  <si>
    <t>INV-00818</t>
  </si>
  <si>
    <t>INV-00976</t>
  </si>
  <si>
    <t>INV-01337</t>
  </si>
  <si>
    <t>INV-00373</t>
  </si>
  <si>
    <t>INV-00123</t>
  </si>
  <si>
    <t>INV-00098</t>
  </si>
  <si>
    <t>INV-01343</t>
  </si>
  <si>
    <t>INV-01024</t>
  </si>
  <si>
    <t>INV-00916</t>
  </si>
  <si>
    <t>INV-00590</t>
  </si>
  <si>
    <t>INV-01128</t>
  </si>
  <si>
    <t>INV-00978</t>
  </si>
  <si>
    <t>INV-00138</t>
  </si>
  <si>
    <t>INV-00697</t>
  </si>
  <si>
    <t>INV-01261</t>
  </si>
  <si>
    <t>INV-00259</t>
  </si>
  <si>
    <t>INV-01277</t>
  </si>
  <si>
    <t>INV-00310</t>
  </si>
  <si>
    <t>INV-00742</t>
  </si>
  <si>
    <t>INV-01177</t>
  </si>
  <si>
    <t>INV-01214</t>
  </si>
  <si>
    <t>INV-00246</t>
  </si>
  <si>
    <t>INV-00823</t>
  </si>
  <si>
    <t>INV-00313</t>
  </si>
  <si>
    <t>INV-00433</t>
  </si>
  <si>
    <t>INV-00137</t>
  </si>
  <si>
    <t>INV-00237</t>
  </si>
  <si>
    <t>INV-01240</t>
  </si>
  <si>
    <t>INV-00934</t>
  </si>
  <si>
    <t>INV-00280</t>
  </si>
  <si>
    <t>INV-00278</t>
  </si>
  <si>
    <t>INV-00072</t>
  </si>
  <si>
    <t>INV-00343</t>
  </si>
  <si>
    <t>INV-00465</t>
  </si>
  <si>
    <t>INV-01108</t>
  </si>
  <si>
    <t>INV-00103</t>
  </si>
  <si>
    <t>INV-01296</t>
  </si>
  <si>
    <t>INV-01248</t>
  </si>
  <si>
    <t>INV-00738</t>
  </si>
  <si>
    <t>INV-01335</t>
  </si>
  <si>
    <t>INV-00764</t>
  </si>
  <si>
    <t>INV-01400</t>
  </si>
  <si>
    <t>INV-00321</t>
  </si>
  <si>
    <t>INV-00819</t>
  </si>
  <si>
    <t>INV-00557</t>
  </si>
  <si>
    <t>INV-01440</t>
  </si>
  <si>
    <t>INV-00044</t>
  </si>
  <si>
    <t>INV-00800</t>
  </si>
  <si>
    <t>INV-00546</t>
  </si>
  <si>
    <t>INV-01130</t>
  </si>
  <si>
    <t>INV-00585</t>
  </si>
  <si>
    <t>INV-01048</t>
  </si>
  <si>
    <t>INV-01074</t>
  </si>
  <si>
    <t>INV-01439</t>
  </si>
  <si>
    <t>INV-00113</t>
  </si>
  <si>
    <t>INV-01328</t>
  </si>
  <si>
    <t>INV-01406</t>
  </si>
  <si>
    <t>INV-00884</t>
  </si>
  <si>
    <t>INV-00929</t>
  </si>
  <si>
    <t>INV-01084</t>
  </si>
  <si>
    <t>INV-00211</t>
  </si>
  <si>
    <t>INV-00795</t>
  </si>
  <si>
    <t>INV-00144</t>
  </si>
  <si>
    <t>INV-00340</t>
  </si>
  <si>
    <t>INV-00674</t>
  </si>
  <si>
    <t>INV-01069</t>
  </si>
  <si>
    <t>INV-00933</t>
  </si>
  <si>
    <t>INV-00398</t>
  </si>
  <si>
    <t>May</t>
  </si>
  <si>
    <t>INV-01205</t>
  </si>
  <si>
    <t>INV-00437</t>
  </si>
  <si>
    <t>INV-01412</t>
  </si>
  <si>
    <t>INV-00012</t>
  </si>
  <si>
    <t>INV-00985</t>
  </si>
  <si>
    <t>INV-00126</t>
  </si>
  <si>
    <t>INV-00957</t>
  </si>
  <si>
    <t>INV-01014</t>
  </si>
  <si>
    <t>INV-01163</t>
  </si>
  <si>
    <t>INV-00627</t>
  </si>
  <si>
    <t>INV-01247</t>
  </si>
  <si>
    <t>INV-01404</t>
  </si>
  <si>
    <t>INV-00214</t>
  </si>
  <si>
    <t>INV-01390</t>
  </si>
  <si>
    <t>INV-01253</t>
  </si>
  <si>
    <t>INV-00554</t>
  </si>
  <si>
    <t>INV-00327</t>
  </si>
  <si>
    <t>INV-00402</t>
  </si>
  <si>
    <t>INV-00208</t>
  </si>
  <si>
    <t>INV-00101</t>
  </si>
  <si>
    <t>INV-00109</t>
  </si>
  <si>
    <t>INV-01034</t>
  </si>
  <si>
    <t>INV-00906</t>
  </si>
  <si>
    <t>INV-01218</t>
  </si>
  <si>
    <t>INV-01430</t>
  </si>
  <si>
    <t>INV-00739</t>
  </si>
  <si>
    <t>INV-00232</t>
  </si>
  <si>
    <t>INV-00778</t>
  </si>
  <si>
    <t>INV-00006</t>
  </si>
  <si>
    <t>INV-00041</t>
  </si>
  <si>
    <t>INV-00190</t>
  </si>
  <si>
    <t>INV-00654</t>
  </si>
  <si>
    <t>INV-00432</t>
  </si>
  <si>
    <t>INV-00002</t>
  </si>
  <si>
    <t>INV-00526</t>
  </si>
  <si>
    <t>INV-00009</t>
  </si>
  <si>
    <t>INV-00987</t>
  </si>
  <si>
    <t>INV-01079</t>
  </si>
  <si>
    <t>INV-00258</t>
  </si>
  <si>
    <t>INV-00558</t>
  </si>
  <si>
    <t>INV-00495</t>
  </si>
  <si>
    <t>INV-01114</t>
  </si>
  <si>
    <t>INV-00613</t>
  </si>
  <si>
    <t>INV-01125</t>
  </si>
  <si>
    <t>INV-00734</t>
  </si>
  <si>
    <t>INV-00119</t>
  </si>
  <si>
    <t>INV-00266</t>
  </si>
  <si>
    <t>INV-01338</t>
  </si>
  <si>
    <t>INV-00459</t>
  </si>
  <si>
    <t>INV-01341</t>
  </si>
  <si>
    <t>INV-01421</t>
  </si>
  <si>
    <t>INV-00010</t>
  </si>
  <si>
    <t>INV-00645</t>
  </si>
  <si>
    <t>INV-01272</t>
  </si>
  <si>
    <t>INV-00139</t>
  </si>
  <si>
    <t>INV-00900</t>
  </si>
  <si>
    <t>INV-00301</t>
  </si>
  <si>
    <t>INV-01178</t>
  </si>
  <si>
    <t>INV-01144</t>
  </si>
  <si>
    <t>INV-00464</t>
  </si>
  <si>
    <t>INV-00369</t>
  </si>
  <si>
    <t>INV-01384</t>
  </si>
  <si>
    <t>INV-00462</t>
  </si>
  <si>
    <t>INV-00846</t>
  </si>
  <si>
    <t>INV-01273</t>
  </si>
  <si>
    <t>INV-01065</t>
  </si>
  <si>
    <t>INV-00309</t>
  </si>
  <si>
    <t>INV-00578</t>
  </si>
  <si>
    <t>INV-01072</t>
  </si>
  <si>
    <t>INV-01041</t>
  </si>
  <si>
    <t>INV-00624</t>
  </si>
  <si>
    <t>INV-00741</t>
  </si>
  <si>
    <t>INV-01118</t>
  </si>
  <si>
    <t>INV-01088</t>
  </si>
  <si>
    <t>INV-01425</t>
  </si>
  <si>
    <t>INV-00384</t>
  </si>
  <si>
    <t>INV-00786</t>
  </si>
  <si>
    <t>INV-01012</t>
  </si>
  <si>
    <t>INV-00959</t>
  </si>
  <si>
    <t>INV-00562</t>
  </si>
  <si>
    <t>INV-01433</t>
  </si>
  <si>
    <t>INV-01124</t>
  </si>
  <si>
    <t>INV-00337</t>
  </si>
  <si>
    <t>INV-00532</t>
  </si>
  <si>
    <t>INV-00117</t>
  </si>
  <si>
    <t>INV-00136</t>
  </si>
  <si>
    <t>INV-00896</t>
  </si>
  <si>
    <t>INV-00253</t>
  </si>
  <si>
    <t>INV-00370</t>
  </si>
  <si>
    <t>INV-00798</t>
  </si>
  <si>
    <t>INV-01251</t>
  </si>
  <si>
    <t>INV-00469</t>
  </si>
  <si>
    <t>INV-00005</t>
  </si>
  <si>
    <t>INV-01298</t>
  </si>
  <si>
    <t>INV-00221</t>
  </si>
  <si>
    <t>INV-00998</t>
  </si>
  <si>
    <t>INV-01155</t>
  </si>
  <si>
    <t>INV-00859</t>
  </si>
  <si>
    <t>INV-00078</t>
  </si>
  <si>
    <t>INV-00478</t>
  </si>
  <si>
    <t>INV-00920</t>
  </si>
  <si>
    <t>INV-00719</t>
  </si>
  <si>
    <t>INV-00128</t>
  </si>
  <si>
    <t>INV-01257</t>
  </si>
  <si>
    <t>INV-00605</t>
  </si>
  <si>
    <t>INV-00436</t>
  </si>
  <si>
    <t>INV-01129</t>
  </si>
  <si>
    <t>INV-00686</t>
  </si>
  <si>
    <t>INV-01123</t>
  </si>
  <si>
    <t>INV-00096</t>
  </si>
  <si>
    <t>INV-00921</t>
  </si>
  <si>
    <t>INV-00408</t>
  </si>
  <si>
    <t>INV-00603</t>
  </si>
  <si>
    <t>INV-01235</t>
  </si>
  <si>
    <t>INV-00374</t>
  </si>
  <si>
    <t>INV-00523</t>
  </si>
  <si>
    <t>INV-01067</t>
  </si>
  <si>
    <t>INV-00500</t>
  </si>
  <si>
    <t>INV-01204</t>
  </si>
  <si>
    <t>INV-01408</t>
  </si>
  <si>
    <t>INV-00612</t>
  </si>
  <si>
    <t>INV-01386</t>
  </si>
  <si>
    <t>INV-00678</t>
  </si>
  <si>
    <t>INV-00245</t>
  </si>
  <si>
    <t>INV-00403</t>
  </si>
  <si>
    <t>INV-00090</t>
  </si>
  <si>
    <t>INV-01286</t>
  </si>
  <si>
    <t>INV-00713</t>
  </si>
  <si>
    <t>Jun</t>
  </si>
  <si>
    <t>INV-00191</t>
  </si>
  <si>
    <t>INV-01290</t>
  </si>
  <si>
    <t>INV-00732</t>
  </si>
  <si>
    <t>INV-01122</t>
  </si>
  <si>
    <t>INV-00885</t>
  </si>
  <si>
    <t>INV-00629</t>
  </si>
  <si>
    <t>INV-01042</t>
  </si>
  <si>
    <t>INV-00446</t>
  </si>
  <si>
    <t>INV-00769</t>
  </si>
  <si>
    <t>INV-00487</t>
  </si>
  <si>
    <t>INV-00828</t>
  </si>
  <si>
    <t>INV-01409</t>
  </si>
  <si>
    <t>INV-01206</t>
  </si>
  <si>
    <t>INV-00902</t>
  </si>
  <si>
    <t>INV-00754</t>
  </si>
  <si>
    <t>INV-00837</t>
  </si>
  <si>
    <t>INV-01349</t>
  </si>
  <si>
    <t>INV-00388</t>
  </si>
  <si>
    <t>INV-00496</t>
  </si>
  <si>
    <t>INV-00745</t>
  </si>
  <si>
    <t>INV-00251</t>
  </si>
  <si>
    <t>INV-00458</t>
  </si>
  <si>
    <t>INV-00625</t>
  </si>
  <si>
    <t>INV-00712</t>
  </si>
  <si>
    <t>INV-01053</t>
  </si>
  <si>
    <t>INV-00928</t>
  </si>
  <si>
    <t>INV-00434</t>
  </si>
  <si>
    <t>INV-01050</t>
  </si>
  <si>
    <t>INV-00235</t>
  </si>
  <si>
    <t>INV-00255</t>
  </si>
  <si>
    <t>INV-01161</t>
  </si>
  <si>
    <t>INV-00348</t>
  </si>
  <si>
    <t>INV-00011</t>
  </si>
  <si>
    <t>INV-00601</t>
  </si>
  <si>
    <t>INV-01339</t>
  </si>
  <si>
    <t>INV-00973</t>
  </si>
  <si>
    <t>INV-00048</t>
  </si>
  <si>
    <t>INV-00318</t>
  </si>
  <si>
    <t>INV-00595</t>
  </si>
  <si>
    <t>INV-00060</t>
  </si>
  <si>
    <t>INV-01314</t>
  </si>
  <si>
    <t>INV-01239</t>
  </si>
  <si>
    <t>INV-01099</t>
  </si>
  <si>
    <t>INV-01137</t>
  </si>
  <si>
    <t>INV-00104</t>
  </si>
  <si>
    <t>INV-00344</t>
  </si>
  <si>
    <t>INV-00178</t>
  </si>
  <si>
    <t>INV-01001</t>
  </si>
  <si>
    <t>INV-00283</t>
  </si>
  <si>
    <t>INV-00552</t>
  </si>
  <si>
    <t>INV-00589</t>
  </si>
  <si>
    <t>INV-01288</t>
  </si>
  <si>
    <t>INV-00127</t>
  </si>
  <si>
    <t>INV-00979</t>
  </si>
  <si>
    <t>INV-00026</t>
  </si>
  <si>
    <t>INV-00647</t>
  </si>
  <si>
    <t>INV-01132</t>
  </si>
  <si>
    <t>INV-00438</t>
  </si>
  <si>
    <t>INV-00328</t>
  </si>
  <si>
    <t>INV-00516</t>
  </si>
  <si>
    <t>INV-01196</t>
  </si>
  <si>
    <t>INV-01224</t>
  </si>
  <si>
    <t>INV-00275</t>
  </si>
  <si>
    <t>INV-00869</t>
  </si>
  <si>
    <t>INV-00064</t>
  </si>
  <si>
    <t>INV-00295</t>
  </si>
  <si>
    <t>INV-01172</t>
  </si>
  <si>
    <t>INV-01223</t>
  </si>
  <si>
    <t>INV-01437</t>
  </si>
  <si>
    <t>INV-00161</t>
  </si>
  <si>
    <t>INV-00421</t>
  </si>
  <si>
    <t>INV-01029</t>
  </si>
  <si>
    <t>INV-00036</t>
  </si>
  <si>
    <t>INV-01373</t>
  </si>
  <si>
    <t>INV-00610</t>
  </si>
  <si>
    <t>INV-00609</t>
  </si>
  <si>
    <t>INV-01414</t>
  </si>
  <si>
    <t>INV-00185</t>
  </si>
  <si>
    <t>INV-00183</t>
  </si>
  <si>
    <t>INV-00707</t>
  </si>
  <si>
    <t>INV-00288</t>
  </si>
  <si>
    <t>INV-00672</t>
  </si>
  <si>
    <t>INV-00366</t>
  </si>
  <si>
    <t>INV-00630</t>
  </si>
  <si>
    <t>INV-01083</t>
  </si>
  <si>
    <t>INV-00961</t>
  </si>
  <si>
    <t>INV-01040</t>
  </si>
  <si>
    <t>INV-00531</t>
  </si>
  <si>
    <t>INV-00057</t>
  </si>
  <si>
    <t>INV-00592</t>
  </si>
  <si>
    <t>INV-00155</t>
  </si>
  <si>
    <t>INV-00395</t>
  </si>
  <si>
    <t>INV-00363</t>
  </si>
  <si>
    <t>INV-01330</t>
  </si>
  <si>
    <t>INV-00844</t>
  </si>
  <si>
    <t>INV-00883</t>
  </si>
  <si>
    <t>INV-00422</t>
  </si>
  <si>
    <t>INV-00085</t>
  </si>
  <si>
    <t>INV-01250</t>
  </si>
  <si>
    <t>INV-01119</t>
  </si>
  <si>
    <t>INV-00033</t>
  </si>
  <si>
    <t>INV-00273</t>
  </si>
  <si>
    <t>INV-01436</t>
  </si>
  <si>
    <t>INV-01363</t>
  </si>
  <si>
    <t>INV-01098</t>
  </si>
  <si>
    <t>INV-01365</t>
  </si>
  <si>
    <t>INV-01385</t>
  </si>
  <si>
    <t>INV-00431</t>
  </si>
  <si>
    <t>INV-01420</t>
  </si>
  <si>
    <t>INV-00095</t>
  </si>
  <si>
    <t>INV-00092</t>
  </si>
  <si>
    <t>Jul</t>
  </si>
  <si>
    <t>INV-00872</t>
  </si>
  <si>
    <t>INV-00334</t>
  </si>
  <si>
    <t>INV-00306</t>
  </si>
  <si>
    <t>INV-01086</t>
  </si>
  <si>
    <t>INV-00029</t>
  </si>
  <si>
    <t>INV-00714</t>
  </si>
  <si>
    <t>INV-00767</t>
  </si>
  <si>
    <t>INV-00157</t>
  </si>
  <si>
    <t>INV-00322</t>
  </si>
  <si>
    <t>INV-01032</t>
  </si>
  <si>
    <t>INV-01170</t>
  </si>
  <si>
    <t>INV-00539</t>
  </si>
  <si>
    <t>INV-01113</t>
  </si>
  <si>
    <t>INV-00052</t>
  </si>
  <si>
    <t>INV-00202</t>
  </si>
  <si>
    <t>INV-00105</t>
  </si>
  <si>
    <t>INV-00766</t>
  </si>
  <si>
    <t>INV-01005</t>
  </si>
  <si>
    <t>INV-01225</t>
  </si>
  <si>
    <t>INV-00424</t>
  </si>
  <si>
    <t>INV-00594</t>
  </si>
  <si>
    <t>INV-00493</t>
  </si>
  <si>
    <t>INV-00947</t>
  </si>
  <si>
    <t>INV-00802</t>
  </si>
  <si>
    <t>INV-00233</t>
  </si>
  <si>
    <t>INV-01184</t>
  </si>
  <si>
    <t>INV-00270</t>
  </si>
  <si>
    <t>INV-00447</t>
  </si>
  <si>
    <t>INV-00556</t>
  </si>
  <si>
    <t>INV-00047</t>
  </si>
  <si>
    <t>INV-01221</t>
  </si>
  <si>
    <t>INV-00475</t>
  </si>
  <si>
    <t>INV-01263</t>
  </si>
  <si>
    <t>INV-00317</t>
  </si>
  <si>
    <t>INV-00572</t>
  </si>
  <si>
    <t>INV-01136</t>
  </si>
  <si>
    <t>INV-00256</t>
  </si>
  <si>
    <t>INV-01059</t>
  </si>
  <si>
    <t>INV-00677</t>
  </si>
  <si>
    <t>INV-00120</t>
  </si>
  <si>
    <t>INV-00841</t>
  </si>
  <si>
    <t>INV-00175</t>
  </si>
  <si>
    <t>INV-01359</t>
  </si>
  <si>
    <t>INV-00893</t>
  </si>
  <si>
    <t>INV-01100</t>
  </si>
  <si>
    <t>INV-01244</t>
  </si>
  <si>
    <t>INV-00055</t>
  </si>
  <si>
    <t>INV-00513</t>
  </si>
  <si>
    <t>INV-00662</t>
  </si>
  <si>
    <t>INV-00545</t>
  </si>
  <si>
    <t>INV-00842</t>
  </si>
  <si>
    <t>INV-01354</t>
  </si>
  <si>
    <t>INV-00179</t>
  </si>
  <si>
    <t>INV-00925</t>
  </si>
  <si>
    <t>INV-01332</t>
  </si>
  <si>
    <t>INV-01106</t>
  </si>
  <si>
    <t>INV-01199</t>
  </si>
  <si>
    <t>INV-00084</t>
  </si>
  <si>
    <t>INV-00852</t>
  </si>
  <si>
    <t>INV-01055</t>
  </si>
  <si>
    <t>INV-01146</t>
  </si>
  <si>
    <t>INV-00715</t>
  </si>
  <si>
    <t>INV-00772</t>
  </si>
  <si>
    <t>INV-00286</t>
  </si>
  <si>
    <t>INV-00679</t>
  </si>
  <si>
    <t>INV-01297</t>
  </si>
  <si>
    <t>INV-00564</t>
  </si>
  <si>
    <t>INV-00396</t>
  </si>
  <si>
    <t>INV-00788</t>
  </si>
  <si>
    <t>INV-01267</t>
  </si>
  <si>
    <t>INV-00977</t>
  </si>
  <si>
    <t>INV-01426</t>
  </si>
  <si>
    <t>INV-00622</t>
  </si>
  <si>
    <t>INV-01260</t>
  </si>
  <si>
    <t>INV-00604</t>
  </si>
  <si>
    <t>INV-00444</t>
  </si>
  <si>
    <t>INV-00509</t>
  </si>
  <si>
    <t>INV-01033</t>
  </si>
  <si>
    <t>INV-00086</t>
  </si>
  <si>
    <t>INV-01360</t>
  </si>
  <si>
    <t>INV-00549</t>
  </si>
  <si>
    <t>INV-00817</t>
  </si>
  <si>
    <t>INV-00254</t>
  </si>
  <si>
    <t>INV-00205</t>
  </si>
  <si>
    <t>INV-00124</t>
  </si>
  <si>
    <t>INV-00553</t>
  </si>
  <si>
    <t>INV-00252</t>
  </si>
  <si>
    <t>INV-01220</t>
  </si>
  <si>
    <t>INV-00551</t>
  </si>
  <si>
    <t>INV-00482</t>
  </si>
  <si>
    <t>INV-00027</t>
  </si>
  <si>
    <t>INV-00811</t>
  </si>
  <si>
    <t>INV-00861</t>
  </si>
  <si>
    <t>INV-00726</t>
  </si>
  <si>
    <t>INV-00663</t>
  </si>
  <si>
    <t>INV-00804</t>
  </si>
  <si>
    <t>INV-00299</t>
  </si>
  <si>
    <t>INV-00193</t>
  </si>
  <si>
    <t>INV-00081</t>
  </si>
  <si>
    <t>INV-00854</t>
  </si>
  <si>
    <t>INV-00858</t>
  </si>
  <si>
    <t>INV-00371</t>
  </si>
  <si>
    <t>INV-00886</t>
  </si>
  <si>
    <t>INV-00538</t>
  </si>
  <si>
    <t>INV-00230</t>
  </si>
  <si>
    <t>INV-00619</t>
  </si>
  <si>
    <t>INV-01112</t>
  </si>
  <si>
    <t>INV-00025</t>
  </si>
  <si>
    <t>INV-01190</t>
  </si>
  <si>
    <t>INV-00414</t>
  </si>
  <si>
    <t>INV-00765</t>
  </si>
  <si>
    <t>INV-01143</t>
  </si>
  <si>
    <t>INV-00063</t>
  </si>
  <si>
    <t>INV-00089</t>
  </si>
  <si>
    <t>INV-00708</t>
  </si>
  <si>
    <t>INV-00809</t>
  </si>
  <si>
    <t>INV-00419</t>
  </si>
  <si>
    <t>INV-01093</t>
  </si>
  <si>
    <t>INV-00721</t>
  </si>
  <si>
    <t>INV-00293</t>
  </si>
  <si>
    <t>INV-00870</t>
  </si>
  <si>
    <t>INV-01018</t>
  </si>
  <si>
    <t>INV-01340</t>
  </si>
  <si>
    <t>INV-00115</t>
  </si>
  <si>
    <t>INV-00621</t>
  </si>
  <si>
    <t>INV-01151</t>
  </si>
  <si>
    <t>INV-01417</t>
  </si>
  <si>
    <t>INV-00914</t>
  </si>
  <si>
    <t>INV-00035</t>
  </si>
  <si>
    <t>INV-00518</t>
  </si>
  <si>
    <t>INV-00212</t>
  </si>
  <si>
    <t>INV-00094</t>
  </si>
  <si>
    <t>Aug</t>
  </si>
  <si>
    <t>INV-00471</t>
  </si>
  <si>
    <t>INV-00873</t>
  </si>
  <si>
    <t>INV-00218</t>
  </si>
  <si>
    <t>INV-00423</t>
  </si>
  <si>
    <t>INV-01185</t>
  </si>
  <si>
    <t>INV-00180</t>
  </si>
  <si>
    <t>INV-00452</t>
  </si>
  <si>
    <t>INV-00357</t>
  </si>
  <si>
    <t>INV-00524</t>
  </si>
  <si>
    <t>INV-00106</t>
  </si>
  <si>
    <t>INV-00771</t>
  </si>
  <si>
    <t>INV-00924</t>
  </si>
  <si>
    <t>INV-00330</t>
  </si>
  <si>
    <t>INV-01160</t>
  </si>
  <si>
    <t>INV-00631</t>
  </si>
  <si>
    <t>INV-00919</t>
  </si>
  <si>
    <t>INV-01209</t>
  </si>
  <si>
    <t>INV-00244</t>
  </si>
  <si>
    <t>INV-01249</t>
  </si>
  <si>
    <t>INV-00241</t>
  </si>
  <si>
    <t>INV-01346</t>
  </si>
  <si>
    <t>INV-01391</t>
  </si>
  <si>
    <t>INV-00709</t>
  </si>
  <si>
    <t>INV-00582</t>
  </si>
  <si>
    <t>INV-00031</t>
  </si>
  <si>
    <t>INV-00430</t>
  </si>
  <si>
    <t>INV-00133</t>
  </si>
  <si>
    <t>INV-00490</t>
  </si>
  <si>
    <t>INV-00142</t>
  </si>
  <si>
    <t>INV-00791</t>
  </si>
  <si>
    <t>INV-01064</t>
  </si>
  <si>
    <t>INV-01087</t>
  </si>
  <si>
    <t>INV-00129</t>
  </si>
  <si>
    <t>INV-00017</t>
  </si>
  <si>
    <t>INV-01037</t>
  </si>
  <si>
    <t>INV-00938</t>
  </si>
  <si>
    <t>INV-00461</t>
  </si>
  <si>
    <t>INV-00521</t>
  </si>
  <si>
    <t>INV-00008</t>
  </si>
  <si>
    <t>INV-01269</t>
  </si>
  <si>
    <t>INV-00194</t>
  </si>
  <si>
    <t>INV-00333</t>
  </si>
  <si>
    <t>INV-00667</t>
  </si>
  <si>
    <t>INV-00758</t>
  </si>
  <si>
    <t>INV-01068</t>
  </si>
  <si>
    <t>INV-00658</t>
  </si>
  <si>
    <t>INV-01140</t>
  </si>
  <si>
    <t>INV-00652</t>
  </si>
  <si>
    <t>INV-01022</t>
  </si>
  <si>
    <t>INV-00022</t>
  </si>
  <si>
    <t>INV-00615</t>
  </si>
  <si>
    <t>INV-00990</t>
  </si>
  <si>
    <t>INV-00111</t>
  </si>
  <si>
    <t>INV-01015</t>
  </si>
  <si>
    <t>INV-00404</t>
  </si>
  <si>
    <t>INV-00860</t>
  </si>
  <si>
    <t>INV-00825</t>
  </si>
  <si>
    <t>INV-01377</t>
  </si>
  <si>
    <t>INV-00441</t>
  </si>
  <si>
    <t>INV-01435</t>
  </si>
  <si>
    <t>INV-01026</t>
  </si>
  <si>
    <t>INV-00435</t>
  </si>
  <si>
    <t>INV-01265</t>
  </si>
  <si>
    <t>INV-01138</t>
  </si>
  <si>
    <t>INV-01342</t>
  </si>
  <si>
    <t>INV-01429</t>
  </si>
  <si>
    <t>INV-01428</t>
  </si>
  <si>
    <t>INV-00559</t>
  </si>
  <si>
    <t>INV-01188</t>
  </si>
  <si>
    <t>INV-01422</t>
  </si>
  <si>
    <t>INV-01019</t>
  </si>
  <si>
    <t>INV-01232</t>
  </si>
  <si>
    <t>INV-00162</t>
  </si>
  <si>
    <t>INV-00346</t>
  </si>
  <si>
    <t>INV-01046</t>
  </si>
  <si>
    <t>INV-00692</t>
  </si>
  <si>
    <t>INV-00937</t>
  </si>
  <si>
    <t>INV-00972</t>
  </si>
  <si>
    <t>INV-00359</t>
  </si>
  <si>
    <t>INV-01252</t>
  </si>
  <si>
    <t>INV-01374</t>
  </si>
  <si>
    <t>INV-00866</t>
  </si>
  <si>
    <t>INV-00320</t>
  </si>
  <si>
    <t>INV-00534</t>
  </si>
  <si>
    <t>INV-00140</t>
  </si>
  <si>
    <t>INV-00922</t>
  </si>
  <si>
    <t>INV-00314</t>
  </si>
  <si>
    <t>INV-00207</t>
  </si>
  <si>
    <t>INV-00991</t>
  </si>
  <si>
    <t>INV-00936</t>
  </si>
  <si>
    <t>INV-00618</t>
  </si>
  <si>
    <t>INV-01309</t>
  </si>
  <si>
    <t>INV-00393</t>
  </si>
  <si>
    <t>INV-01279</t>
  </si>
  <si>
    <t>INV-00354</t>
  </si>
  <si>
    <t>INV-00862</t>
  </si>
  <si>
    <t>INV-00888</t>
  </si>
  <si>
    <t>INV-00213</t>
  </si>
  <si>
    <t>INV-00839</t>
  </si>
  <si>
    <t>INV-00338</t>
  </si>
  <si>
    <t>INV-01336</t>
  </si>
  <si>
    <t>INV-01306</t>
  </si>
  <si>
    <t>INV-00606</t>
  </si>
  <si>
    <t>INV-01370</t>
  </si>
  <si>
    <t>INV-00684</t>
  </si>
  <si>
    <t>INV-00693</t>
  </si>
  <si>
    <t>INV-00463</t>
  </si>
  <si>
    <t>INV-00134</t>
  </si>
  <si>
    <t>INV-00701</t>
  </si>
  <si>
    <t>INV-00571</t>
  </si>
  <si>
    <t>INV-00023</t>
  </si>
  <si>
    <t>INV-00336</t>
  </si>
  <si>
    <t>INV-01392</t>
  </si>
  <si>
    <t>Sep</t>
  </si>
  <si>
    <t>INV-01110</t>
  </si>
  <si>
    <t>INV-01159</t>
  </si>
  <si>
    <t>INV-00372</t>
  </si>
  <si>
    <t>INV-00347</t>
  </si>
  <si>
    <t>INV-00698</t>
  </si>
  <si>
    <t>INV-00588</t>
  </si>
  <si>
    <t>INV-00058</t>
  </si>
  <si>
    <t>INV-00125</t>
  </si>
  <si>
    <t>INV-01242</t>
  </si>
  <si>
    <t>INV-00569</t>
  </si>
  <si>
    <t>INV-00555</t>
  </si>
  <si>
    <t>INV-00700</t>
  </si>
  <si>
    <t>INV-01381</t>
  </si>
  <si>
    <t>INV-01424</t>
  </si>
  <si>
    <t>INV-01334</t>
  </si>
  <si>
    <t>INV-00705</t>
  </si>
  <si>
    <t>INV-00020</t>
  </si>
  <si>
    <t>INV-01211</t>
  </si>
  <si>
    <t>INV-01071</t>
  </si>
  <si>
    <t>INV-00943</t>
  </si>
  <si>
    <t>INV-00845</t>
  </si>
  <si>
    <t>INV-00547</t>
  </si>
  <si>
    <t>INV-00812</t>
  </si>
  <si>
    <t>INV-00361</t>
  </si>
  <si>
    <t>INV-01383</t>
  </si>
  <si>
    <t>INV-00352</t>
  </si>
  <si>
    <t>INV-00112</t>
  </si>
  <si>
    <t>INV-00004</t>
  </si>
  <si>
    <t>INV-00153</t>
  </si>
  <si>
    <t>INV-00276</t>
  </si>
  <si>
    <t>INV-01351</t>
  </si>
  <si>
    <t>INV-00952</t>
  </si>
  <si>
    <t>INV-00226</t>
  </si>
  <si>
    <t>INV-01076</t>
  </si>
  <si>
    <t>INV-01219</t>
  </si>
  <si>
    <t>INV-00192</t>
  </si>
  <si>
    <t>INV-00736</t>
  </si>
  <si>
    <t>INV-01006</t>
  </si>
  <si>
    <t>INV-00988</t>
  </si>
  <si>
    <t>INV-00718</t>
  </si>
  <si>
    <t>INV-01035</t>
  </si>
  <si>
    <t>INV-01292</t>
  </si>
  <si>
    <t>INV-00269</t>
  </si>
  <si>
    <t>INV-01227</t>
  </si>
  <si>
    <t>INV-00013</t>
  </si>
  <si>
    <t>INV-00477</t>
  </si>
  <si>
    <t>INV-00982</t>
  </si>
  <si>
    <t>INV-00257</t>
  </si>
  <si>
    <t>INV-00527</t>
  </si>
  <si>
    <t>INV-00971</t>
  </si>
  <si>
    <t>INV-00511</t>
  </si>
  <si>
    <t>INV-01096</t>
  </si>
  <si>
    <t>INV-00515</t>
  </si>
  <si>
    <t>INV-00176</t>
  </si>
  <si>
    <t>INV-00776</t>
  </si>
  <si>
    <t>INV-00351</t>
  </si>
  <si>
    <t>INV-00517</t>
  </si>
  <si>
    <t>INV-00383</t>
  </si>
  <si>
    <t>INV-00045</t>
  </si>
  <si>
    <t>INV-01081</t>
  </si>
  <si>
    <t>INV-00880</t>
  </si>
  <si>
    <t>INV-00260</t>
  </si>
  <si>
    <t>INV-00623</t>
  </si>
  <si>
    <t>INV-01176</t>
  </si>
  <si>
    <t>INV-01186</t>
  </si>
  <si>
    <t>INV-01393</t>
  </si>
  <si>
    <t>INV-01062</t>
  </si>
  <si>
    <t>INV-00197</t>
  </si>
  <si>
    <t>INV-00277</t>
  </si>
  <si>
    <t>INV-00878</t>
  </si>
  <si>
    <t>INV-00514</t>
  </si>
  <si>
    <t>INV-00960</t>
  </si>
  <si>
    <t>INV-01116</t>
  </si>
  <si>
    <t>INV-00749</t>
  </si>
  <si>
    <t>INV-01008</t>
  </si>
  <si>
    <t>INV-01070</t>
  </si>
  <si>
    <t>INV-00729</t>
  </si>
  <si>
    <t>INV-00597</t>
  </si>
  <si>
    <t>INV-00262</t>
  </si>
  <si>
    <t>INV-00149</t>
  </si>
  <si>
    <t>INV-00876</t>
  </si>
  <si>
    <t>INV-00940</t>
  </si>
  <si>
    <t>INV-00169</t>
  </si>
  <si>
    <t>INV-01415</t>
  </si>
  <si>
    <t>INV-00015</t>
  </si>
  <si>
    <t>INV-00291</t>
  </si>
  <si>
    <t>INV-00146</t>
  </si>
  <si>
    <t>INV-01010</t>
  </si>
  <si>
    <t>INV-00046</t>
  </si>
  <si>
    <t>INV-00324</t>
  </si>
  <si>
    <t>INV-01101</t>
  </si>
  <si>
    <t>INV-01324</t>
  </si>
  <si>
    <t>INV-00332</t>
  </si>
  <si>
    <t>INV-01418</t>
  </si>
  <si>
    <t>INV-01047</t>
  </si>
  <si>
    <t>INV-01236</t>
  </si>
  <si>
    <t>INV-00911</t>
  </si>
  <si>
    <t>INV-00918</t>
  </si>
  <si>
    <t>INV-00467</t>
  </si>
  <si>
    <t>INV-00659</t>
  </si>
  <si>
    <t>INV-00468</t>
  </si>
  <si>
    <t>INV-00472</t>
  </si>
  <si>
    <t>INV-00204</t>
  </si>
  <si>
    <t>INV-00215</t>
  </si>
  <si>
    <t>INV-00289</t>
  </si>
  <si>
    <t>INV-00356</t>
  </si>
  <si>
    <t>INV-00453</t>
  </si>
  <si>
    <t>INV-00799</t>
  </si>
  <si>
    <t>INV-00598</t>
  </si>
  <si>
    <t>INV-01193</t>
  </si>
  <si>
    <t>INV-00173</t>
  </si>
  <si>
    <t>INV-00997</t>
  </si>
  <si>
    <t>INV-00426</t>
  </si>
  <si>
    <t>INV-01020</t>
  </si>
  <si>
    <t>INV-00999</t>
  </si>
  <si>
    <t>INV-00397</t>
  </si>
  <si>
    <t>Oct</t>
  </si>
  <si>
    <t>INV-00261</t>
  </si>
  <si>
    <t>INV-00632</t>
  </si>
  <si>
    <t>INV-00171</t>
  </si>
  <si>
    <t>INV-00797</t>
  </si>
  <si>
    <t>INV-00099</t>
  </si>
  <si>
    <t>INV-00994</t>
  </si>
  <si>
    <t>INV-00409</t>
  </si>
  <si>
    <t>INV-00565</t>
  </si>
  <si>
    <t>INV-01095</t>
  </si>
  <si>
    <t>INV-00300</t>
  </si>
  <si>
    <t>INV-01347</t>
  </si>
  <si>
    <t>INV-00476</t>
  </si>
  <si>
    <t>INV-01379</t>
  </si>
  <si>
    <t>INV-01212</t>
  </si>
  <si>
    <t>INV-00642</t>
  </si>
  <si>
    <t>INV-01310</t>
  </si>
  <si>
    <t>INV-00593</t>
  </si>
  <si>
    <t>INV-00381</t>
  </si>
  <si>
    <t>INV-00695</t>
  </si>
  <si>
    <t>INV-00567</t>
  </si>
  <si>
    <t>INV-00875</t>
  </si>
  <si>
    <t>INV-01166</t>
  </si>
  <si>
    <t>INV-00560</t>
  </si>
  <si>
    <t>INV-01063</t>
  </si>
  <si>
    <t>INV-01364</t>
  </si>
  <si>
    <t>INV-00824</t>
  </si>
  <si>
    <t>INV-00964</t>
  </si>
  <si>
    <t>INV-00061</t>
  </si>
  <si>
    <t>INV-00816</t>
  </si>
  <si>
    <t>INV-00203</t>
  </si>
  <si>
    <t>INV-00805</t>
  </si>
  <si>
    <t>INV-01419</t>
  </si>
  <si>
    <t>INV-01039</t>
  </si>
  <si>
    <t>INV-01175</t>
  </si>
  <si>
    <t>INV-01149</t>
  </si>
  <si>
    <t>INV-00820</t>
  </si>
  <si>
    <t>INV-00016</t>
  </si>
  <si>
    <t>INV-00227</t>
  </si>
  <si>
    <t>INV-00834</t>
  </si>
  <si>
    <t>INV-00796</t>
  </si>
  <si>
    <t>INV-00616</t>
  </si>
  <si>
    <t>INV-01201</t>
  </si>
  <si>
    <t>INV-01207</t>
  </si>
  <si>
    <t>INV-01030</t>
  </si>
  <si>
    <t>INV-00711</t>
  </si>
  <si>
    <t>INV-01075</t>
  </si>
  <si>
    <t>INV-01023</t>
  </si>
  <si>
    <t>INV-00703</t>
  </si>
  <si>
    <t>INV-00756</t>
  </si>
  <si>
    <t>INV-01058</t>
  </si>
  <si>
    <t>INV-00429</t>
  </si>
  <si>
    <t>INV-00018</t>
  </si>
  <si>
    <t>INV-00365</t>
  </si>
  <si>
    <t>INV-00579</t>
  </si>
  <si>
    <t>INV-01284</t>
  </si>
  <si>
    <t>INV-00312</t>
  </si>
  <si>
    <t>INV-00843</t>
  </si>
  <si>
    <t>INV-00056</t>
  </si>
  <si>
    <t>INV-00856</t>
  </si>
  <si>
    <t>INV-00892</t>
  </si>
  <si>
    <t>INV-00400</t>
  </si>
  <si>
    <t>INV-01333</t>
  </si>
  <si>
    <t>INV-00062</t>
  </si>
  <si>
    <t>INV-00097</t>
  </si>
  <si>
    <t>INV-00643</t>
  </si>
  <si>
    <t>INV-01104</t>
  </si>
  <si>
    <t>INV-00350</t>
  </si>
  <si>
    <t>INV-00638</t>
  </si>
  <si>
    <t>INV-01352</t>
  </si>
  <si>
    <t>INV-00038</t>
  </si>
  <si>
    <t>INV-00481</t>
  </si>
  <si>
    <t>INV-00575</t>
  </si>
  <si>
    <t>INV-00282</t>
  </si>
  <si>
    <t>INV-01289</t>
  </si>
  <si>
    <t>INV-00956</t>
  </si>
  <si>
    <t>INV-01228</t>
  </si>
  <si>
    <t>INV-00907</t>
  </si>
  <si>
    <t>INV-00830</t>
  </si>
  <si>
    <t>INV-00250</t>
  </si>
  <si>
    <t>INV-01066</t>
  </si>
  <si>
    <t>INV-00989</t>
  </si>
  <si>
    <t>INV-00897</t>
  </si>
  <si>
    <t>INV-00345</t>
  </si>
  <si>
    <t>INV-00405</t>
  </si>
  <si>
    <t>INV-00267</t>
  </si>
  <si>
    <t>INV-00584</t>
  </si>
  <si>
    <t>INV-00607</t>
  </si>
  <si>
    <t>INV-00130</t>
  </si>
  <si>
    <t>INV-00980</t>
  </si>
  <si>
    <t>INV-00868</t>
  </si>
  <si>
    <t>INV-00308</t>
  </si>
  <si>
    <t>INV-01281</t>
  </si>
  <si>
    <t>INV-01213</t>
  </si>
  <si>
    <t>INV-00690</t>
  </si>
  <si>
    <t>INV-00316</t>
  </si>
  <si>
    <t>INV-00296</t>
  </si>
  <si>
    <t>INV-00507</t>
  </si>
  <si>
    <t>INV-00187</t>
  </si>
  <si>
    <t>INV-00407</t>
  </si>
  <si>
    <t>INV-01255</t>
  </si>
  <si>
    <t>INV-01275</t>
  </si>
  <si>
    <t>INV-00600</t>
  </si>
  <si>
    <t>INV-00529</t>
  </si>
  <si>
    <t>INV-01312</t>
  </si>
  <si>
    <t>INV-00614</t>
  </si>
  <si>
    <t>INV-01025</t>
  </si>
  <si>
    <t>INV-01423</t>
  </si>
  <si>
    <t>INV-00904</t>
  </si>
  <si>
    <t>INV-01109</t>
  </si>
  <si>
    <t>INV-01028</t>
  </si>
  <si>
    <t>INV-00762</t>
  </si>
  <si>
    <t>INV-00965</t>
  </si>
  <si>
    <t>INV-00411</t>
  </si>
  <si>
    <t>INV-00302</t>
  </si>
  <si>
    <t>INV-00486</t>
  </si>
  <si>
    <t>INV-00367</t>
  </si>
  <si>
    <t>INV-00995</t>
  </si>
  <si>
    <t>INV-00024</t>
  </si>
  <si>
    <t>INV-00242</t>
  </si>
  <si>
    <t>INV-01229</t>
  </si>
  <si>
    <t>INV-00485</t>
  </si>
  <si>
    <t>INV-00948</t>
  </si>
  <si>
    <t>INV-00637</t>
  </si>
  <si>
    <t>INV-01215</t>
  </si>
  <si>
    <t>INV-01322</t>
  </si>
  <si>
    <t>INV-00184</t>
  </si>
  <si>
    <t>INV-00274</t>
  </si>
  <si>
    <t>INV-00673</t>
  </si>
  <si>
    <t>Nov</t>
  </si>
  <si>
    <t>INV-01043</t>
  </si>
  <si>
    <t>INV-00210</t>
  </si>
  <si>
    <t>INV-00704</t>
  </si>
  <si>
    <t>INV-00358</t>
  </si>
  <si>
    <t>INV-00080</t>
  </si>
  <si>
    <t>INV-00247</t>
  </si>
  <si>
    <t>INV-00544</t>
  </si>
  <si>
    <t>INV-01315</t>
  </si>
  <si>
    <t>INV-00220</t>
  </si>
  <si>
    <t>INV-01237</t>
  </si>
  <si>
    <t>INV-00174</t>
  </si>
  <si>
    <t>INV-00285</t>
  </si>
  <si>
    <t>INV-00030</t>
  </si>
  <si>
    <t>INV-00722</t>
  </si>
  <si>
    <t>INV-00070</t>
  </si>
  <si>
    <t>INV-00201</t>
  </si>
  <si>
    <t>INV-01369</t>
  </si>
  <si>
    <t>INV-00840</t>
  </si>
  <si>
    <t>INV-00116</t>
  </si>
  <si>
    <t>INV-00944</t>
  </si>
  <si>
    <t>INV-00573</t>
  </si>
  <si>
    <t>INV-00649</t>
  </si>
  <si>
    <t>INV-00067</t>
  </si>
  <si>
    <t>INV-00420</t>
  </si>
  <si>
    <t>INV-01054</t>
  </si>
  <si>
    <t>INV-01198</t>
  </si>
  <si>
    <t>INV-00051</t>
  </si>
  <si>
    <t>INV-01167</t>
  </si>
  <si>
    <t>INV-00891</t>
  </si>
  <si>
    <t>INV-00882</t>
  </si>
  <si>
    <t>INV-00801</t>
  </si>
  <si>
    <t>INV-00234</t>
  </si>
  <si>
    <t>INV-00634</t>
  </si>
  <si>
    <t>INV-00917</t>
  </si>
  <si>
    <t>INV-01238</t>
  </si>
  <si>
    <t>INV-00165</t>
  </si>
  <si>
    <t>INV-00439</t>
  </si>
  <si>
    <t>INV-00530</t>
  </si>
  <si>
    <t>INV-01300</t>
  </si>
  <si>
    <t>INV-00747</t>
  </si>
  <si>
    <t>INV-01121</t>
  </si>
  <si>
    <t>INV-00519</t>
  </si>
  <si>
    <t>INV-00794</t>
  </si>
  <si>
    <t>INV-00065</t>
  </si>
  <si>
    <t>INV-00874</t>
  </si>
  <si>
    <t>INV-01304</t>
  </si>
  <si>
    <t>INV-00102</t>
  </si>
  <si>
    <t>INV-00923</t>
  </si>
  <si>
    <t>INV-00744</t>
  </si>
  <si>
    <t>INV-01344</t>
  </si>
  <si>
    <t>INV-01171</t>
  </si>
  <si>
    <t>INV-00583</t>
  </si>
  <si>
    <t>INV-00135</t>
  </si>
  <si>
    <t>INV-00935</t>
  </si>
  <si>
    <t>INV-01403</t>
  </si>
  <si>
    <t>INV-00379</t>
  </si>
  <si>
    <t>INV-00724</t>
  </si>
  <si>
    <t>INV-00853</t>
  </si>
  <si>
    <t>INV-00561</t>
  </si>
  <si>
    <t>INV-01395</t>
  </si>
  <si>
    <t>INV-00899</t>
  </si>
  <si>
    <t>INV-01233</t>
  </si>
  <si>
    <t>INV-00034</t>
  </si>
  <si>
    <t>INV-00508</t>
  </si>
  <si>
    <t>INV-01090</t>
  </si>
  <si>
    <t>INV-00651</t>
  </si>
  <si>
    <t>INV-01397</t>
  </si>
  <si>
    <t>INV-01246</t>
  </si>
  <si>
    <t>INV-00043</t>
  </si>
  <si>
    <t>INV-01319</t>
  </si>
  <si>
    <t>INV-01303</t>
  </si>
  <si>
    <t>INV-01366</t>
  </si>
  <si>
    <t>INV-00720</t>
  </si>
  <si>
    <t>INV-01141</t>
  </si>
  <si>
    <t>INV-00339</t>
  </si>
  <si>
    <t>INV-01416</t>
  </si>
  <si>
    <t>INV-00950</t>
  </si>
  <si>
    <t>INV-00877</t>
  </si>
  <si>
    <t>INV-00657</t>
  </si>
  <si>
    <t>INV-01126</t>
  </si>
  <si>
    <t>INV-00498</t>
  </si>
  <si>
    <t>INV-00641</t>
  </si>
  <si>
    <t>INV-00865</t>
  </si>
  <si>
    <t>INV-00039</t>
  </si>
  <si>
    <t>INV-00967</t>
  </si>
  <si>
    <t>INV-00466</t>
  </si>
  <si>
    <t>INV-00785</t>
  </si>
  <si>
    <t>INV-00154</t>
  </si>
  <si>
    <t>INV-01173</t>
  </si>
  <si>
    <t>INV-00415</t>
  </si>
  <si>
    <t>INV-01056</t>
  </si>
  <si>
    <t>INV-01368</t>
  </si>
  <si>
    <t>INV-01287</t>
  </si>
  <si>
    <t>INV-00680</t>
  </si>
  <si>
    <t>INV-00222</t>
  </si>
  <si>
    <t>INV-00442</t>
  </si>
  <si>
    <t>INV-00506</t>
  </si>
  <si>
    <t>INV-00219</t>
  </si>
  <si>
    <t>INV-00186</t>
  </si>
  <si>
    <t>INV-00540</t>
  </si>
  <si>
    <t>INV-00909</t>
  </si>
  <si>
    <t>INV-00660</t>
  </si>
  <si>
    <t>INV-00760</t>
  </si>
  <si>
    <t>INV-00281</t>
  </si>
  <si>
    <t>INV-00494</t>
  </si>
  <si>
    <t>INV-00353</t>
  </si>
  <si>
    <t>INV-01262</t>
  </si>
  <si>
    <t>INV-00941</t>
  </si>
  <si>
    <t>INV-00847</t>
  </si>
  <si>
    <t>INV-01361</t>
  </si>
  <si>
    <t>INV-00986</t>
  </si>
  <si>
    <t>INV-01264</t>
  </si>
  <si>
    <t>INV-01299</t>
  </si>
  <si>
    <t>INV-00750</t>
  </si>
  <si>
    <t>INV-01350</t>
  </si>
  <si>
    <t>INV-00780</t>
  </si>
  <si>
    <t>INV-01226</t>
  </si>
  <si>
    <t>INV-01285</t>
  </si>
  <si>
    <t>INV-01060</t>
  </si>
  <si>
    <t>INV-00329</t>
  </si>
  <si>
    <t>INV-01375</t>
  </si>
  <si>
    <t>INV-00789</t>
  </si>
  <si>
    <t>INV-00307</t>
  </si>
  <si>
    <t>INV-01308</t>
  </si>
  <si>
    <t>INV-00905</t>
  </si>
  <si>
    <t>INV-01192</t>
  </si>
  <si>
    <t>INV-00166</t>
  </si>
  <si>
    <t>INV-01009</t>
  </si>
  <si>
    <t>INV-00315</t>
  </si>
  <si>
    <t>INV-00927</t>
  </si>
  <si>
    <t>INV-00158</t>
  </si>
  <si>
    <t>INV-01234</t>
  </si>
  <si>
    <t>Dec</t>
  </si>
  <si>
    <t>INV-00669</t>
  </si>
  <si>
    <t>INV-00443</t>
  </si>
  <si>
    <t>INV-01399</t>
  </si>
  <si>
    <t>INV-00628</t>
  </si>
  <si>
    <t>INV-01150</t>
  </si>
  <si>
    <t>INV-00806</t>
  </si>
  <si>
    <t>INV-00362</t>
  </si>
  <si>
    <t>INV-00479</t>
  </si>
  <si>
    <t>INV-01388</t>
  </si>
  <si>
    <t>INV-01111</t>
  </si>
  <si>
    <t>INV-00228</t>
  </si>
  <si>
    <t>INV-00563</t>
  </si>
  <si>
    <t>INV-00238</t>
  </si>
  <si>
    <t>INV-00239</t>
  </si>
  <si>
    <t>INV-00483</t>
  </si>
  <si>
    <t>INV-00535</t>
  </si>
  <si>
    <t>INV-01080</t>
  </si>
  <si>
    <t>INV-01407</t>
  </si>
  <si>
    <t>INV-00737</t>
  </si>
  <si>
    <t>INV-00145</t>
  </si>
  <si>
    <t>INV-01045</t>
  </si>
  <si>
    <t>INV-01011</t>
  </si>
  <si>
    <t>INV-00838</t>
  </si>
  <si>
    <t>INV-01302</t>
  </si>
  <si>
    <t>INV-01165</t>
  </si>
  <si>
    <t>INV-00908</t>
  </si>
  <si>
    <t>INV-00740</t>
  </si>
  <si>
    <t>INV-00648</t>
  </si>
  <si>
    <t>INV-01282</t>
  </si>
  <si>
    <t>INV-00635</t>
  </si>
  <si>
    <t>INV-00783</t>
  </si>
  <si>
    <t>INV-01438</t>
  </si>
  <si>
    <t>INV-00199</t>
  </si>
  <si>
    <t>INV-00969</t>
  </si>
  <si>
    <t>INV-00206</t>
  </si>
  <si>
    <t>INV-00152</t>
  </si>
  <si>
    <t>INV-00753</t>
  </si>
  <si>
    <t>INV-01153</t>
  </si>
  <si>
    <t>INV-01103</t>
  </si>
  <si>
    <t>INV-01089</t>
  </si>
  <si>
    <t>INV-00355</t>
  </si>
  <si>
    <t>INV-00505</t>
  </si>
  <si>
    <t>INV-00428</t>
  </si>
  <si>
    <t>INV-00636</t>
  </si>
  <si>
    <t>INV-00768</t>
  </si>
  <si>
    <t>INV-01154</t>
  </si>
  <si>
    <t>INV-00537</t>
  </si>
  <si>
    <t>INV-00236</t>
  </si>
  <si>
    <t>INV-00091</t>
  </si>
  <si>
    <t>INV-01105</t>
  </si>
  <si>
    <t>INV-00163</t>
  </si>
  <si>
    <t>INV-01283</t>
  </si>
  <si>
    <t>INV-00290</t>
  </si>
  <si>
    <t>INV-00147</t>
  </si>
  <si>
    <t>INV-01411</t>
  </si>
  <si>
    <t>INV-00502</t>
  </si>
  <si>
    <t>INV-00303</t>
  </si>
  <si>
    <t>INV-00725</t>
  </si>
  <si>
    <t>INV-01318</t>
  </si>
  <si>
    <t>INV-01200</t>
  </si>
  <si>
    <t>INV-01401</t>
  </si>
  <si>
    <t>INV-00040</t>
  </si>
  <si>
    <t>INV-00159</t>
  </si>
  <si>
    <t>INV-00787</t>
  </si>
  <si>
    <t>INV-01355</t>
  </si>
  <si>
    <t>INV-00032</t>
  </si>
  <si>
    <t>INV-01327</t>
  </si>
  <si>
    <t>INV-00746</t>
  </si>
  <si>
    <t>INV-00696</t>
  </si>
  <si>
    <t>INV-01191</t>
  </si>
  <si>
    <t>INV-00497</t>
  </si>
  <si>
    <t>INV-00774</t>
  </si>
  <si>
    <t>INV-00156</t>
  </si>
  <si>
    <t>INV-01027</t>
  </si>
  <si>
    <t>INV-00611</t>
  </si>
  <si>
    <t>INV-00974</t>
  </si>
  <si>
    <t>INV-00287</t>
  </si>
  <si>
    <t>INV-01203</t>
  </si>
  <si>
    <t>INV-00394</t>
  </si>
  <si>
    <t>INV-00981</t>
  </si>
  <si>
    <t>INV-01134</t>
  </si>
  <si>
    <t>INV-01181</t>
  </si>
  <si>
    <t>INV-00401</t>
  </si>
  <si>
    <t>INV-01085</t>
  </si>
  <si>
    <t>INV-00984</t>
  </si>
  <si>
    <t>INV-00699</t>
  </si>
  <si>
    <t>INV-01208</t>
  </si>
  <si>
    <t>INV-01131</t>
  </si>
  <si>
    <t>INV-00577</t>
  </si>
  <si>
    <t>INV-00417</t>
  </si>
  <si>
    <t>INV-00263</t>
  </si>
  <si>
    <t>INV-00848</t>
  </si>
  <si>
    <t>INV-00093</t>
  </si>
  <si>
    <t>INV-01078</t>
  </si>
  <si>
    <t>INV-00970</t>
  </si>
  <si>
    <t>INV-00702</t>
  </si>
  <si>
    <t>INV-00342</t>
  </si>
  <si>
    <t>INV-01345</t>
  </si>
  <si>
    <t>INV-00249</t>
  </si>
  <si>
    <t>INV-00850</t>
  </si>
  <si>
    <t>INV-00427</t>
  </si>
  <si>
    <t>INV-00996</t>
  </si>
  <si>
    <t>INV-00727</t>
  </si>
  <si>
    <t>INV-00264</t>
  </si>
  <si>
    <t>INV-01180</t>
  </si>
  <si>
    <t>INV-00470</t>
  </si>
  <si>
    <t>INV-01276</t>
  </si>
  <si>
    <t>INV-00782</t>
  </si>
  <si>
    <t>INV-00042</t>
  </si>
  <si>
    <t>INV-00731</t>
  </si>
  <si>
    <t>INV-00108</t>
  </si>
  <si>
    <t>INV-00992</t>
  </si>
  <si>
    <t>Sum of Product_Cost</t>
  </si>
  <si>
    <t>Sum of Net_Sales</t>
  </si>
  <si>
    <t>Sum of Net_Profit</t>
  </si>
  <si>
    <t>REVENUE VS. NP LINE CHART</t>
  </si>
  <si>
    <t>NET PROFIT MARGIN BY MONTH. LINE CHART</t>
  </si>
  <si>
    <t>H1</t>
  </si>
  <si>
    <t>H2</t>
  </si>
  <si>
    <t>Sum of Discount</t>
  </si>
  <si>
    <t>Sum of Transport_Cost</t>
  </si>
  <si>
    <t>Sum of Labour_Cost</t>
  </si>
  <si>
    <t>Sum of Marketing_Cost</t>
  </si>
  <si>
    <t>Sum of Other_Cost</t>
  </si>
  <si>
    <t>H1vs.H2 cluster column chart</t>
  </si>
  <si>
    <t>Sum of Gross_Sales</t>
  </si>
  <si>
    <t>H1vsH2 discout rate. Coulumn chart</t>
  </si>
  <si>
    <t>Average of Net_Margin</t>
  </si>
  <si>
    <t>Product profitability. Barchart</t>
  </si>
  <si>
    <t>Revenue vs. np. Scatter chart</t>
  </si>
  <si>
    <t>category performance. Cluster bar chart</t>
  </si>
  <si>
    <t>COST STRUCTURE. STACK COLUMN CHART</t>
  </si>
  <si>
    <t>CUSTOMER PERFORMANCE. HORIZ.. BARCHART</t>
  </si>
  <si>
    <t>Sum of Quantity</t>
  </si>
  <si>
    <t>QTY VS. PROFIT. COMBO CHART</t>
  </si>
  <si>
    <t>Values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</si>
</sst>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 #,##0.00_-;_-* &quot;-&quot;??_-;_-@_-"/>
    <numFmt numFmtId="164" formatCode="dd\-mmm\-yyyy"/>
    <numFmt numFmtId="165" formatCode="0.0%"/>
    <numFmt numFmtId="166" formatCode="_-* #,##0_-;\-* #,##0_-;_-* &quot;-&quot;??_-;_-@_-"/>
    <numFmt numFmtId="167" formatCode="\₦#,##0.0,,&quot;M&quot;"/>
  </numFmts>
  <fonts count="8" x14ac:knownFonts="1">
    <font>
      <sz val="11"/>
      <color theme="1"/>
      <name val="Calibri"/>
      <family val="2"/>
      <scheme val="minor"/>
    </font>
    <font>
      <b/>
      <sz val="11"/>
      <name val="Calibri"/>
      <family val="2"/>
    </font>
    <font>
      <sz val="11"/>
      <color theme="1"/>
      <name val="Calibri"/>
      <family val="2"/>
      <scheme val="minor"/>
    </font>
    <font>
      <sz val="10"/>
      <color theme="1"/>
      <name val="Calibri"/>
      <family val="2"/>
      <scheme val="minor"/>
    </font>
    <font>
      <sz val="8"/>
      <color theme="1"/>
      <name val="Calibri"/>
      <family val="2"/>
      <scheme val="minor"/>
    </font>
    <font>
      <sz val="16"/>
      <color theme="1"/>
      <name val="Calibri"/>
      <family val="2"/>
      <scheme val="minor"/>
    </font>
    <font>
      <i/>
      <sz val="14"/>
      <color rgb="FFFF0000"/>
      <name val="Calibri"/>
      <family val="2"/>
      <scheme val="minor"/>
    </font>
    <font>
      <i/>
      <sz val="14"/>
      <color theme="6" tint="-0.499984740745262"/>
      <name val="Calibri"/>
      <family val="2"/>
      <scheme val="minor"/>
    </font>
  </fonts>
  <fills count="5">
    <fill>
      <patternFill patternType="none"/>
    </fill>
    <fill>
      <patternFill patternType="gray125"/>
    </fill>
    <fill>
      <patternFill patternType="solid">
        <fgColor rgb="FFD9EAF7"/>
      </patternFill>
    </fill>
    <fill>
      <patternFill patternType="solid">
        <fgColor rgb="FFD9EAF7"/>
        <bgColor indexed="64"/>
      </patternFill>
    </fill>
    <fill>
      <patternFill patternType="solid">
        <fgColor theme="0"/>
        <bgColor indexed="64"/>
      </patternFill>
    </fill>
  </fills>
  <borders count="1">
    <border>
      <left/>
      <right/>
      <top/>
      <bottom/>
      <diagonal/>
    </border>
  </borders>
  <cellStyleXfs count="3">
    <xf numFmtId="0" fontId="0" fillId="0" borderId="0"/>
    <xf numFmtId="9" fontId="2" fillId="0" borderId="0" applyFont="0" applyFill="0" applyBorder="0" applyAlignment="0" applyProtection="0"/>
    <xf numFmtId="43" fontId="2" fillId="0" borderId="0" applyFont="0" applyFill="0" applyBorder="0" applyAlignment="0" applyProtection="0"/>
  </cellStyleXfs>
  <cellXfs count="19">
    <xf numFmtId="0" fontId="0" fillId="0" borderId="0" xfId="0"/>
    <xf numFmtId="0" fontId="1" fillId="2" borderId="0" xfId="0" applyFont="1" applyFill="1" applyAlignment="1">
      <alignment horizontal="center"/>
    </xf>
    <xf numFmtId="164" fontId="0" fillId="0" borderId="0" xfId="0" applyNumberFormat="1"/>
    <xf numFmtId="4" fontId="0" fillId="0" borderId="0" xfId="0" applyNumberFormat="1"/>
    <xf numFmtId="165" fontId="0" fillId="0" borderId="0" xfId="0" applyNumberFormat="1"/>
    <xf numFmtId="0" fontId="0" fillId="0" borderId="0" xfId="0" pivotButton="1"/>
    <xf numFmtId="0" fontId="1" fillId="3" borderId="0" xfId="0" applyFont="1" applyFill="1" applyAlignment="1">
      <alignment horizontal="center"/>
    </xf>
    <xf numFmtId="9" fontId="0" fillId="0" borderId="0" xfId="1" applyFont="1"/>
    <xf numFmtId="166" fontId="0" fillId="0" borderId="0" xfId="2" applyNumberFormat="1" applyFont="1"/>
    <xf numFmtId="167" fontId="0" fillId="0" borderId="0" xfId="2" applyNumberFormat="1" applyFont="1"/>
    <xf numFmtId="10" fontId="0" fillId="0" borderId="0" xfId="1" applyNumberFormat="1" applyFont="1"/>
    <xf numFmtId="0" fontId="0" fillId="4" borderId="0" xfId="0" applyFill="1"/>
    <xf numFmtId="0" fontId="5" fillId="4" borderId="0" xfId="0" applyFont="1" applyFill="1"/>
    <xf numFmtId="10" fontId="0" fillId="4" borderId="0" xfId="0" applyNumberFormat="1" applyFill="1"/>
    <xf numFmtId="0" fontId="4" fillId="0" borderId="0" xfId="0" applyFont="1" applyAlignment="1">
      <alignment horizontal="center"/>
    </xf>
    <xf numFmtId="0" fontId="3" fillId="0" borderId="0" xfId="0" applyFont="1" applyAlignment="1">
      <alignment horizontal="center"/>
    </xf>
    <xf numFmtId="0" fontId="0" fillId="0" borderId="0" xfId="0" applyAlignment="1">
      <alignment horizontal="center"/>
    </xf>
    <xf numFmtId="10" fontId="7" fillId="4" borderId="0" xfId="0" applyNumberFormat="1" applyFont="1" applyFill="1" applyAlignment="1">
      <alignment horizontal="center"/>
    </xf>
    <xf numFmtId="10" fontId="6" fillId="4" borderId="0" xfId="0" applyNumberFormat="1" applyFont="1" applyFill="1" applyAlignment="1">
      <alignment horizontal="center"/>
    </xf>
  </cellXfs>
  <cellStyles count="3">
    <cellStyle name="Comma" xfId="2" builtinId="3"/>
    <cellStyle name="Normal" xfId="0" builtinId="0"/>
    <cellStyle name="Percent" xfId="1" builtinId="5"/>
  </cellStyles>
  <dxfs count="28">
    <dxf>
      <font>
        <color theme="6" tint="-0.499984740745262"/>
      </font>
    </dxf>
    <dxf>
      <font>
        <color rgb="FFC00000"/>
      </font>
    </dxf>
    <dxf>
      <font>
        <color theme="6" tint="-0.499984740745262"/>
      </font>
    </dxf>
    <dxf>
      <font>
        <color rgb="FFC00000"/>
      </font>
    </dxf>
    <dxf>
      <font>
        <color theme="6" tint="-0.499984740745262"/>
      </font>
    </dxf>
    <dxf>
      <font>
        <color rgb="FFC00000"/>
      </font>
    </dxf>
    <dxf>
      <font>
        <color theme="6" tint="-0.499984740745262"/>
      </font>
    </dxf>
    <dxf>
      <font>
        <color rgb="FFC00000"/>
      </font>
    </dxf>
    <dxf>
      <font>
        <color theme="6" tint="-0.499984740745262"/>
      </font>
    </dxf>
    <dxf>
      <font>
        <color rgb="FFC00000"/>
      </font>
    </dxf>
    <dxf>
      <font>
        <color theme="6" tint="-0.499984740745262"/>
      </font>
    </dxf>
    <dxf>
      <font>
        <color rgb="FFC00000"/>
      </font>
    </dxf>
    <dxf>
      <numFmt numFmtId="165" formatCode="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164" formatCode="dd\-mmm\-yyyy"/>
    </dxf>
    <dxf>
      <font>
        <b/>
        <i val="0"/>
        <strike val="0"/>
        <condense val="0"/>
        <extend val="0"/>
        <outline val="0"/>
        <shadow val="0"/>
        <u val="none"/>
        <vertAlign val="baseline"/>
        <sz val="11"/>
        <color auto="1"/>
        <name val="Calibri"/>
        <scheme val="none"/>
      </font>
      <fill>
        <patternFill patternType="solid">
          <fgColor indexed="64"/>
          <bgColor rgb="FFD9EAF7"/>
        </patternFill>
      </fill>
      <alignment horizontal="center" vertical="bottom" textRotation="0" wrapText="0" indent="0" justifyLastLine="0" shrinkToFit="0" readingOrder="0"/>
    </dxf>
    <dxf>
      <fill>
        <patternFill patternType="solid">
          <fgColor auto="1"/>
          <bgColor theme="3" tint="0.39994506668294322"/>
        </patternFill>
      </fill>
    </dxf>
  </dxfs>
  <tableStyles count="1" defaultTableStyle="TableStyleMedium9" defaultPivotStyle="PivotStyleLight16">
    <tableStyle name="Slicer Style 1" pivot="0" table="0" count="2" xr9:uid="{782EDDA3-EC57-4329-B72E-311662B78428}">
      <tableStyleElement type="wholeTable" dxfId="27"/>
    </tableStyle>
  </tableStyles>
  <extLst>
    <ext xmlns:x14="http://schemas.microsoft.com/office/spreadsheetml/2009/9/main" uri="{46F421CA-312F-682f-3DD2-61675219B42D}">
      <x14:dxfs count="1">
        <dxf>
          <fill>
            <gradientFill degree="90">
              <stop position="0">
                <color theme="0"/>
              </stop>
              <stop position="1">
                <color theme="4"/>
              </stop>
            </gradient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[BizNalytiq_Revenue_Down_Profit_Up_Case_Study_2025.xlsx]ANALYSIS!PivotTable1</c:name>
    <c:fmtId val="13"/>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cmpd="sng">
            <a:solidFill>
              <a:schemeClr val="accent3">
                <a:lumMod val="50000"/>
              </a:schemeClr>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cmpd="sng">
            <a:solidFill>
              <a:schemeClr val="accent3">
                <a:lumMod val="50000"/>
              </a:schemeClr>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ANALYSIS!$B$3</c:f>
              <c:strCache>
                <c:ptCount val="1"/>
                <c:pt idx="0">
                  <c:v>Sum of Net_Sales</c:v>
                </c:pt>
              </c:strCache>
            </c:strRef>
          </c:tx>
          <c:spPr>
            <a:ln w="28575" cap="rnd">
              <a:solidFill>
                <a:schemeClr val="accent1"/>
              </a:solidFill>
              <a:round/>
            </a:ln>
            <a:effectLst/>
          </c:spPr>
          <c:marker>
            <c:symbol val="none"/>
          </c:marker>
          <c:cat>
            <c:strRef>
              <c:f>ANALYSIS!$A$4:$A$15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ANALYSIS!$B$4:$B$15</c:f>
              <c:numCache>
                <c:formatCode>#,##0.00</c:formatCode>
                <c:ptCount val="12"/>
                <c:pt idx="0">
                  <c:v>25431898.420000002</c:v>
                </c:pt>
                <c:pt idx="1">
                  <c:v>24707422.989999995</c:v>
                </c:pt>
                <c:pt idx="2">
                  <c:v>19676764.830000006</c:v>
                </c:pt>
                <c:pt idx="3">
                  <c:v>20153440.200000003</c:v>
                </c:pt>
                <c:pt idx="4">
                  <c:v>25565773.620000008</c:v>
                </c:pt>
                <c:pt idx="5">
                  <c:v>21861504.280000001</c:v>
                </c:pt>
                <c:pt idx="6">
                  <c:v>23487079.939682666</c:v>
                </c:pt>
                <c:pt idx="7">
                  <c:v>22763654.611534376</c:v>
                </c:pt>
                <c:pt idx="8">
                  <c:v>19424660.515472669</c:v>
                </c:pt>
                <c:pt idx="9">
                  <c:v>24553827.100469626</c:v>
                </c:pt>
                <c:pt idx="10">
                  <c:v>29547642.574832126</c:v>
                </c:pt>
                <c:pt idx="11">
                  <c:v>22859829.177109815</c:v>
                </c:pt>
              </c:numCache>
            </c:numRef>
          </c:val>
          <c:smooth val="0"/>
          <c:extLst>
            <c:ext xmlns:c16="http://schemas.microsoft.com/office/drawing/2014/chart" uri="{C3380CC4-5D6E-409C-BE32-E72D297353CC}">
              <c16:uniqueId val="{00000000-F0C5-49BD-96F4-928C9F5B8BE2}"/>
            </c:ext>
          </c:extLst>
        </c:ser>
        <c:dLbls>
          <c:showLegendKey val="0"/>
          <c:showVal val="0"/>
          <c:showCatName val="0"/>
          <c:showSerName val="0"/>
          <c:showPercent val="0"/>
          <c:showBubbleSize val="0"/>
        </c:dLbls>
        <c:marker val="1"/>
        <c:smooth val="0"/>
        <c:axId val="557256592"/>
        <c:axId val="557257672"/>
      </c:lineChart>
      <c:lineChart>
        <c:grouping val="standard"/>
        <c:varyColors val="0"/>
        <c:ser>
          <c:idx val="1"/>
          <c:order val="1"/>
          <c:tx>
            <c:strRef>
              <c:f>ANALYSIS!$C$3</c:f>
              <c:strCache>
                <c:ptCount val="1"/>
                <c:pt idx="0">
                  <c:v>Sum of Net_Profit</c:v>
                </c:pt>
              </c:strCache>
            </c:strRef>
          </c:tx>
          <c:spPr>
            <a:ln w="28575" cap="rnd" cmpd="sng">
              <a:solidFill>
                <a:schemeClr val="accent3">
                  <a:lumMod val="50000"/>
                </a:schemeClr>
              </a:solidFill>
              <a:prstDash val="solid"/>
              <a:round/>
            </a:ln>
            <a:effectLst/>
          </c:spPr>
          <c:marker>
            <c:symbol val="none"/>
          </c:marker>
          <c:cat>
            <c:strRef>
              <c:f>ANALYSIS!$A$4:$A$15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ANALYSIS!$C$4:$C$15</c:f>
              <c:numCache>
                <c:formatCode>#,##0.00</c:formatCode>
                <c:ptCount val="12"/>
                <c:pt idx="0">
                  <c:v>3598023.4299999997</c:v>
                </c:pt>
                <c:pt idx="1">
                  <c:v>3422624.3</c:v>
                </c:pt>
                <c:pt idx="2">
                  <c:v>3081017.0900000008</c:v>
                </c:pt>
                <c:pt idx="3">
                  <c:v>2790927.6599999992</c:v>
                </c:pt>
                <c:pt idx="4">
                  <c:v>3808923.3699999982</c:v>
                </c:pt>
                <c:pt idx="5">
                  <c:v>3305846.1300000008</c:v>
                </c:pt>
                <c:pt idx="6">
                  <c:v>7035193.4896826642</c:v>
                </c:pt>
                <c:pt idx="7">
                  <c:v>6938560.3715343745</c:v>
                </c:pt>
                <c:pt idx="8">
                  <c:v>5547978.4754726812</c:v>
                </c:pt>
                <c:pt idx="9">
                  <c:v>7047912.1104696291</c:v>
                </c:pt>
                <c:pt idx="10">
                  <c:v>8748386.3148321435</c:v>
                </c:pt>
                <c:pt idx="11">
                  <c:v>7078602.6871098066</c:v>
                </c:pt>
              </c:numCache>
            </c:numRef>
          </c:val>
          <c:smooth val="0"/>
          <c:extLst>
            <c:ext xmlns:c16="http://schemas.microsoft.com/office/drawing/2014/chart" uri="{C3380CC4-5D6E-409C-BE32-E72D297353CC}">
              <c16:uniqueId val="{00000001-F0C5-49BD-96F4-928C9F5B8BE2}"/>
            </c:ext>
          </c:extLst>
        </c:ser>
        <c:dLbls>
          <c:showLegendKey val="0"/>
          <c:showVal val="0"/>
          <c:showCatName val="0"/>
          <c:showSerName val="0"/>
          <c:showPercent val="0"/>
          <c:showBubbleSize val="0"/>
        </c:dLbls>
        <c:marker val="1"/>
        <c:smooth val="0"/>
        <c:axId val="504810968"/>
        <c:axId val="120003984"/>
      </c:lineChart>
      <c:catAx>
        <c:axId val="557256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257672"/>
        <c:crosses val="autoZero"/>
        <c:auto val="1"/>
        <c:lblAlgn val="ctr"/>
        <c:lblOffset val="100"/>
        <c:noMultiLvlLbl val="0"/>
      </c:catAx>
      <c:valAx>
        <c:axId val="557257672"/>
        <c:scaling>
          <c:orientation val="minMax"/>
          <c:max val="30000000"/>
        </c:scaling>
        <c:delete val="0"/>
        <c:axPos val="l"/>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lumMod val="50000"/>
                  </a:schemeClr>
                </a:solidFill>
                <a:latin typeface="+mn-lt"/>
                <a:ea typeface="+mn-ea"/>
                <a:cs typeface="+mn-cs"/>
              </a:defRPr>
            </a:pPr>
            <a:endParaRPr lang="en-US"/>
          </a:p>
        </c:txPr>
        <c:crossAx val="557256592"/>
        <c:crosses val="autoZero"/>
        <c:crossBetween val="between"/>
        <c:majorUnit val="3000000"/>
      </c:valAx>
      <c:valAx>
        <c:axId val="120003984"/>
        <c:scaling>
          <c:orientation val="minMax"/>
          <c:max val="10000000"/>
          <c:min val="1000000"/>
        </c:scaling>
        <c:delete val="0"/>
        <c:axPos val="r"/>
        <c:numFmt formatCode="#,##0,,&quot;M&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3">
                    <a:lumMod val="50000"/>
                  </a:schemeClr>
                </a:solidFill>
                <a:latin typeface="+mn-lt"/>
                <a:ea typeface="+mn-ea"/>
                <a:cs typeface="+mn-cs"/>
              </a:defRPr>
            </a:pPr>
            <a:endParaRPr lang="en-US"/>
          </a:p>
        </c:txPr>
        <c:crossAx val="504810968"/>
        <c:crosses val="max"/>
        <c:crossBetween val="between"/>
        <c:minorUnit val="100000"/>
      </c:valAx>
      <c:catAx>
        <c:axId val="504810968"/>
        <c:scaling>
          <c:orientation val="minMax"/>
        </c:scaling>
        <c:delete val="1"/>
        <c:axPos val="b"/>
        <c:numFmt formatCode="General" sourceLinked="1"/>
        <c:majorTickMark val="out"/>
        <c:minorTickMark val="none"/>
        <c:tickLblPos val="nextTo"/>
        <c:crossAx val="120003984"/>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[BizNalytiq_Revenue_Down_Profit_Up_Case_Study_2025.xlsx]ANALYSIS!PivotTable2</c:name>
    <c:fmtId val="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ANALYSIS!$G$3</c:f>
              <c:strCache>
                <c:ptCount val="1"/>
                <c:pt idx="0">
                  <c:v>Total</c:v>
                </c:pt>
              </c:strCache>
            </c:strRef>
          </c:tx>
          <c:spPr>
            <a:ln w="28575" cap="rnd">
              <a:solidFill>
                <a:schemeClr val="accent1"/>
              </a:solidFill>
              <a:round/>
            </a:ln>
            <a:effectLst/>
          </c:spPr>
          <c:marker>
            <c:symbol val="none"/>
          </c:marker>
          <c:cat>
            <c:strRef>
              <c:f>ANALYSIS!$F$4:$F$15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ANALYSIS!$G$4:$G$15</c:f>
              <c:numCache>
                <c:formatCode>0.0%</c:formatCode>
                <c:ptCount val="12"/>
                <c:pt idx="0">
                  <c:v>0.14552576375871201</c:v>
                </c:pt>
                <c:pt idx="1">
                  <c:v>0.13773331855154319</c:v>
                </c:pt>
                <c:pt idx="2">
                  <c:v>0.14769444208694066</c:v>
                </c:pt>
                <c:pt idx="3">
                  <c:v>0.14302241716980088</c:v>
                </c:pt>
                <c:pt idx="4">
                  <c:v>0.15178751703086191</c:v>
                </c:pt>
                <c:pt idx="5">
                  <c:v>0.13999303701160212</c:v>
                </c:pt>
                <c:pt idx="6">
                  <c:v>0.30200066301766482</c:v>
                </c:pt>
                <c:pt idx="7">
                  <c:v>0.29903566282947941</c:v>
                </c:pt>
                <c:pt idx="8">
                  <c:v>0.28719610131295475</c:v>
                </c:pt>
                <c:pt idx="9">
                  <c:v>0.30042927027491428</c:v>
                </c:pt>
                <c:pt idx="10">
                  <c:v>0.30408975625892631</c:v>
                </c:pt>
                <c:pt idx="11">
                  <c:v>0.30697346956435662</c:v>
                </c:pt>
              </c:numCache>
            </c:numRef>
          </c:val>
          <c:smooth val="0"/>
          <c:extLst>
            <c:ext xmlns:c16="http://schemas.microsoft.com/office/drawing/2014/chart" uri="{C3380CC4-5D6E-409C-BE32-E72D297353CC}">
              <c16:uniqueId val="{00000000-20EE-4794-A794-8D9FFF93504B}"/>
            </c:ext>
          </c:extLst>
        </c:ser>
        <c:dLbls>
          <c:showLegendKey val="0"/>
          <c:showVal val="0"/>
          <c:showCatName val="0"/>
          <c:showSerName val="0"/>
          <c:showPercent val="0"/>
          <c:showBubbleSize val="0"/>
        </c:dLbls>
        <c:smooth val="0"/>
        <c:axId val="609586984"/>
        <c:axId val="609587344"/>
      </c:lineChart>
      <c:catAx>
        <c:axId val="6095869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9587344"/>
        <c:crosses val="autoZero"/>
        <c:auto val="1"/>
        <c:lblAlgn val="ctr"/>
        <c:lblOffset val="100"/>
        <c:noMultiLvlLbl val="0"/>
      </c:catAx>
      <c:valAx>
        <c:axId val="609587344"/>
        <c:scaling>
          <c:orientation val="minMax"/>
        </c:scaling>
        <c:delete val="0"/>
        <c:axPos val="l"/>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9586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[BizNalytiq_Revenue_Down_Profit_Up_Case_Study_2025.xlsx]ANALYSIS!PivotTable8</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3">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3">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ANALYSIS!$G$41</c:f>
              <c:strCache>
                <c:ptCount val="1"/>
                <c:pt idx="0">
                  <c:v>Sum of Quantity</c:v>
                </c:pt>
              </c:strCache>
            </c:strRef>
          </c:tx>
          <c:spPr>
            <a:solidFill>
              <a:schemeClr val="accent1"/>
            </a:solidFill>
            <a:ln>
              <a:noFill/>
            </a:ln>
            <a:effectLst/>
          </c:spPr>
          <c:invertIfNegative val="0"/>
          <c:cat>
            <c:strRef>
              <c:f>ANALYSIS!$F$42:$F$53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ANALYSIS!$G$42:$G$53</c:f>
              <c:numCache>
                <c:formatCode>General</c:formatCode>
                <c:ptCount val="12"/>
                <c:pt idx="0">
                  <c:v>10487</c:v>
                </c:pt>
                <c:pt idx="1">
                  <c:v>9181</c:v>
                </c:pt>
                <c:pt idx="2">
                  <c:v>8195</c:v>
                </c:pt>
                <c:pt idx="3">
                  <c:v>8159</c:v>
                </c:pt>
                <c:pt idx="4">
                  <c:v>9809</c:v>
                </c:pt>
                <c:pt idx="5">
                  <c:v>8980</c:v>
                </c:pt>
                <c:pt idx="6">
                  <c:v>7879.5259936061339</c:v>
                </c:pt>
                <c:pt idx="7">
                  <c:v>6585.635234469044</c:v>
                </c:pt>
                <c:pt idx="8">
                  <c:v>6643.5887817303055</c:v>
                </c:pt>
                <c:pt idx="9">
                  <c:v>7757.6977450795712</c:v>
                </c:pt>
                <c:pt idx="10">
                  <c:v>7714.2480843350822</c:v>
                </c:pt>
                <c:pt idx="11">
                  <c:v>6617.7059491162863</c:v>
                </c:pt>
              </c:numCache>
            </c:numRef>
          </c:val>
          <c:extLst>
            <c:ext xmlns:c16="http://schemas.microsoft.com/office/drawing/2014/chart" uri="{C3380CC4-5D6E-409C-BE32-E72D297353CC}">
              <c16:uniqueId val="{00000000-2DD1-4A72-AA8E-0D87A740E5FB}"/>
            </c:ext>
          </c:extLst>
        </c:ser>
        <c:dLbls>
          <c:showLegendKey val="0"/>
          <c:showVal val="0"/>
          <c:showCatName val="0"/>
          <c:showSerName val="0"/>
          <c:showPercent val="0"/>
          <c:showBubbleSize val="0"/>
        </c:dLbls>
        <c:gapWidth val="219"/>
        <c:axId val="417492688"/>
        <c:axId val="609594184"/>
      </c:barChart>
      <c:lineChart>
        <c:grouping val="standard"/>
        <c:varyColors val="0"/>
        <c:ser>
          <c:idx val="1"/>
          <c:order val="1"/>
          <c:tx>
            <c:strRef>
              <c:f>ANALYSIS!$H$41</c:f>
              <c:strCache>
                <c:ptCount val="1"/>
                <c:pt idx="0">
                  <c:v>Sum of Net_Profit</c:v>
                </c:pt>
              </c:strCache>
            </c:strRef>
          </c:tx>
          <c:spPr>
            <a:ln w="28575" cap="rnd">
              <a:solidFill>
                <a:schemeClr val="accent3">
                  <a:lumMod val="50000"/>
                </a:schemeClr>
              </a:solidFill>
              <a:round/>
            </a:ln>
            <a:effectLst/>
          </c:spPr>
          <c:marker>
            <c:symbol val="none"/>
          </c:marker>
          <c:cat>
            <c:strRef>
              <c:f>ANALYSIS!$F$42:$F$53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ANALYSIS!$H$42:$H$53</c:f>
              <c:numCache>
                <c:formatCode>#,##0.00</c:formatCode>
                <c:ptCount val="12"/>
                <c:pt idx="0">
                  <c:v>3598023.4299999997</c:v>
                </c:pt>
                <c:pt idx="1">
                  <c:v>3422624.3</c:v>
                </c:pt>
                <c:pt idx="2">
                  <c:v>3081017.0900000008</c:v>
                </c:pt>
                <c:pt idx="3">
                  <c:v>2790927.6599999992</c:v>
                </c:pt>
                <c:pt idx="4">
                  <c:v>3808923.3699999982</c:v>
                </c:pt>
                <c:pt idx="5">
                  <c:v>3305846.1300000008</c:v>
                </c:pt>
                <c:pt idx="6">
                  <c:v>7035193.4896826642</c:v>
                </c:pt>
                <c:pt idx="7">
                  <c:v>6938560.3715343745</c:v>
                </c:pt>
                <c:pt idx="8">
                  <c:v>5547978.4754726812</c:v>
                </c:pt>
                <c:pt idx="9">
                  <c:v>7047912.1104696291</c:v>
                </c:pt>
                <c:pt idx="10">
                  <c:v>8748386.3148321435</c:v>
                </c:pt>
                <c:pt idx="11">
                  <c:v>7078602.6871098066</c:v>
                </c:pt>
              </c:numCache>
            </c:numRef>
          </c:val>
          <c:smooth val="0"/>
          <c:extLst>
            <c:ext xmlns:c16="http://schemas.microsoft.com/office/drawing/2014/chart" uri="{C3380CC4-5D6E-409C-BE32-E72D297353CC}">
              <c16:uniqueId val="{00000001-2DD1-4A72-AA8E-0D87A740E5FB}"/>
            </c:ext>
          </c:extLst>
        </c:ser>
        <c:dLbls>
          <c:showLegendKey val="0"/>
          <c:showVal val="0"/>
          <c:showCatName val="0"/>
          <c:showSerName val="0"/>
          <c:showPercent val="0"/>
          <c:showBubbleSize val="0"/>
        </c:dLbls>
        <c:marker val="1"/>
        <c:smooth val="0"/>
        <c:axId val="122507992"/>
        <c:axId val="122507632"/>
      </c:lineChart>
      <c:catAx>
        <c:axId val="417492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9594184"/>
        <c:crosses val="autoZero"/>
        <c:auto val="1"/>
        <c:lblAlgn val="ctr"/>
        <c:lblOffset val="100"/>
        <c:noMultiLvlLbl val="0"/>
      </c:catAx>
      <c:valAx>
        <c:axId val="609594184"/>
        <c:scaling>
          <c:orientation val="minMax"/>
        </c:scaling>
        <c:delete val="0"/>
        <c:axPos val="l"/>
        <c:numFmt formatCode="#,##0_);\(#,##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lumMod val="50000"/>
                  </a:schemeClr>
                </a:solidFill>
                <a:latin typeface="+mn-lt"/>
                <a:ea typeface="+mn-ea"/>
                <a:cs typeface="+mn-cs"/>
              </a:defRPr>
            </a:pPr>
            <a:endParaRPr lang="en-US"/>
          </a:p>
        </c:txPr>
        <c:crossAx val="417492688"/>
        <c:crosses val="autoZero"/>
        <c:crossBetween val="between"/>
      </c:valAx>
      <c:valAx>
        <c:axId val="122507632"/>
        <c:scaling>
          <c:orientation val="minMax"/>
        </c:scaling>
        <c:delete val="0"/>
        <c:axPos val="r"/>
        <c:numFmt formatCode="#,##0,,&quot;M&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3">
                    <a:lumMod val="50000"/>
                  </a:schemeClr>
                </a:solidFill>
                <a:latin typeface="+mn-lt"/>
                <a:ea typeface="+mn-ea"/>
                <a:cs typeface="+mn-cs"/>
              </a:defRPr>
            </a:pPr>
            <a:endParaRPr lang="en-US"/>
          </a:p>
        </c:txPr>
        <c:crossAx val="122507992"/>
        <c:crosses val="max"/>
        <c:crossBetween val="between"/>
      </c:valAx>
      <c:catAx>
        <c:axId val="122507992"/>
        <c:scaling>
          <c:orientation val="minMax"/>
        </c:scaling>
        <c:delete val="1"/>
        <c:axPos val="b"/>
        <c:numFmt formatCode="General" sourceLinked="1"/>
        <c:majorTickMark val="out"/>
        <c:minorTickMark val="none"/>
        <c:tickLblPos val="nextTo"/>
        <c:crossAx val="122507632"/>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[BizNalytiq_Revenue_Down_Profit_Up_Case_Study_2025.xlsx]ANALYSIS!PivotTable3</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4777627815420721E-2"/>
          <c:y val="3.5910230079954454E-2"/>
          <c:w val="0.91061668906166349"/>
          <c:h val="0.86354803755148157"/>
        </c:manualLayout>
      </c:layout>
      <c:barChart>
        <c:barDir val="col"/>
        <c:grouping val="clustered"/>
        <c:varyColors val="0"/>
        <c:ser>
          <c:idx val="0"/>
          <c:order val="0"/>
          <c:tx>
            <c:strRef>
              <c:f>ANALYSIS!$G$19</c:f>
              <c:strCache>
                <c:ptCount val="1"/>
                <c:pt idx="0">
                  <c:v>Sum of Net_Sales</c:v>
                </c:pt>
              </c:strCache>
            </c:strRef>
          </c:tx>
          <c:spPr>
            <a:solidFill>
              <a:schemeClr val="accent1"/>
            </a:solidFill>
            <a:ln>
              <a:noFill/>
            </a:ln>
            <a:effectLst/>
          </c:spPr>
          <c:invertIfNegative val="0"/>
          <c:cat>
            <c:strRef>
              <c:f>ANALYSIS!$F$20:$F$21</c:f>
              <c:strCache>
                <c:ptCount val="2"/>
                <c:pt idx="0">
                  <c:v>H1</c:v>
                </c:pt>
                <c:pt idx="1">
                  <c:v>H2</c:v>
                </c:pt>
              </c:strCache>
            </c:strRef>
          </c:cat>
          <c:val>
            <c:numRef>
              <c:f>ANALYSIS!$G$20:$G$21</c:f>
              <c:numCache>
                <c:formatCode>#,##0.00</c:formatCode>
                <c:ptCount val="2"/>
                <c:pt idx="0">
                  <c:v>137396804.33999985</c:v>
                </c:pt>
                <c:pt idx="1">
                  <c:v>142636693.91910157</c:v>
                </c:pt>
              </c:numCache>
            </c:numRef>
          </c:val>
          <c:extLst>
            <c:ext xmlns:c16="http://schemas.microsoft.com/office/drawing/2014/chart" uri="{C3380CC4-5D6E-409C-BE32-E72D297353CC}">
              <c16:uniqueId val="{00000000-8F32-4F7A-9D4A-C884415FBB80}"/>
            </c:ext>
          </c:extLst>
        </c:ser>
        <c:ser>
          <c:idx val="1"/>
          <c:order val="1"/>
          <c:tx>
            <c:strRef>
              <c:f>ANALYSIS!$H$19</c:f>
              <c:strCache>
                <c:ptCount val="1"/>
                <c:pt idx="0">
                  <c:v>Sum of Net_Profit</c:v>
                </c:pt>
              </c:strCache>
            </c:strRef>
          </c:tx>
          <c:spPr>
            <a:solidFill>
              <a:srgbClr val="00B050"/>
            </a:solidFill>
            <a:ln>
              <a:noFill/>
            </a:ln>
            <a:effectLst/>
          </c:spPr>
          <c:invertIfNegative val="0"/>
          <c:cat>
            <c:strRef>
              <c:f>ANALYSIS!$F$20:$F$21</c:f>
              <c:strCache>
                <c:ptCount val="2"/>
                <c:pt idx="0">
                  <c:v>H1</c:v>
                </c:pt>
                <c:pt idx="1">
                  <c:v>H2</c:v>
                </c:pt>
              </c:strCache>
            </c:strRef>
          </c:cat>
          <c:val>
            <c:numRef>
              <c:f>ANALYSIS!$H$20:$H$21</c:f>
              <c:numCache>
                <c:formatCode>#,##0.00</c:formatCode>
                <c:ptCount val="2"/>
                <c:pt idx="0">
                  <c:v>20007361.979999997</c:v>
                </c:pt>
                <c:pt idx="1">
                  <c:v>42396633.449101239</c:v>
                </c:pt>
              </c:numCache>
            </c:numRef>
          </c:val>
          <c:extLst>
            <c:ext xmlns:c16="http://schemas.microsoft.com/office/drawing/2014/chart" uri="{C3380CC4-5D6E-409C-BE32-E72D297353CC}">
              <c16:uniqueId val="{00000001-8F32-4F7A-9D4A-C884415FBB80}"/>
            </c:ext>
          </c:extLst>
        </c:ser>
        <c:ser>
          <c:idx val="2"/>
          <c:order val="2"/>
          <c:tx>
            <c:strRef>
              <c:f>ANALYSIS!$I$19</c:f>
              <c:strCache>
                <c:ptCount val="1"/>
                <c:pt idx="0">
                  <c:v>Sum of Discount</c:v>
                </c:pt>
              </c:strCache>
            </c:strRef>
          </c:tx>
          <c:spPr>
            <a:solidFill>
              <a:schemeClr val="accent3"/>
            </a:solidFill>
            <a:ln>
              <a:noFill/>
            </a:ln>
            <a:effectLst/>
          </c:spPr>
          <c:invertIfNegative val="0"/>
          <c:cat>
            <c:strRef>
              <c:f>ANALYSIS!$F$20:$F$21</c:f>
              <c:strCache>
                <c:ptCount val="2"/>
                <c:pt idx="0">
                  <c:v>H1</c:v>
                </c:pt>
                <c:pt idx="1">
                  <c:v>H2</c:v>
                </c:pt>
              </c:strCache>
            </c:strRef>
          </c:cat>
          <c:val>
            <c:numRef>
              <c:f>ANALYSIS!$I$20:$I$21</c:f>
              <c:numCache>
                <c:formatCode>#,##0.00</c:formatCode>
                <c:ptCount val="2"/>
                <c:pt idx="0">
                  <c:v>11493793.919999998</c:v>
                </c:pt>
                <c:pt idx="1">
                  <c:v>5942774.4399999958</c:v>
                </c:pt>
              </c:numCache>
            </c:numRef>
          </c:val>
          <c:extLst>
            <c:ext xmlns:c16="http://schemas.microsoft.com/office/drawing/2014/chart" uri="{C3380CC4-5D6E-409C-BE32-E72D297353CC}">
              <c16:uniqueId val="{00000002-8F32-4F7A-9D4A-C884415FBB80}"/>
            </c:ext>
          </c:extLst>
        </c:ser>
        <c:ser>
          <c:idx val="3"/>
          <c:order val="3"/>
          <c:tx>
            <c:strRef>
              <c:f>ANALYSIS!$J$19</c:f>
              <c:strCache>
                <c:ptCount val="1"/>
                <c:pt idx="0">
                  <c:v>Sum of Product_Cost</c:v>
                </c:pt>
              </c:strCache>
            </c:strRef>
          </c:tx>
          <c:spPr>
            <a:solidFill>
              <a:schemeClr val="accent4"/>
            </a:solidFill>
            <a:ln>
              <a:noFill/>
            </a:ln>
            <a:effectLst/>
          </c:spPr>
          <c:invertIfNegative val="0"/>
          <c:cat>
            <c:strRef>
              <c:f>ANALYSIS!$F$20:$F$21</c:f>
              <c:strCache>
                <c:ptCount val="2"/>
                <c:pt idx="0">
                  <c:v>H1</c:v>
                </c:pt>
                <c:pt idx="1">
                  <c:v>H2</c:v>
                </c:pt>
              </c:strCache>
            </c:strRef>
          </c:cat>
          <c:val>
            <c:numRef>
              <c:f>ANALYSIS!$J$20:$J$21</c:f>
              <c:numCache>
                <c:formatCode>#,##0.00</c:formatCode>
                <c:ptCount val="2"/>
                <c:pt idx="0">
                  <c:v>94486122.759999976</c:v>
                </c:pt>
                <c:pt idx="1">
                  <c:v>83343997.749999985</c:v>
                </c:pt>
              </c:numCache>
            </c:numRef>
          </c:val>
          <c:extLst>
            <c:ext xmlns:c16="http://schemas.microsoft.com/office/drawing/2014/chart" uri="{C3380CC4-5D6E-409C-BE32-E72D297353CC}">
              <c16:uniqueId val="{00000003-8F32-4F7A-9D4A-C884415FBB80}"/>
            </c:ext>
          </c:extLst>
        </c:ser>
        <c:ser>
          <c:idx val="4"/>
          <c:order val="4"/>
          <c:tx>
            <c:strRef>
              <c:f>ANALYSIS!$K$19</c:f>
              <c:strCache>
                <c:ptCount val="1"/>
                <c:pt idx="0">
                  <c:v>Sum of Transport_Cost</c:v>
                </c:pt>
              </c:strCache>
            </c:strRef>
          </c:tx>
          <c:spPr>
            <a:solidFill>
              <a:schemeClr val="accent5"/>
            </a:solidFill>
            <a:ln>
              <a:noFill/>
            </a:ln>
            <a:effectLst/>
          </c:spPr>
          <c:invertIfNegative val="0"/>
          <c:cat>
            <c:strRef>
              <c:f>ANALYSIS!$F$20:$F$21</c:f>
              <c:strCache>
                <c:ptCount val="2"/>
                <c:pt idx="0">
                  <c:v>H1</c:v>
                </c:pt>
                <c:pt idx="1">
                  <c:v>H2</c:v>
                </c:pt>
              </c:strCache>
            </c:strRef>
          </c:cat>
          <c:val>
            <c:numRef>
              <c:f>ANALYSIS!$K$20:$K$21</c:f>
              <c:numCache>
                <c:formatCode>#,##0.00</c:formatCode>
                <c:ptCount val="2"/>
                <c:pt idx="0">
                  <c:v>4263524.7100000037</c:v>
                </c:pt>
                <c:pt idx="1">
                  <c:v>3038280.4200000009</c:v>
                </c:pt>
              </c:numCache>
            </c:numRef>
          </c:val>
          <c:extLst>
            <c:ext xmlns:c16="http://schemas.microsoft.com/office/drawing/2014/chart" uri="{C3380CC4-5D6E-409C-BE32-E72D297353CC}">
              <c16:uniqueId val="{00000004-8F32-4F7A-9D4A-C884415FBB80}"/>
            </c:ext>
          </c:extLst>
        </c:ser>
        <c:ser>
          <c:idx val="5"/>
          <c:order val="5"/>
          <c:tx>
            <c:strRef>
              <c:f>ANALYSIS!$L$19</c:f>
              <c:strCache>
                <c:ptCount val="1"/>
                <c:pt idx="0">
                  <c:v>Sum of Labour_Cost</c:v>
                </c:pt>
              </c:strCache>
            </c:strRef>
          </c:tx>
          <c:spPr>
            <a:solidFill>
              <a:schemeClr val="accent6"/>
            </a:solidFill>
            <a:ln>
              <a:noFill/>
            </a:ln>
            <a:effectLst/>
          </c:spPr>
          <c:invertIfNegative val="0"/>
          <c:cat>
            <c:strRef>
              <c:f>ANALYSIS!$F$20:$F$21</c:f>
              <c:strCache>
                <c:ptCount val="2"/>
                <c:pt idx="0">
                  <c:v>H1</c:v>
                </c:pt>
                <c:pt idx="1">
                  <c:v>H2</c:v>
                </c:pt>
              </c:strCache>
            </c:strRef>
          </c:cat>
          <c:val>
            <c:numRef>
              <c:f>ANALYSIS!$L$20:$L$21</c:f>
              <c:numCache>
                <c:formatCode>#,##0.00</c:formatCode>
                <c:ptCount val="2"/>
                <c:pt idx="0">
                  <c:v>8897905.7999999933</c:v>
                </c:pt>
                <c:pt idx="1">
                  <c:v>7846691.6399999987</c:v>
                </c:pt>
              </c:numCache>
            </c:numRef>
          </c:val>
          <c:extLst>
            <c:ext xmlns:c16="http://schemas.microsoft.com/office/drawing/2014/chart" uri="{C3380CC4-5D6E-409C-BE32-E72D297353CC}">
              <c16:uniqueId val="{00000005-8F32-4F7A-9D4A-C884415FBB80}"/>
            </c:ext>
          </c:extLst>
        </c:ser>
        <c:ser>
          <c:idx val="6"/>
          <c:order val="6"/>
          <c:tx>
            <c:strRef>
              <c:f>ANALYSIS!$M$19</c:f>
              <c:strCache>
                <c:ptCount val="1"/>
                <c:pt idx="0">
                  <c:v>Sum of Marketing_Cost</c:v>
                </c:pt>
              </c:strCache>
            </c:strRef>
          </c:tx>
          <c:spPr>
            <a:solidFill>
              <a:schemeClr val="accent1">
                <a:lumMod val="60000"/>
              </a:schemeClr>
            </a:solidFill>
            <a:ln>
              <a:noFill/>
            </a:ln>
            <a:effectLst/>
          </c:spPr>
          <c:invertIfNegative val="0"/>
          <c:cat>
            <c:strRef>
              <c:f>ANALYSIS!$F$20:$F$21</c:f>
              <c:strCache>
                <c:ptCount val="2"/>
                <c:pt idx="0">
                  <c:v>H1</c:v>
                </c:pt>
                <c:pt idx="1">
                  <c:v>H2</c:v>
                </c:pt>
              </c:strCache>
            </c:strRef>
          </c:cat>
          <c:val>
            <c:numRef>
              <c:f>ANALYSIS!$M$20:$M$21</c:f>
              <c:numCache>
                <c:formatCode>#,##0.00</c:formatCode>
                <c:ptCount val="2"/>
                <c:pt idx="0">
                  <c:v>6193530.0099999951</c:v>
                </c:pt>
                <c:pt idx="1">
                  <c:v>3587947.8799999976</c:v>
                </c:pt>
              </c:numCache>
            </c:numRef>
          </c:val>
          <c:extLst>
            <c:ext xmlns:c16="http://schemas.microsoft.com/office/drawing/2014/chart" uri="{C3380CC4-5D6E-409C-BE32-E72D297353CC}">
              <c16:uniqueId val="{00000006-8F32-4F7A-9D4A-C884415FBB80}"/>
            </c:ext>
          </c:extLst>
        </c:ser>
        <c:ser>
          <c:idx val="7"/>
          <c:order val="7"/>
          <c:tx>
            <c:strRef>
              <c:f>ANALYSIS!$N$19</c:f>
              <c:strCache>
                <c:ptCount val="1"/>
                <c:pt idx="0">
                  <c:v>Sum of Other_Cost</c:v>
                </c:pt>
              </c:strCache>
            </c:strRef>
          </c:tx>
          <c:spPr>
            <a:solidFill>
              <a:schemeClr val="accent2">
                <a:lumMod val="60000"/>
              </a:schemeClr>
            </a:solidFill>
            <a:ln>
              <a:noFill/>
            </a:ln>
            <a:effectLst/>
          </c:spPr>
          <c:invertIfNegative val="0"/>
          <c:cat>
            <c:strRef>
              <c:f>ANALYSIS!$F$20:$F$21</c:f>
              <c:strCache>
                <c:ptCount val="2"/>
                <c:pt idx="0">
                  <c:v>H1</c:v>
                </c:pt>
                <c:pt idx="1">
                  <c:v>H2</c:v>
                </c:pt>
              </c:strCache>
            </c:strRef>
          </c:cat>
          <c:val>
            <c:numRef>
              <c:f>ANALYSIS!$N$20:$N$21</c:f>
              <c:numCache>
                <c:formatCode>#,##0.00</c:formatCode>
                <c:ptCount val="2"/>
                <c:pt idx="0">
                  <c:v>3548359.08</c:v>
                </c:pt>
                <c:pt idx="1">
                  <c:v>2423142.7799999961</c:v>
                </c:pt>
              </c:numCache>
            </c:numRef>
          </c:val>
          <c:extLst>
            <c:ext xmlns:c16="http://schemas.microsoft.com/office/drawing/2014/chart" uri="{C3380CC4-5D6E-409C-BE32-E72D297353CC}">
              <c16:uniqueId val="{00000007-8F32-4F7A-9D4A-C884415FBB80}"/>
            </c:ext>
          </c:extLst>
        </c:ser>
        <c:dLbls>
          <c:showLegendKey val="0"/>
          <c:showVal val="0"/>
          <c:showCatName val="0"/>
          <c:showSerName val="0"/>
          <c:showPercent val="0"/>
          <c:showBubbleSize val="0"/>
        </c:dLbls>
        <c:gapWidth val="219"/>
        <c:overlap val="-27"/>
        <c:axId val="560782304"/>
        <c:axId val="560788424"/>
      </c:barChart>
      <c:catAx>
        <c:axId val="5607823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0788424"/>
        <c:crosses val="autoZero"/>
        <c:auto val="1"/>
        <c:lblAlgn val="ctr"/>
        <c:lblOffset val="100"/>
        <c:noMultiLvlLbl val="0"/>
      </c:catAx>
      <c:valAx>
        <c:axId val="560788424"/>
        <c:scaling>
          <c:orientation val="minMax"/>
        </c:scaling>
        <c:delete val="0"/>
        <c:axPos val="l"/>
        <c:numFmt formatCode="#,##0,,&quot;M&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0782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[BizNalytiq_Revenue_Down_Profit_Up_Case_Study_2025.xlsx]ANALYSIS!PivotTable9</c:name>
    <c:fmtId val="11"/>
  </c:pivotSource>
  <c:chart>
    <c:autoTitleDeleted val="1"/>
    <c:pivotFmts>
      <c:pivotFmt>
        <c:idx val="0"/>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ANALYSIS!$B$31</c:f>
              <c:strCache>
                <c:ptCount val="1"/>
                <c:pt idx="0">
                  <c:v>Total</c:v>
                </c:pt>
              </c:strCache>
            </c:strRef>
          </c:tx>
          <c:spPr>
            <a:solidFill>
              <a:schemeClr val="accent1"/>
            </a:solidFill>
            <a:ln>
              <a:noFill/>
            </a:ln>
            <a:effectLst/>
          </c:spPr>
          <c:invertIfNegative val="0"/>
          <c:dLbls>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ANALYSIS!$A$32:$A$37</c:f>
              <c:strCache>
                <c:ptCount val="6"/>
                <c:pt idx="0">
                  <c:v>Beverages</c:v>
                </c:pt>
                <c:pt idx="1">
                  <c:v>Biscuits</c:v>
                </c:pt>
                <c:pt idx="2">
                  <c:v>Cooking Oil</c:v>
                </c:pt>
                <c:pt idx="3">
                  <c:v>Home Care</c:v>
                </c:pt>
                <c:pt idx="4">
                  <c:v>Paper Products</c:v>
                </c:pt>
                <c:pt idx="5">
                  <c:v>Personal Care</c:v>
                </c:pt>
              </c:strCache>
            </c:strRef>
          </c:cat>
          <c:val>
            <c:numRef>
              <c:f>ANALYSIS!$B$32:$B$37</c:f>
              <c:numCache>
                <c:formatCode>#,##0.00</c:formatCode>
                <c:ptCount val="6"/>
                <c:pt idx="0">
                  <c:v>4960162.2874980932</c:v>
                </c:pt>
                <c:pt idx="1">
                  <c:v>4071056.2728117662</c:v>
                </c:pt>
                <c:pt idx="2">
                  <c:v>17313619.762246836</c:v>
                </c:pt>
                <c:pt idx="3">
                  <c:v>18335568.890536129</c:v>
                </c:pt>
                <c:pt idx="4">
                  <c:v>11973568.892841674</c:v>
                </c:pt>
                <c:pt idx="5">
                  <c:v>5750019.323166796</c:v>
                </c:pt>
              </c:numCache>
            </c:numRef>
          </c:val>
          <c:extLst>
            <c:ext xmlns:c16="http://schemas.microsoft.com/office/drawing/2014/chart" uri="{C3380CC4-5D6E-409C-BE32-E72D297353CC}">
              <c16:uniqueId val="{00000000-25F7-4D9E-8688-089B8309D715}"/>
            </c:ext>
          </c:extLst>
        </c:ser>
        <c:dLbls>
          <c:dLblPos val="outEnd"/>
          <c:showLegendKey val="0"/>
          <c:showVal val="1"/>
          <c:showCatName val="0"/>
          <c:showSerName val="0"/>
          <c:showPercent val="0"/>
          <c:showBubbleSize val="0"/>
        </c:dLbls>
        <c:gapWidth val="182"/>
        <c:axId val="873862672"/>
        <c:axId val="873859792"/>
      </c:barChart>
      <c:catAx>
        <c:axId val="87386267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3859792"/>
        <c:crosses val="autoZero"/>
        <c:auto val="1"/>
        <c:lblAlgn val="ctr"/>
        <c:lblOffset val="100"/>
        <c:noMultiLvlLbl val="0"/>
      </c:catAx>
      <c:valAx>
        <c:axId val="873859792"/>
        <c:scaling>
          <c:orientation val="minMax"/>
          <c:max val="20000000"/>
          <c:min val="0"/>
        </c:scaling>
        <c:delete val="0"/>
        <c:axPos val="b"/>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3862672"/>
        <c:crosses val="autoZero"/>
        <c:crossBetween val="between"/>
        <c:majorUnit val="10000000"/>
        <c:minorUnit val="100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13.png"/><Relationship Id="rId18" Type="http://schemas.openxmlformats.org/officeDocument/2006/relationships/image" Target="../media/image15.png"/><Relationship Id="rId3" Type="http://schemas.openxmlformats.org/officeDocument/2006/relationships/image" Target="../media/image3.png"/><Relationship Id="rId21" Type="http://schemas.openxmlformats.org/officeDocument/2006/relationships/chart" Target="../charts/chart5.xml"/><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chart" Target="../charts/chart3.xml"/><Relationship Id="rId2" Type="http://schemas.openxmlformats.org/officeDocument/2006/relationships/image" Target="../media/image2.svg"/><Relationship Id="rId16" Type="http://schemas.openxmlformats.org/officeDocument/2006/relationships/chart" Target="../charts/chart2.xml"/><Relationship Id="rId20" Type="http://schemas.openxmlformats.org/officeDocument/2006/relationships/chart" Target="../charts/chart4.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chart" Target="../charts/chart1.xml"/><Relationship Id="rId10" Type="http://schemas.openxmlformats.org/officeDocument/2006/relationships/image" Target="../media/image10.svg"/><Relationship Id="rId19" Type="http://schemas.openxmlformats.org/officeDocument/2006/relationships/image" Target="../media/image16.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image" Target="../media/image14.svg"/></Relationships>
</file>

<file path=xl/drawings/drawing1.xml><?xml version="1.0" encoding="utf-8"?>
<xdr:wsDr xmlns:xdr="http://schemas.openxmlformats.org/drawingml/2006/spreadsheetDrawing" xmlns:a="http://schemas.openxmlformats.org/drawingml/2006/main">
  <xdr:twoCellAnchor>
    <xdr:from>
      <xdr:col>0</xdr:col>
      <xdr:colOff>323850</xdr:colOff>
      <xdr:row>7</xdr:row>
      <xdr:rowOff>22224</xdr:rowOff>
    </xdr:from>
    <xdr:to>
      <xdr:col>3</xdr:col>
      <xdr:colOff>581025</xdr:colOff>
      <xdr:row>11</xdr:row>
      <xdr:rowOff>179917</xdr:rowOff>
    </xdr:to>
    <xdr:sp macro="" textlink="">
      <xdr:nvSpPr>
        <xdr:cNvPr id="9" name="Rectangle 8">
          <a:extLst>
            <a:ext uri="{FF2B5EF4-FFF2-40B4-BE49-F238E27FC236}">
              <a16:creationId xmlns:a16="http://schemas.microsoft.com/office/drawing/2014/main" id="{BE916D14-9814-9230-D7B9-3E808FFBE7D9}"/>
            </a:ext>
          </a:extLst>
        </xdr:cNvPr>
        <xdr:cNvSpPr/>
      </xdr:nvSpPr>
      <xdr:spPr>
        <a:xfrm>
          <a:off x="323850" y="1355724"/>
          <a:ext cx="2098675" cy="91969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0</xdr:col>
      <xdr:colOff>0</xdr:colOff>
      <xdr:row>0</xdr:row>
      <xdr:rowOff>0</xdr:rowOff>
    </xdr:from>
    <xdr:to>
      <xdr:col>20</xdr:col>
      <xdr:colOff>0</xdr:colOff>
      <xdr:row>5</xdr:row>
      <xdr:rowOff>133350</xdr:rowOff>
    </xdr:to>
    <xdr:sp macro="" textlink="">
      <xdr:nvSpPr>
        <xdr:cNvPr id="2" name="Rectangle 1">
          <a:extLst>
            <a:ext uri="{FF2B5EF4-FFF2-40B4-BE49-F238E27FC236}">
              <a16:creationId xmlns:a16="http://schemas.microsoft.com/office/drawing/2014/main" id="{36A06AEF-A57C-E642-3A51-F0061DDC4B77}"/>
            </a:ext>
          </a:extLst>
        </xdr:cNvPr>
        <xdr:cNvSpPr/>
      </xdr:nvSpPr>
      <xdr:spPr>
        <a:xfrm>
          <a:off x="0" y="0"/>
          <a:ext cx="12192000" cy="10858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t>FMCG</a:t>
          </a:r>
          <a:r>
            <a:rPr lang="en-US" sz="2000" baseline="0"/>
            <a:t> DISTRIBUTION BUSINESS DASHBOARD - 2025</a:t>
          </a:r>
        </a:p>
        <a:p>
          <a:pPr algn="ctr"/>
          <a:r>
            <a:rPr lang="en-US" sz="1400" baseline="0"/>
            <a:t>Sale were flat, but profit more than doubled</a:t>
          </a:r>
          <a:endParaRPr lang="en-US" sz="1400"/>
        </a:p>
      </xdr:txBody>
    </xdr:sp>
    <xdr:clientData/>
  </xdr:twoCellAnchor>
  <xdr:twoCellAnchor>
    <xdr:from>
      <xdr:col>0</xdr:col>
      <xdr:colOff>28574</xdr:colOff>
      <xdr:row>0</xdr:row>
      <xdr:rowOff>57152</xdr:rowOff>
    </xdr:from>
    <xdr:to>
      <xdr:col>4</xdr:col>
      <xdr:colOff>495299</xdr:colOff>
      <xdr:row>5</xdr:row>
      <xdr:rowOff>66676</xdr:rowOff>
    </xdr:to>
    <xdr:sp macro="" textlink="">
      <xdr:nvSpPr>
        <xdr:cNvPr id="4" name="Rectangle 3">
          <a:extLst>
            <a:ext uri="{FF2B5EF4-FFF2-40B4-BE49-F238E27FC236}">
              <a16:creationId xmlns:a16="http://schemas.microsoft.com/office/drawing/2014/main" id="{B42A81D2-FB52-7303-9A05-149CA54EFCBC}"/>
            </a:ext>
          </a:extLst>
        </xdr:cNvPr>
        <xdr:cNvSpPr/>
      </xdr:nvSpPr>
      <xdr:spPr>
        <a:xfrm>
          <a:off x="28574" y="57152"/>
          <a:ext cx="2905125" cy="96202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2" algn="ctr"/>
          <a:r>
            <a:rPr lang="en-US" sz="3200" b="1" i="1"/>
            <a:t>BizNalytiq</a:t>
          </a:r>
          <a:endParaRPr lang="en-US" sz="2800" b="1" i="1"/>
        </a:p>
        <a:p>
          <a:pPr algn="l"/>
          <a:r>
            <a:rPr lang="en-US" sz="1400" b="1" i="1"/>
            <a:t>Turning data</a:t>
          </a:r>
          <a:r>
            <a:rPr lang="en-US" sz="1400" b="1" i="1" baseline="0"/>
            <a:t> into insight</a:t>
          </a:r>
          <a:endParaRPr lang="en-US" sz="1400" b="1" i="1"/>
        </a:p>
      </xdr:txBody>
    </xdr:sp>
    <xdr:clientData/>
  </xdr:twoCellAnchor>
  <xdr:twoCellAnchor editAs="oneCell">
    <xdr:from>
      <xdr:col>0</xdr:col>
      <xdr:colOff>0</xdr:colOff>
      <xdr:row>0</xdr:row>
      <xdr:rowOff>104775</xdr:rowOff>
    </xdr:from>
    <xdr:to>
      <xdr:col>1</xdr:col>
      <xdr:colOff>397983</xdr:colOff>
      <xdr:row>3</xdr:row>
      <xdr:rowOff>66675</xdr:rowOff>
    </xdr:to>
    <xdr:pic>
      <xdr:nvPicPr>
        <xdr:cNvPr id="8" name="Graphic 7" descr="Signal">
          <a:extLst>
            <a:ext uri="{FF2B5EF4-FFF2-40B4-BE49-F238E27FC236}">
              <a16:creationId xmlns:a16="http://schemas.microsoft.com/office/drawing/2014/main" id="{FB95D4D1-758E-A1CE-66E7-F5A4E3461DE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104775"/>
          <a:ext cx="1007583" cy="533400"/>
        </a:xfrm>
        <a:prstGeom prst="rect">
          <a:avLst/>
        </a:prstGeom>
        <a:scene3d>
          <a:camera prst="orthographicFront"/>
          <a:lightRig rig="threePt" dir="t"/>
        </a:scene3d>
        <a:sp3d>
          <a:bevelT w="114300" prst="hardEdge"/>
        </a:sp3d>
      </xdr:spPr>
    </xdr:pic>
    <xdr:clientData/>
  </xdr:twoCellAnchor>
  <xdr:twoCellAnchor editAs="oneCell">
    <xdr:from>
      <xdr:col>0</xdr:col>
      <xdr:colOff>74084</xdr:colOff>
      <xdr:row>7</xdr:row>
      <xdr:rowOff>179917</xdr:rowOff>
    </xdr:from>
    <xdr:to>
      <xdr:col>1</xdr:col>
      <xdr:colOff>42334</xdr:colOff>
      <xdr:row>10</xdr:row>
      <xdr:rowOff>116415</xdr:rowOff>
    </xdr:to>
    <xdr:pic>
      <xdr:nvPicPr>
        <xdr:cNvPr id="17" name="Graphic 16" descr="Shopping cart">
          <a:extLst>
            <a:ext uri="{FF2B5EF4-FFF2-40B4-BE49-F238E27FC236}">
              <a16:creationId xmlns:a16="http://schemas.microsoft.com/office/drawing/2014/main" id="{0246CFBD-DAA7-C839-AC5D-39799DF2BB9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4084" y="1513417"/>
          <a:ext cx="582083" cy="507998"/>
        </a:xfrm>
        <a:prstGeom prst="rect">
          <a:avLst/>
        </a:prstGeom>
      </xdr:spPr>
    </xdr:pic>
    <xdr:clientData/>
  </xdr:twoCellAnchor>
  <xdr:twoCellAnchor>
    <xdr:from>
      <xdr:col>7</xdr:col>
      <xdr:colOff>412749</xdr:colOff>
      <xdr:row>8</xdr:row>
      <xdr:rowOff>52917</xdr:rowOff>
    </xdr:from>
    <xdr:to>
      <xdr:col>9</xdr:col>
      <xdr:colOff>232834</xdr:colOff>
      <xdr:row>10</xdr:row>
      <xdr:rowOff>67733</xdr:rowOff>
    </xdr:to>
    <xdr:sp macro="" textlink="ANALYSIS!B64">
      <xdr:nvSpPr>
        <xdr:cNvPr id="23" name="TextBox 22">
          <a:extLst>
            <a:ext uri="{FF2B5EF4-FFF2-40B4-BE49-F238E27FC236}">
              <a16:creationId xmlns:a16="http://schemas.microsoft.com/office/drawing/2014/main" id="{56D16FAA-95D1-8EFF-DE39-04F1D40EF213}"/>
            </a:ext>
          </a:extLst>
        </xdr:cNvPr>
        <xdr:cNvSpPr txBox="1"/>
      </xdr:nvSpPr>
      <xdr:spPr>
        <a:xfrm>
          <a:off x="4709582" y="1576917"/>
          <a:ext cx="1047752" cy="3958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1619A6E-D1C0-4042-8DA9-00D2149E2ABF}" type="TxLink">
            <a:rPr lang="en-US" sz="2000" b="1" i="0" u="none" strike="noStrike">
              <a:solidFill>
                <a:srgbClr val="000000"/>
              </a:solidFill>
              <a:latin typeface="Calibri"/>
              <a:cs typeface="Calibri"/>
            </a:rPr>
            <a:pPr/>
            <a:t>₦62.4M</a:t>
          </a:fld>
          <a:endParaRPr lang="en-US" sz="4000" b="1" i="1"/>
        </a:p>
      </xdr:txBody>
    </xdr:sp>
    <xdr:clientData/>
  </xdr:twoCellAnchor>
  <xdr:twoCellAnchor>
    <xdr:from>
      <xdr:col>4</xdr:col>
      <xdr:colOff>406399</xdr:colOff>
      <xdr:row>8</xdr:row>
      <xdr:rowOff>25402</xdr:rowOff>
    </xdr:from>
    <xdr:to>
      <xdr:col>6</xdr:col>
      <xdr:colOff>381000</xdr:colOff>
      <xdr:row>10</xdr:row>
      <xdr:rowOff>40218</xdr:rowOff>
    </xdr:to>
    <xdr:sp macro="" textlink="ANALYSIS!F59">
      <xdr:nvSpPr>
        <xdr:cNvPr id="24" name="TextBox 23">
          <a:extLst>
            <a:ext uri="{FF2B5EF4-FFF2-40B4-BE49-F238E27FC236}">
              <a16:creationId xmlns:a16="http://schemas.microsoft.com/office/drawing/2014/main" id="{E2DAC155-997E-58B4-A78C-BAAF7F79E03A}"/>
            </a:ext>
          </a:extLst>
        </xdr:cNvPr>
        <xdr:cNvSpPr txBox="1"/>
      </xdr:nvSpPr>
      <xdr:spPr>
        <a:xfrm>
          <a:off x="2861732" y="1549402"/>
          <a:ext cx="1202268" cy="3958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2E90B65-2310-4DC2-867D-323BA0968839}" type="TxLink">
            <a:rPr lang="en-US" sz="2000" b="1" i="0" u="none" strike="noStrike">
              <a:solidFill>
                <a:srgbClr val="000000"/>
              </a:solidFill>
              <a:latin typeface="Calibri"/>
              <a:cs typeface="Calibri"/>
            </a:rPr>
            <a:pPr/>
            <a:t>₦280.0M</a:t>
          </a:fld>
          <a:endParaRPr lang="en-US" sz="4000" b="1" i="0"/>
        </a:p>
      </xdr:txBody>
    </xdr:sp>
    <xdr:clientData/>
  </xdr:twoCellAnchor>
  <xdr:twoCellAnchor>
    <xdr:from>
      <xdr:col>3</xdr:col>
      <xdr:colOff>264583</xdr:colOff>
      <xdr:row>10</xdr:row>
      <xdr:rowOff>114301</xdr:rowOff>
    </xdr:from>
    <xdr:to>
      <xdr:col>5</xdr:col>
      <xdr:colOff>63499</xdr:colOff>
      <xdr:row>12</xdr:row>
      <xdr:rowOff>10583</xdr:rowOff>
    </xdr:to>
    <xdr:sp macro="" textlink="ANALYSIS!G57">
      <xdr:nvSpPr>
        <xdr:cNvPr id="25" name="TextBox 24">
          <a:extLst>
            <a:ext uri="{FF2B5EF4-FFF2-40B4-BE49-F238E27FC236}">
              <a16:creationId xmlns:a16="http://schemas.microsoft.com/office/drawing/2014/main" id="{CFE8C321-0799-2D7B-D934-18BD55435AB4}"/>
            </a:ext>
          </a:extLst>
        </xdr:cNvPr>
        <xdr:cNvSpPr txBox="1"/>
      </xdr:nvSpPr>
      <xdr:spPr>
        <a:xfrm>
          <a:off x="2106083" y="2019301"/>
          <a:ext cx="1026583" cy="2772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1" i="0" u="none" strike="noStrike">
              <a:solidFill>
                <a:srgbClr val="000000"/>
              </a:solidFill>
              <a:latin typeface="Calibri"/>
              <a:cs typeface="Calibri"/>
            </a:rPr>
            <a:t>H1:</a:t>
          </a:r>
          <a:r>
            <a:rPr lang="en-US" sz="1100" b="1" i="0" u="none" strike="noStrike" baseline="0">
              <a:solidFill>
                <a:srgbClr val="000000"/>
              </a:solidFill>
              <a:latin typeface="Calibri"/>
              <a:cs typeface="Calibri"/>
            </a:rPr>
            <a:t> </a:t>
          </a:r>
          <a:fld id="{55DE72D8-304D-4277-AE03-C88C26729C50}" type="TxLink">
            <a:rPr lang="en-US" sz="1100" b="1" i="0" u="none" strike="noStrike">
              <a:solidFill>
                <a:srgbClr val="000000"/>
              </a:solidFill>
              <a:latin typeface="Calibri"/>
              <a:cs typeface="Calibri"/>
            </a:rPr>
            <a:pPr algn="l"/>
            <a:t>₦137.4M</a:t>
          </a:fld>
          <a:endParaRPr lang="en-US" b="1"/>
        </a:p>
      </xdr:txBody>
    </xdr:sp>
    <xdr:clientData/>
  </xdr:twoCellAnchor>
  <xdr:twoCellAnchor>
    <xdr:from>
      <xdr:col>1</xdr:col>
      <xdr:colOff>44449</xdr:colOff>
      <xdr:row>8</xdr:row>
      <xdr:rowOff>23285</xdr:rowOff>
    </xdr:from>
    <xdr:to>
      <xdr:col>3</xdr:col>
      <xdr:colOff>38099</xdr:colOff>
      <xdr:row>10</xdr:row>
      <xdr:rowOff>38101</xdr:rowOff>
    </xdr:to>
    <xdr:sp macro="" textlink="ANALYSIS!B59">
      <xdr:nvSpPr>
        <xdr:cNvPr id="26" name="TextBox 25">
          <a:extLst>
            <a:ext uri="{FF2B5EF4-FFF2-40B4-BE49-F238E27FC236}">
              <a16:creationId xmlns:a16="http://schemas.microsoft.com/office/drawing/2014/main" id="{E412A102-8CBB-48CC-8487-B973FF433B82}"/>
            </a:ext>
          </a:extLst>
        </xdr:cNvPr>
        <xdr:cNvSpPr txBox="1"/>
      </xdr:nvSpPr>
      <xdr:spPr>
        <a:xfrm>
          <a:off x="658282" y="1547285"/>
          <a:ext cx="1221317" cy="3958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07C611B-E46E-41C9-9EF7-A2F05FAACCEE}" type="TxLink">
            <a:rPr lang="en-US" sz="2000" b="1" i="0" u="none" strike="noStrike">
              <a:solidFill>
                <a:srgbClr val="000000"/>
              </a:solidFill>
              <a:latin typeface="Calibri"/>
              <a:cs typeface="Calibri"/>
            </a:rPr>
            <a:pPr/>
            <a:t>₦297.5M</a:t>
          </a:fld>
          <a:endParaRPr lang="en-US" sz="4000" b="1" i="1"/>
        </a:p>
      </xdr:txBody>
    </xdr:sp>
    <xdr:clientData/>
  </xdr:twoCellAnchor>
  <xdr:twoCellAnchor>
    <xdr:from>
      <xdr:col>1</xdr:col>
      <xdr:colOff>321737</xdr:colOff>
      <xdr:row>10</xdr:row>
      <xdr:rowOff>76200</xdr:rowOff>
    </xdr:from>
    <xdr:to>
      <xdr:col>3</xdr:col>
      <xdr:colOff>148168</xdr:colOff>
      <xdr:row>11</xdr:row>
      <xdr:rowOff>162982</xdr:rowOff>
    </xdr:to>
    <xdr:sp macro="" textlink="">
      <xdr:nvSpPr>
        <xdr:cNvPr id="27" name="TextBox 26">
          <a:extLst>
            <a:ext uri="{FF2B5EF4-FFF2-40B4-BE49-F238E27FC236}">
              <a16:creationId xmlns:a16="http://schemas.microsoft.com/office/drawing/2014/main" id="{B7940426-21BC-1ACB-73DF-CB8AEB537415}"/>
            </a:ext>
          </a:extLst>
        </xdr:cNvPr>
        <xdr:cNvSpPr txBox="1"/>
      </xdr:nvSpPr>
      <xdr:spPr>
        <a:xfrm>
          <a:off x="935570" y="1981200"/>
          <a:ext cx="1054098" cy="2772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b="1"/>
            <a:t>| H2: ₦148.6M</a:t>
          </a:r>
        </a:p>
      </xdr:txBody>
    </xdr:sp>
    <xdr:clientData/>
  </xdr:twoCellAnchor>
  <xdr:twoCellAnchor>
    <xdr:from>
      <xdr:col>0</xdr:col>
      <xdr:colOff>124885</xdr:colOff>
      <xdr:row>10</xdr:row>
      <xdr:rowOff>80435</xdr:rowOff>
    </xdr:from>
    <xdr:to>
      <xdr:col>1</xdr:col>
      <xdr:colOff>537634</xdr:colOff>
      <xdr:row>11</xdr:row>
      <xdr:rowOff>167217</xdr:rowOff>
    </xdr:to>
    <xdr:sp macro="" textlink="ANALYSIS!C57">
      <xdr:nvSpPr>
        <xdr:cNvPr id="28" name="TextBox 27">
          <a:extLst>
            <a:ext uri="{FF2B5EF4-FFF2-40B4-BE49-F238E27FC236}">
              <a16:creationId xmlns:a16="http://schemas.microsoft.com/office/drawing/2014/main" id="{9206A12D-7B64-CD27-31EA-9052B2D4045B}"/>
            </a:ext>
          </a:extLst>
        </xdr:cNvPr>
        <xdr:cNvSpPr txBox="1"/>
      </xdr:nvSpPr>
      <xdr:spPr>
        <a:xfrm>
          <a:off x="124885" y="1985435"/>
          <a:ext cx="1026582" cy="2772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1" i="0" u="none" strike="noStrike">
              <a:solidFill>
                <a:srgbClr val="000000"/>
              </a:solidFill>
              <a:latin typeface="Calibri"/>
              <a:cs typeface="Calibri"/>
            </a:rPr>
            <a:t>H1:</a:t>
          </a:r>
          <a:r>
            <a:rPr lang="en-US" sz="1100" b="1" i="0" u="none" strike="noStrike" baseline="0">
              <a:solidFill>
                <a:srgbClr val="000000"/>
              </a:solidFill>
              <a:latin typeface="Calibri"/>
              <a:cs typeface="Calibri"/>
            </a:rPr>
            <a:t> </a:t>
          </a:r>
          <a:fld id="{389CAAC4-2EB3-4A8D-96C4-5F47B04FD0CC}" type="TxLink">
            <a:rPr lang="en-US" sz="1100" b="1" i="0" u="none" strike="noStrike">
              <a:solidFill>
                <a:srgbClr val="000000"/>
              </a:solidFill>
              <a:latin typeface="Calibri"/>
              <a:cs typeface="Calibri"/>
            </a:rPr>
            <a:pPr algn="l"/>
            <a:t>₦148.9M</a:t>
          </a:fld>
          <a:endParaRPr lang="en-US" b="1"/>
        </a:p>
      </xdr:txBody>
    </xdr:sp>
    <xdr:clientData/>
  </xdr:twoCellAnchor>
  <xdr:twoCellAnchor>
    <xdr:from>
      <xdr:col>1</xdr:col>
      <xdr:colOff>74084</xdr:colOff>
      <xdr:row>6</xdr:row>
      <xdr:rowOff>127003</xdr:rowOff>
    </xdr:from>
    <xdr:to>
      <xdr:col>3</xdr:col>
      <xdr:colOff>84667</xdr:colOff>
      <xdr:row>8</xdr:row>
      <xdr:rowOff>116419</xdr:rowOff>
    </xdr:to>
    <xdr:sp macro="" textlink="">
      <xdr:nvSpPr>
        <xdr:cNvPr id="30" name="Rectangle 29">
          <a:extLst>
            <a:ext uri="{FF2B5EF4-FFF2-40B4-BE49-F238E27FC236}">
              <a16:creationId xmlns:a16="http://schemas.microsoft.com/office/drawing/2014/main" id="{37751881-587C-2583-3B98-9B0730274E54}"/>
            </a:ext>
          </a:extLst>
        </xdr:cNvPr>
        <xdr:cNvSpPr/>
      </xdr:nvSpPr>
      <xdr:spPr>
        <a:xfrm>
          <a:off x="687917" y="1270003"/>
          <a:ext cx="1238250" cy="37041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0" i="0" u="none" strike="noStrike">
              <a:solidFill>
                <a:schemeClr val="tx1"/>
              </a:solidFill>
              <a:effectLst/>
              <a:latin typeface="+mn-lt"/>
              <a:ea typeface="+mn-ea"/>
              <a:cs typeface="+mn-cs"/>
            </a:rPr>
            <a:t>GROSS</a:t>
          </a:r>
          <a:r>
            <a:rPr lang="en-US" sz="1600" b="0" i="0" u="none" strike="noStrike" baseline="0">
              <a:solidFill>
                <a:schemeClr val="tx1"/>
              </a:solidFill>
              <a:effectLst/>
              <a:latin typeface="+mn-lt"/>
              <a:ea typeface="+mn-ea"/>
              <a:cs typeface="+mn-cs"/>
            </a:rPr>
            <a:t> </a:t>
          </a:r>
          <a:r>
            <a:rPr lang="en-US" sz="1400" b="0" i="0" u="none" strike="noStrike" baseline="0">
              <a:solidFill>
                <a:schemeClr val="tx1"/>
              </a:solidFill>
              <a:effectLst/>
              <a:latin typeface="+mn-lt"/>
              <a:ea typeface="+mn-ea"/>
              <a:cs typeface="+mn-cs"/>
            </a:rPr>
            <a:t>SALES</a:t>
          </a:r>
          <a:endParaRPr lang="en-US" sz="1600" b="0">
            <a:solidFill>
              <a:schemeClr val="tx1"/>
            </a:solidFill>
          </a:endParaRPr>
        </a:p>
      </xdr:txBody>
    </xdr:sp>
    <xdr:clientData/>
  </xdr:twoCellAnchor>
  <xdr:twoCellAnchor editAs="oneCell">
    <xdr:from>
      <xdr:col>3</xdr:col>
      <xdr:colOff>201083</xdr:colOff>
      <xdr:row>7</xdr:row>
      <xdr:rowOff>95249</xdr:rowOff>
    </xdr:from>
    <xdr:to>
      <xdr:col>4</xdr:col>
      <xdr:colOff>370417</xdr:colOff>
      <xdr:row>10</xdr:row>
      <xdr:rowOff>190499</xdr:rowOff>
    </xdr:to>
    <xdr:pic>
      <xdr:nvPicPr>
        <xdr:cNvPr id="32" name="Graphic 31" descr="Open folder">
          <a:extLst>
            <a:ext uri="{FF2B5EF4-FFF2-40B4-BE49-F238E27FC236}">
              <a16:creationId xmlns:a16="http://schemas.microsoft.com/office/drawing/2014/main" id="{D23E9E80-38FB-0F80-92DF-C45F4DAB4A37}"/>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042583" y="1428749"/>
          <a:ext cx="783167" cy="666750"/>
        </a:xfrm>
        <a:prstGeom prst="rect">
          <a:avLst/>
        </a:prstGeom>
      </xdr:spPr>
    </xdr:pic>
    <xdr:clientData/>
  </xdr:twoCellAnchor>
  <xdr:twoCellAnchor>
    <xdr:from>
      <xdr:col>4</xdr:col>
      <xdr:colOff>427567</xdr:colOff>
      <xdr:row>10</xdr:row>
      <xdr:rowOff>118534</xdr:rowOff>
    </xdr:from>
    <xdr:to>
      <xdr:col>6</xdr:col>
      <xdr:colOff>349250</xdr:colOff>
      <xdr:row>12</xdr:row>
      <xdr:rowOff>14816</xdr:rowOff>
    </xdr:to>
    <xdr:sp macro="" textlink="ANALYSIS!G58">
      <xdr:nvSpPr>
        <xdr:cNvPr id="33" name="TextBox 32">
          <a:extLst>
            <a:ext uri="{FF2B5EF4-FFF2-40B4-BE49-F238E27FC236}">
              <a16:creationId xmlns:a16="http://schemas.microsoft.com/office/drawing/2014/main" id="{64CE8490-562B-E015-524A-55874A6AA417}"/>
            </a:ext>
          </a:extLst>
        </xdr:cNvPr>
        <xdr:cNvSpPr txBox="1"/>
      </xdr:nvSpPr>
      <xdr:spPr>
        <a:xfrm>
          <a:off x="2882900" y="2023534"/>
          <a:ext cx="1149350" cy="2772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1" i="0" u="none" strike="noStrike">
              <a:solidFill>
                <a:srgbClr val="000000"/>
              </a:solidFill>
              <a:latin typeface="Calibri"/>
              <a:cs typeface="Calibri"/>
            </a:rPr>
            <a:t>|</a:t>
          </a:r>
          <a:r>
            <a:rPr lang="en-US" sz="1100" b="1" i="0" u="none" strike="noStrike" baseline="0">
              <a:solidFill>
                <a:srgbClr val="000000"/>
              </a:solidFill>
              <a:latin typeface="Calibri"/>
              <a:cs typeface="Calibri"/>
            </a:rPr>
            <a:t> H2: </a:t>
          </a:r>
          <a:fld id="{6A47D2B4-1879-486F-899F-86FB37ABC877}" type="TxLink">
            <a:rPr lang="en-US" sz="1100" b="1" i="0" u="none" strike="noStrike">
              <a:solidFill>
                <a:srgbClr val="000000"/>
              </a:solidFill>
              <a:latin typeface="Calibri"/>
              <a:cs typeface="Calibri"/>
            </a:rPr>
            <a:pPr algn="l"/>
            <a:t>₦142.6M</a:t>
          </a:fld>
          <a:endParaRPr lang="en-US" b="1"/>
        </a:p>
      </xdr:txBody>
    </xdr:sp>
    <xdr:clientData/>
  </xdr:twoCellAnchor>
  <xdr:twoCellAnchor>
    <xdr:from>
      <xdr:col>4</xdr:col>
      <xdr:colOff>448733</xdr:colOff>
      <xdr:row>6</xdr:row>
      <xdr:rowOff>131236</xdr:rowOff>
    </xdr:from>
    <xdr:to>
      <xdr:col>6</xdr:col>
      <xdr:colOff>264583</xdr:colOff>
      <xdr:row>8</xdr:row>
      <xdr:rowOff>120652</xdr:rowOff>
    </xdr:to>
    <xdr:sp macro="" textlink="">
      <xdr:nvSpPr>
        <xdr:cNvPr id="35" name="Rectangle 34">
          <a:extLst>
            <a:ext uri="{FF2B5EF4-FFF2-40B4-BE49-F238E27FC236}">
              <a16:creationId xmlns:a16="http://schemas.microsoft.com/office/drawing/2014/main" id="{2F5FC365-16F0-839D-DB7C-0F542DEE3FA9}"/>
            </a:ext>
          </a:extLst>
        </xdr:cNvPr>
        <xdr:cNvSpPr/>
      </xdr:nvSpPr>
      <xdr:spPr>
        <a:xfrm>
          <a:off x="2904066" y="1274236"/>
          <a:ext cx="1043517" cy="37041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0" i="0" u="none" strike="noStrike">
              <a:solidFill>
                <a:schemeClr val="tx1"/>
              </a:solidFill>
              <a:effectLst/>
              <a:latin typeface="+mn-lt"/>
              <a:ea typeface="+mn-ea"/>
              <a:cs typeface="+mn-cs"/>
            </a:rPr>
            <a:t>NET</a:t>
          </a:r>
          <a:r>
            <a:rPr lang="en-US" sz="1600" b="0" i="0" u="none" strike="noStrike" baseline="0">
              <a:solidFill>
                <a:schemeClr val="tx1"/>
              </a:solidFill>
              <a:effectLst/>
              <a:latin typeface="+mn-lt"/>
              <a:ea typeface="+mn-ea"/>
              <a:cs typeface="+mn-cs"/>
            </a:rPr>
            <a:t> </a:t>
          </a:r>
          <a:r>
            <a:rPr lang="en-US" sz="1400" b="0" i="0" u="none" strike="noStrike" baseline="0">
              <a:solidFill>
                <a:schemeClr val="tx1"/>
              </a:solidFill>
              <a:effectLst/>
              <a:latin typeface="+mn-lt"/>
              <a:ea typeface="+mn-ea"/>
              <a:cs typeface="+mn-cs"/>
            </a:rPr>
            <a:t>SALES</a:t>
          </a:r>
          <a:endParaRPr lang="en-US" sz="1600" b="0">
            <a:solidFill>
              <a:schemeClr val="tx1"/>
            </a:solidFill>
          </a:endParaRPr>
        </a:p>
      </xdr:txBody>
    </xdr:sp>
    <xdr:clientData/>
  </xdr:twoCellAnchor>
  <xdr:twoCellAnchor editAs="oneCell">
    <xdr:from>
      <xdr:col>6</xdr:col>
      <xdr:colOff>402167</xdr:colOff>
      <xdr:row>7</xdr:row>
      <xdr:rowOff>116417</xdr:rowOff>
    </xdr:from>
    <xdr:to>
      <xdr:col>7</xdr:col>
      <xdr:colOff>381000</xdr:colOff>
      <xdr:row>11</xdr:row>
      <xdr:rowOff>42334</xdr:rowOff>
    </xdr:to>
    <xdr:pic>
      <xdr:nvPicPr>
        <xdr:cNvPr id="37" name="Graphic 36" descr="Coins">
          <a:extLst>
            <a:ext uri="{FF2B5EF4-FFF2-40B4-BE49-F238E27FC236}">
              <a16:creationId xmlns:a16="http://schemas.microsoft.com/office/drawing/2014/main" id="{3209B5A9-0A78-3728-E72A-ADCF2A2FFAF7}"/>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085167" y="1449917"/>
          <a:ext cx="592666" cy="687917"/>
        </a:xfrm>
        <a:prstGeom prst="rect">
          <a:avLst/>
        </a:prstGeom>
      </xdr:spPr>
    </xdr:pic>
    <xdr:clientData/>
  </xdr:twoCellAnchor>
  <xdr:twoCellAnchor>
    <xdr:from>
      <xdr:col>7</xdr:col>
      <xdr:colOff>347134</xdr:colOff>
      <xdr:row>6</xdr:row>
      <xdr:rowOff>135470</xdr:rowOff>
    </xdr:from>
    <xdr:to>
      <xdr:col>9</xdr:col>
      <xdr:colOff>162984</xdr:colOff>
      <xdr:row>8</xdr:row>
      <xdr:rowOff>124886</xdr:rowOff>
    </xdr:to>
    <xdr:sp macro="" textlink="">
      <xdr:nvSpPr>
        <xdr:cNvPr id="38" name="Rectangle 37">
          <a:extLst>
            <a:ext uri="{FF2B5EF4-FFF2-40B4-BE49-F238E27FC236}">
              <a16:creationId xmlns:a16="http://schemas.microsoft.com/office/drawing/2014/main" id="{A7134E9E-7A25-FC14-B556-B972B65D26FD}"/>
            </a:ext>
          </a:extLst>
        </xdr:cNvPr>
        <xdr:cNvSpPr/>
      </xdr:nvSpPr>
      <xdr:spPr>
        <a:xfrm>
          <a:off x="4643967" y="1278470"/>
          <a:ext cx="1043517" cy="37041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0" i="0" u="none" strike="noStrike">
              <a:solidFill>
                <a:schemeClr val="tx1"/>
              </a:solidFill>
              <a:effectLst/>
              <a:latin typeface="+mn-lt"/>
              <a:ea typeface="+mn-ea"/>
              <a:cs typeface="+mn-cs"/>
            </a:rPr>
            <a:t>NET</a:t>
          </a:r>
          <a:r>
            <a:rPr lang="en-US" sz="1600" b="0" i="0" u="none" strike="noStrike" baseline="0">
              <a:solidFill>
                <a:schemeClr val="tx1"/>
              </a:solidFill>
              <a:effectLst/>
              <a:latin typeface="+mn-lt"/>
              <a:ea typeface="+mn-ea"/>
              <a:cs typeface="+mn-cs"/>
            </a:rPr>
            <a:t> </a:t>
          </a:r>
          <a:r>
            <a:rPr lang="en-US" sz="1400" b="0" i="0" u="none" strike="noStrike" baseline="0">
              <a:solidFill>
                <a:schemeClr val="tx1"/>
              </a:solidFill>
              <a:effectLst/>
              <a:latin typeface="+mn-lt"/>
              <a:ea typeface="+mn-ea"/>
              <a:cs typeface="+mn-cs"/>
            </a:rPr>
            <a:t>PROFIT</a:t>
          </a:r>
          <a:endParaRPr lang="en-US" sz="1600" b="0">
            <a:solidFill>
              <a:schemeClr val="tx1"/>
            </a:solidFill>
          </a:endParaRPr>
        </a:p>
      </xdr:txBody>
    </xdr:sp>
    <xdr:clientData/>
  </xdr:twoCellAnchor>
  <xdr:twoCellAnchor>
    <xdr:from>
      <xdr:col>6</xdr:col>
      <xdr:colOff>406401</xdr:colOff>
      <xdr:row>10</xdr:row>
      <xdr:rowOff>129118</xdr:rowOff>
    </xdr:from>
    <xdr:to>
      <xdr:col>8</xdr:col>
      <xdr:colOff>95250</xdr:colOff>
      <xdr:row>12</xdr:row>
      <xdr:rowOff>25400</xdr:rowOff>
    </xdr:to>
    <xdr:sp macro="" textlink="ANALYSIS!C62">
      <xdr:nvSpPr>
        <xdr:cNvPr id="39" name="TextBox 38">
          <a:extLst>
            <a:ext uri="{FF2B5EF4-FFF2-40B4-BE49-F238E27FC236}">
              <a16:creationId xmlns:a16="http://schemas.microsoft.com/office/drawing/2014/main" id="{078ACBBC-BCE6-0F07-DDC6-102B4EBC7DC6}"/>
            </a:ext>
          </a:extLst>
        </xdr:cNvPr>
        <xdr:cNvSpPr txBox="1"/>
      </xdr:nvSpPr>
      <xdr:spPr>
        <a:xfrm>
          <a:off x="4089401" y="2034118"/>
          <a:ext cx="916516" cy="2772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1" i="0" u="none" strike="noStrike">
              <a:solidFill>
                <a:srgbClr val="000000"/>
              </a:solidFill>
              <a:latin typeface="Calibri"/>
              <a:cs typeface="Calibri"/>
            </a:rPr>
            <a:t>H1:</a:t>
          </a:r>
          <a:r>
            <a:rPr lang="en-US" sz="1100" b="1" i="0" u="none" strike="noStrike" baseline="0">
              <a:solidFill>
                <a:srgbClr val="000000"/>
              </a:solidFill>
              <a:latin typeface="Calibri"/>
              <a:cs typeface="Calibri"/>
            </a:rPr>
            <a:t> </a:t>
          </a:r>
          <a:fld id="{85D1653B-6DDD-4C5C-9436-B88BD69A623D}" type="TxLink">
            <a:rPr lang="en-US" sz="1100" b="1" i="0" u="none" strike="noStrike">
              <a:solidFill>
                <a:srgbClr val="000000"/>
              </a:solidFill>
              <a:latin typeface="Calibri"/>
              <a:cs typeface="Calibri"/>
            </a:rPr>
            <a:pPr algn="l"/>
            <a:t>₦20.0M</a:t>
          </a:fld>
          <a:endParaRPr lang="en-US" b="1"/>
        </a:p>
      </xdr:txBody>
    </xdr:sp>
    <xdr:clientData/>
  </xdr:twoCellAnchor>
  <xdr:twoCellAnchor>
    <xdr:from>
      <xdr:col>7</xdr:col>
      <xdr:colOff>516468</xdr:colOff>
      <xdr:row>10</xdr:row>
      <xdr:rowOff>133350</xdr:rowOff>
    </xdr:from>
    <xdr:to>
      <xdr:col>9</xdr:col>
      <xdr:colOff>315384</xdr:colOff>
      <xdr:row>12</xdr:row>
      <xdr:rowOff>29632</xdr:rowOff>
    </xdr:to>
    <xdr:sp macro="" textlink="ANALYSIS!C63">
      <xdr:nvSpPr>
        <xdr:cNvPr id="40" name="TextBox 39">
          <a:extLst>
            <a:ext uri="{FF2B5EF4-FFF2-40B4-BE49-F238E27FC236}">
              <a16:creationId xmlns:a16="http://schemas.microsoft.com/office/drawing/2014/main" id="{B642AFBD-4898-E614-4369-96714545527F}"/>
            </a:ext>
          </a:extLst>
        </xdr:cNvPr>
        <xdr:cNvSpPr txBox="1"/>
      </xdr:nvSpPr>
      <xdr:spPr>
        <a:xfrm>
          <a:off x="4813301" y="2038350"/>
          <a:ext cx="1026583" cy="2772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1" i="0" u="none" strike="noStrike">
              <a:solidFill>
                <a:srgbClr val="000000"/>
              </a:solidFill>
              <a:latin typeface="Calibri"/>
              <a:cs typeface="Calibri"/>
            </a:rPr>
            <a:t>|</a:t>
          </a:r>
          <a:r>
            <a:rPr lang="en-US" sz="1100" b="1" i="0" u="none" strike="noStrike" baseline="0">
              <a:solidFill>
                <a:srgbClr val="000000"/>
              </a:solidFill>
              <a:latin typeface="Calibri"/>
              <a:cs typeface="Calibri"/>
            </a:rPr>
            <a:t> H2: </a:t>
          </a:r>
          <a:fld id="{AEA99C9E-FC64-49A5-B583-9525E2CE8379}" type="TxLink">
            <a:rPr lang="en-US" sz="1100" b="1" i="0" u="none" strike="noStrike">
              <a:solidFill>
                <a:srgbClr val="000000"/>
              </a:solidFill>
              <a:latin typeface="Calibri"/>
              <a:cs typeface="Calibri"/>
            </a:rPr>
            <a:pPr algn="l"/>
            <a:t>₦42.4M</a:t>
          </a:fld>
          <a:endParaRPr lang="en-US" b="1"/>
        </a:p>
      </xdr:txBody>
    </xdr:sp>
    <xdr:clientData/>
  </xdr:twoCellAnchor>
  <xdr:twoCellAnchor>
    <xdr:from>
      <xdr:col>10</xdr:col>
      <xdr:colOff>499536</xdr:colOff>
      <xdr:row>10</xdr:row>
      <xdr:rowOff>105833</xdr:rowOff>
    </xdr:from>
    <xdr:to>
      <xdr:col>12</xdr:col>
      <xdr:colOff>63501</xdr:colOff>
      <xdr:row>12</xdr:row>
      <xdr:rowOff>2115</xdr:rowOff>
    </xdr:to>
    <xdr:sp macro="" textlink="ANALYSIS!G63">
      <xdr:nvSpPr>
        <xdr:cNvPr id="41" name="TextBox 40">
          <a:extLst>
            <a:ext uri="{FF2B5EF4-FFF2-40B4-BE49-F238E27FC236}">
              <a16:creationId xmlns:a16="http://schemas.microsoft.com/office/drawing/2014/main" id="{5C84FD4A-77F9-661D-D830-A5A27703D7F6}"/>
            </a:ext>
          </a:extLst>
        </xdr:cNvPr>
        <xdr:cNvSpPr txBox="1"/>
      </xdr:nvSpPr>
      <xdr:spPr>
        <a:xfrm>
          <a:off x="6637869" y="2010833"/>
          <a:ext cx="791632" cy="2772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1" i="0" u="none" strike="noStrike">
              <a:solidFill>
                <a:srgbClr val="000000"/>
              </a:solidFill>
              <a:latin typeface="Calibri"/>
              <a:cs typeface="Calibri"/>
            </a:rPr>
            <a:t>H1: </a:t>
          </a:r>
          <a:fld id="{0760101D-EA0E-4573-8337-E68A718CC261}" type="TxLink">
            <a:rPr lang="en-US" sz="1100" b="1" i="0" u="none" strike="noStrike">
              <a:solidFill>
                <a:srgbClr val="000000"/>
              </a:solidFill>
              <a:latin typeface="Calibri"/>
              <a:cs typeface="Calibri"/>
            </a:rPr>
            <a:pPr algn="l"/>
            <a:t>14%</a:t>
          </a:fld>
          <a:endParaRPr lang="en-US" b="1"/>
        </a:p>
      </xdr:txBody>
    </xdr:sp>
    <xdr:clientData/>
  </xdr:twoCellAnchor>
  <xdr:twoCellAnchor editAs="oneCell">
    <xdr:from>
      <xdr:col>9</xdr:col>
      <xdr:colOff>349250</xdr:colOff>
      <xdr:row>7</xdr:row>
      <xdr:rowOff>179917</xdr:rowOff>
    </xdr:from>
    <xdr:to>
      <xdr:col>10</xdr:col>
      <xdr:colOff>317501</xdr:colOff>
      <xdr:row>11</xdr:row>
      <xdr:rowOff>0</xdr:rowOff>
    </xdr:to>
    <xdr:pic>
      <xdr:nvPicPr>
        <xdr:cNvPr id="43" name="Graphic 42" descr="Database">
          <a:extLst>
            <a:ext uri="{FF2B5EF4-FFF2-40B4-BE49-F238E27FC236}">
              <a16:creationId xmlns:a16="http://schemas.microsoft.com/office/drawing/2014/main" id="{2FA4D1BD-CEFC-D712-E5BE-AAFE8424AA9B}"/>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5873750" y="1513417"/>
          <a:ext cx="582084" cy="582083"/>
        </a:xfrm>
        <a:prstGeom prst="rect">
          <a:avLst/>
        </a:prstGeom>
      </xdr:spPr>
    </xdr:pic>
    <xdr:clientData/>
  </xdr:twoCellAnchor>
  <xdr:twoCellAnchor>
    <xdr:from>
      <xdr:col>10</xdr:col>
      <xdr:colOff>107950</xdr:colOff>
      <xdr:row>6</xdr:row>
      <xdr:rowOff>118537</xdr:rowOff>
    </xdr:from>
    <xdr:to>
      <xdr:col>13</xdr:col>
      <xdr:colOff>21167</xdr:colOff>
      <xdr:row>8</xdr:row>
      <xdr:rowOff>107953</xdr:rowOff>
    </xdr:to>
    <xdr:sp macro="" textlink="">
      <xdr:nvSpPr>
        <xdr:cNvPr id="44" name="Rectangle 43">
          <a:extLst>
            <a:ext uri="{FF2B5EF4-FFF2-40B4-BE49-F238E27FC236}">
              <a16:creationId xmlns:a16="http://schemas.microsoft.com/office/drawing/2014/main" id="{E87F0A96-B700-F095-4CF1-9162BFE9FC6F}"/>
            </a:ext>
          </a:extLst>
        </xdr:cNvPr>
        <xdr:cNvSpPr/>
      </xdr:nvSpPr>
      <xdr:spPr>
        <a:xfrm>
          <a:off x="6246283" y="1261537"/>
          <a:ext cx="1754717" cy="37041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0" i="0" u="none" strike="noStrike">
              <a:solidFill>
                <a:schemeClr val="tx1"/>
              </a:solidFill>
              <a:effectLst/>
              <a:latin typeface="+mn-lt"/>
              <a:ea typeface="+mn-ea"/>
              <a:cs typeface="+mn-cs"/>
            </a:rPr>
            <a:t>NET</a:t>
          </a:r>
          <a:r>
            <a:rPr lang="en-US" sz="1600" b="0" i="0" u="none" strike="noStrike" baseline="0">
              <a:solidFill>
                <a:schemeClr val="tx1"/>
              </a:solidFill>
              <a:effectLst/>
              <a:latin typeface="+mn-lt"/>
              <a:ea typeface="+mn-ea"/>
              <a:cs typeface="+mn-cs"/>
            </a:rPr>
            <a:t> </a:t>
          </a:r>
          <a:r>
            <a:rPr lang="en-US" sz="1400" b="0" i="0" u="none" strike="noStrike" baseline="0">
              <a:solidFill>
                <a:schemeClr val="tx1"/>
              </a:solidFill>
              <a:effectLst/>
              <a:latin typeface="+mn-lt"/>
              <a:ea typeface="+mn-ea"/>
              <a:cs typeface="+mn-cs"/>
            </a:rPr>
            <a:t>PROFIT MARGIN</a:t>
          </a:r>
          <a:endParaRPr lang="en-US" sz="1600" b="0">
            <a:solidFill>
              <a:schemeClr val="tx1"/>
            </a:solidFill>
          </a:endParaRPr>
        </a:p>
      </xdr:txBody>
    </xdr:sp>
    <xdr:clientData/>
  </xdr:twoCellAnchor>
  <xdr:twoCellAnchor>
    <xdr:from>
      <xdr:col>10</xdr:col>
      <xdr:colOff>332316</xdr:colOff>
      <xdr:row>8</xdr:row>
      <xdr:rowOff>67734</xdr:rowOff>
    </xdr:from>
    <xdr:to>
      <xdr:col>11</xdr:col>
      <xdr:colOff>381000</xdr:colOff>
      <xdr:row>10</xdr:row>
      <xdr:rowOff>82550</xdr:rowOff>
    </xdr:to>
    <xdr:sp macro="" textlink="ANALYSIS!F65">
      <xdr:nvSpPr>
        <xdr:cNvPr id="45" name="TextBox 44">
          <a:extLst>
            <a:ext uri="{FF2B5EF4-FFF2-40B4-BE49-F238E27FC236}">
              <a16:creationId xmlns:a16="http://schemas.microsoft.com/office/drawing/2014/main" id="{99718D88-357D-348E-98FF-75BDC43DABBB}"/>
            </a:ext>
          </a:extLst>
        </xdr:cNvPr>
        <xdr:cNvSpPr txBox="1"/>
      </xdr:nvSpPr>
      <xdr:spPr>
        <a:xfrm>
          <a:off x="6470649" y="1591734"/>
          <a:ext cx="662518" cy="3958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63203E5-1328-4AAB-977C-8DB6565C9D7A}" type="TxLink">
            <a:rPr lang="en-US" sz="2000" b="1" i="0" u="none" strike="noStrike">
              <a:solidFill>
                <a:srgbClr val="000000"/>
              </a:solidFill>
              <a:latin typeface="Calibri"/>
              <a:cs typeface="Calibri"/>
            </a:rPr>
            <a:pPr/>
            <a:t>44%</a:t>
          </a:fld>
          <a:endParaRPr lang="en-US" sz="6600" b="1" i="1"/>
        </a:p>
      </xdr:txBody>
    </xdr:sp>
    <xdr:clientData/>
  </xdr:twoCellAnchor>
  <xdr:twoCellAnchor>
    <xdr:from>
      <xdr:col>11</xdr:col>
      <xdr:colOff>397934</xdr:colOff>
      <xdr:row>10</xdr:row>
      <xdr:rowOff>88899</xdr:rowOff>
    </xdr:from>
    <xdr:to>
      <xdr:col>12</xdr:col>
      <xdr:colOff>539749</xdr:colOff>
      <xdr:row>11</xdr:row>
      <xdr:rowOff>175681</xdr:rowOff>
    </xdr:to>
    <xdr:sp macro="" textlink="ANALYSIS!G64">
      <xdr:nvSpPr>
        <xdr:cNvPr id="46" name="TextBox 45">
          <a:extLst>
            <a:ext uri="{FF2B5EF4-FFF2-40B4-BE49-F238E27FC236}">
              <a16:creationId xmlns:a16="http://schemas.microsoft.com/office/drawing/2014/main" id="{CD197DCD-0E80-61F3-AD17-051F14B64CE4}"/>
            </a:ext>
          </a:extLst>
        </xdr:cNvPr>
        <xdr:cNvSpPr txBox="1"/>
      </xdr:nvSpPr>
      <xdr:spPr>
        <a:xfrm>
          <a:off x="7150101" y="1993899"/>
          <a:ext cx="755648" cy="2772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1" i="0" u="none" strike="noStrike">
              <a:solidFill>
                <a:srgbClr val="000000"/>
              </a:solidFill>
              <a:latin typeface="Calibri"/>
              <a:cs typeface="Calibri"/>
            </a:rPr>
            <a:t>| H2: </a:t>
          </a:r>
          <a:fld id="{A3DCC3A2-6E0A-4355-9009-046C9C4EE06C}" type="TxLink">
            <a:rPr lang="en-US" sz="1100" b="1" i="0" u="none" strike="noStrike">
              <a:solidFill>
                <a:srgbClr val="000000"/>
              </a:solidFill>
              <a:latin typeface="Calibri"/>
              <a:cs typeface="Calibri"/>
            </a:rPr>
            <a:pPr algn="l"/>
            <a:t>30%</a:t>
          </a:fld>
          <a:endParaRPr lang="en-US" b="1"/>
        </a:p>
      </xdr:txBody>
    </xdr:sp>
    <xdr:clientData/>
  </xdr:twoCellAnchor>
  <xdr:twoCellAnchor>
    <xdr:from>
      <xdr:col>17</xdr:col>
      <xdr:colOff>529169</xdr:colOff>
      <xdr:row>10</xdr:row>
      <xdr:rowOff>82551</xdr:rowOff>
    </xdr:from>
    <xdr:to>
      <xdr:col>19</xdr:col>
      <xdr:colOff>222251</xdr:colOff>
      <xdr:row>11</xdr:row>
      <xdr:rowOff>169333</xdr:rowOff>
    </xdr:to>
    <xdr:sp macro="" textlink="ANALYSIS!C69">
      <xdr:nvSpPr>
        <xdr:cNvPr id="47" name="TextBox 46">
          <a:extLst>
            <a:ext uri="{FF2B5EF4-FFF2-40B4-BE49-F238E27FC236}">
              <a16:creationId xmlns:a16="http://schemas.microsoft.com/office/drawing/2014/main" id="{9E74C602-1388-638B-DA5E-A1905961B40D}"/>
            </a:ext>
          </a:extLst>
        </xdr:cNvPr>
        <xdr:cNvSpPr txBox="1"/>
      </xdr:nvSpPr>
      <xdr:spPr>
        <a:xfrm>
          <a:off x="10964336" y="1987551"/>
          <a:ext cx="920748" cy="2772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1" i="0" u="none" strike="noStrike">
              <a:solidFill>
                <a:srgbClr val="000000"/>
              </a:solidFill>
              <a:latin typeface="Calibri"/>
              <a:cs typeface="Calibri"/>
            </a:rPr>
            <a:t>| H2:</a:t>
          </a:r>
          <a:fld id="{1181A27A-782A-4EA6-997C-C0E8FEBC06F2}" type="TxLink">
            <a:rPr lang="en-US" sz="1100" b="1" i="0" u="none" strike="noStrike">
              <a:solidFill>
                <a:srgbClr val="000000"/>
              </a:solidFill>
              <a:latin typeface="Calibri"/>
              <a:cs typeface="Calibri"/>
            </a:rPr>
            <a:pPr algn="l"/>
            <a:t> 43,198 </a:t>
          </a:fld>
          <a:endParaRPr lang="en-US" b="1"/>
        </a:p>
      </xdr:txBody>
    </xdr:sp>
    <xdr:clientData/>
  </xdr:twoCellAnchor>
  <xdr:twoCellAnchor>
    <xdr:from>
      <xdr:col>14</xdr:col>
      <xdr:colOff>289984</xdr:colOff>
      <xdr:row>10</xdr:row>
      <xdr:rowOff>65617</xdr:rowOff>
    </xdr:from>
    <xdr:to>
      <xdr:col>16</xdr:col>
      <xdr:colOff>88901</xdr:colOff>
      <xdr:row>11</xdr:row>
      <xdr:rowOff>152399</xdr:rowOff>
    </xdr:to>
    <xdr:sp macro="" textlink="ANALYSIS!G69">
      <xdr:nvSpPr>
        <xdr:cNvPr id="48" name="TextBox 47">
          <a:extLst>
            <a:ext uri="{FF2B5EF4-FFF2-40B4-BE49-F238E27FC236}">
              <a16:creationId xmlns:a16="http://schemas.microsoft.com/office/drawing/2014/main" id="{DABF7171-511E-9ED6-A573-D208A72C1E79}"/>
            </a:ext>
          </a:extLst>
        </xdr:cNvPr>
        <xdr:cNvSpPr txBox="1"/>
      </xdr:nvSpPr>
      <xdr:spPr>
        <a:xfrm>
          <a:off x="8883651" y="1970617"/>
          <a:ext cx="1026583" cy="2772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1" i="0" u="none" strike="noStrike">
              <a:solidFill>
                <a:srgbClr val="000000"/>
              </a:solidFill>
              <a:latin typeface="Calibri"/>
              <a:cs typeface="Calibri"/>
            </a:rPr>
            <a:t>|</a:t>
          </a:r>
          <a:r>
            <a:rPr lang="en-US" sz="1100" b="1" i="0" u="none" strike="noStrike" baseline="0">
              <a:solidFill>
                <a:srgbClr val="000000"/>
              </a:solidFill>
              <a:latin typeface="Calibri"/>
              <a:cs typeface="Calibri"/>
            </a:rPr>
            <a:t> H2: </a:t>
          </a:r>
          <a:fld id="{410AAA2D-3C13-4A5F-9981-721A67272690}" type="TxLink">
            <a:rPr lang="en-US" sz="1100" b="1" i="0" u="none" strike="noStrike">
              <a:solidFill>
                <a:srgbClr val="000000"/>
              </a:solidFill>
              <a:latin typeface="Calibri"/>
              <a:cs typeface="Calibri"/>
            </a:rPr>
            <a:pPr algn="l"/>
            <a:t>₦83.3M</a:t>
          </a:fld>
          <a:endParaRPr lang="en-US" b="1"/>
        </a:p>
      </xdr:txBody>
    </xdr:sp>
    <xdr:clientData/>
  </xdr:twoCellAnchor>
  <xdr:twoCellAnchor>
    <xdr:from>
      <xdr:col>13</xdr:col>
      <xdr:colOff>167220</xdr:colOff>
      <xdr:row>10</xdr:row>
      <xdr:rowOff>69850</xdr:rowOff>
    </xdr:from>
    <xdr:to>
      <xdr:col>14</xdr:col>
      <xdr:colOff>433917</xdr:colOff>
      <xdr:row>11</xdr:row>
      <xdr:rowOff>156632</xdr:rowOff>
    </xdr:to>
    <xdr:sp macro="" textlink="ANALYSIS!G68">
      <xdr:nvSpPr>
        <xdr:cNvPr id="49" name="TextBox 48">
          <a:extLst>
            <a:ext uri="{FF2B5EF4-FFF2-40B4-BE49-F238E27FC236}">
              <a16:creationId xmlns:a16="http://schemas.microsoft.com/office/drawing/2014/main" id="{492B95BD-2040-2807-A23F-AC5974454D17}"/>
            </a:ext>
          </a:extLst>
        </xdr:cNvPr>
        <xdr:cNvSpPr txBox="1"/>
      </xdr:nvSpPr>
      <xdr:spPr>
        <a:xfrm>
          <a:off x="8147053" y="1974850"/>
          <a:ext cx="880531" cy="2772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1" i="0" u="none" strike="noStrike">
              <a:solidFill>
                <a:srgbClr val="000000"/>
              </a:solidFill>
              <a:latin typeface="Calibri"/>
              <a:cs typeface="Calibri"/>
            </a:rPr>
            <a:t>H1: </a:t>
          </a:r>
          <a:fld id="{F7DF5FEA-544C-4068-A24E-99D0DC929127}" type="TxLink">
            <a:rPr lang="en-US" sz="1100" b="1" i="0" u="none" strike="noStrike">
              <a:solidFill>
                <a:srgbClr val="000000"/>
              </a:solidFill>
              <a:latin typeface="Calibri"/>
              <a:cs typeface="Calibri"/>
            </a:rPr>
            <a:pPr algn="l"/>
            <a:t>₦94.5M</a:t>
          </a:fld>
          <a:endParaRPr lang="en-US" b="1"/>
        </a:p>
      </xdr:txBody>
    </xdr:sp>
    <xdr:clientData/>
  </xdr:twoCellAnchor>
  <xdr:twoCellAnchor editAs="oneCell">
    <xdr:from>
      <xdr:col>13</xdr:col>
      <xdr:colOff>211667</xdr:colOff>
      <xdr:row>7</xdr:row>
      <xdr:rowOff>148166</xdr:rowOff>
    </xdr:from>
    <xdr:to>
      <xdr:col>14</xdr:col>
      <xdr:colOff>84666</xdr:colOff>
      <xdr:row>10</xdr:row>
      <xdr:rowOff>190499</xdr:rowOff>
    </xdr:to>
    <xdr:pic>
      <xdr:nvPicPr>
        <xdr:cNvPr id="51" name="Graphic 50" descr="Barcode">
          <a:extLst>
            <a:ext uri="{FF2B5EF4-FFF2-40B4-BE49-F238E27FC236}">
              <a16:creationId xmlns:a16="http://schemas.microsoft.com/office/drawing/2014/main" id="{982B51AF-F06F-AF6E-58C2-81CECC9A30DA}"/>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8191500" y="1481666"/>
          <a:ext cx="486833" cy="613833"/>
        </a:xfrm>
        <a:prstGeom prst="rect">
          <a:avLst/>
        </a:prstGeom>
      </xdr:spPr>
    </xdr:pic>
    <xdr:clientData/>
  </xdr:twoCellAnchor>
  <xdr:twoCellAnchor>
    <xdr:from>
      <xdr:col>14</xdr:col>
      <xdr:colOff>101600</xdr:colOff>
      <xdr:row>6</xdr:row>
      <xdr:rowOff>154521</xdr:rowOff>
    </xdr:from>
    <xdr:to>
      <xdr:col>16</xdr:col>
      <xdr:colOff>254001</xdr:colOff>
      <xdr:row>8</xdr:row>
      <xdr:rowOff>143937</xdr:rowOff>
    </xdr:to>
    <xdr:sp macro="" textlink="">
      <xdr:nvSpPr>
        <xdr:cNvPr id="52" name="Rectangle 51">
          <a:extLst>
            <a:ext uri="{FF2B5EF4-FFF2-40B4-BE49-F238E27FC236}">
              <a16:creationId xmlns:a16="http://schemas.microsoft.com/office/drawing/2014/main" id="{64793471-A7D9-AAB8-94AF-9F286DACCEA5}"/>
            </a:ext>
          </a:extLst>
        </xdr:cNvPr>
        <xdr:cNvSpPr/>
      </xdr:nvSpPr>
      <xdr:spPr>
        <a:xfrm>
          <a:off x="8695267" y="1297521"/>
          <a:ext cx="1380067" cy="37041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0" i="0" u="none" strike="noStrike">
              <a:solidFill>
                <a:schemeClr val="tx1"/>
              </a:solidFill>
              <a:effectLst/>
              <a:latin typeface="+mn-lt"/>
              <a:ea typeface="+mn-ea"/>
              <a:cs typeface="+mn-cs"/>
            </a:rPr>
            <a:t>PRODUCT</a:t>
          </a:r>
          <a:r>
            <a:rPr lang="en-US" sz="1400" b="0" i="0" u="none" strike="noStrike" baseline="0">
              <a:solidFill>
                <a:schemeClr val="tx1"/>
              </a:solidFill>
              <a:effectLst/>
              <a:latin typeface="+mn-lt"/>
              <a:ea typeface="+mn-ea"/>
              <a:cs typeface="+mn-cs"/>
            </a:rPr>
            <a:t> COST</a:t>
          </a:r>
          <a:endParaRPr lang="en-US" sz="1600" b="0">
            <a:solidFill>
              <a:schemeClr val="tx1"/>
            </a:solidFill>
          </a:endParaRPr>
        </a:p>
      </xdr:txBody>
    </xdr:sp>
    <xdr:clientData/>
  </xdr:twoCellAnchor>
  <xdr:twoCellAnchor>
    <xdr:from>
      <xdr:col>17</xdr:col>
      <xdr:colOff>423334</xdr:colOff>
      <xdr:row>6</xdr:row>
      <xdr:rowOff>148171</xdr:rowOff>
    </xdr:from>
    <xdr:to>
      <xdr:col>19</xdr:col>
      <xdr:colOff>575735</xdr:colOff>
      <xdr:row>8</xdr:row>
      <xdr:rowOff>137587</xdr:rowOff>
    </xdr:to>
    <xdr:sp macro="" textlink="">
      <xdr:nvSpPr>
        <xdr:cNvPr id="53" name="Rectangle 52">
          <a:extLst>
            <a:ext uri="{FF2B5EF4-FFF2-40B4-BE49-F238E27FC236}">
              <a16:creationId xmlns:a16="http://schemas.microsoft.com/office/drawing/2014/main" id="{38743E70-6B13-09F7-5B18-0996CE56406B}"/>
            </a:ext>
          </a:extLst>
        </xdr:cNvPr>
        <xdr:cNvSpPr/>
      </xdr:nvSpPr>
      <xdr:spPr>
        <a:xfrm>
          <a:off x="10858501" y="1291171"/>
          <a:ext cx="1380067" cy="37041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0" i="0" u="none" strike="noStrike">
              <a:solidFill>
                <a:schemeClr val="tx1"/>
              </a:solidFill>
              <a:effectLst/>
              <a:latin typeface="+mn-lt"/>
              <a:ea typeface="+mn-ea"/>
              <a:cs typeface="+mn-cs"/>
            </a:rPr>
            <a:t>QUANTITY</a:t>
          </a:r>
          <a:r>
            <a:rPr lang="en-US" sz="1400" b="0" i="0" u="none" strike="noStrike" baseline="0">
              <a:solidFill>
                <a:schemeClr val="tx1"/>
              </a:solidFill>
              <a:effectLst/>
              <a:latin typeface="+mn-lt"/>
              <a:ea typeface="+mn-ea"/>
              <a:cs typeface="+mn-cs"/>
            </a:rPr>
            <a:t> SOLD</a:t>
          </a:r>
          <a:endParaRPr lang="en-US" sz="1600" b="0">
            <a:solidFill>
              <a:schemeClr val="tx1"/>
            </a:solidFill>
          </a:endParaRPr>
        </a:p>
      </xdr:txBody>
    </xdr:sp>
    <xdr:clientData/>
  </xdr:twoCellAnchor>
  <xdr:twoCellAnchor editAs="oneCell">
    <xdr:from>
      <xdr:col>16</xdr:col>
      <xdr:colOff>338667</xdr:colOff>
      <xdr:row>7</xdr:row>
      <xdr:rowOff>31751</xdr:rowOff>
    </xdr:from>
    <xdr:to>
      <xdr:col>17</xdr:col>
      <xdr:colOff>402166</xdr:colOff>
      <xdr:row>10</xdr:row>
      <xdr:rowOff>179918</xdr:rowOff>
    </xdr:to>
    <xdr:pic>
      <xdr:nvPicPr>
        <xdr:cNvPr id="55" name="Graphic 54" descr="Box">
          <a:extLst>
            <a:ext uri="{FF2B5EF4-FFF2-40B4-BE49-F238E27FC236}">
              <a16:creationId xmlns:a16="http://schemas.microsoft.com/office/drawing/2014/main" id="{97E6B3DA-01AF-1B0D-96A2-A1F67E710558}"/>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0160000" y="1365251"/>
          <a:ext cx="677333" cy="719667"/>
        </a:xfrm>
        <a:prstGeom prst="rect">
          <a:avLst/>
        </a:prstGeom>
      </xdr:spPr>
    </xdr:pic>
    <xdr:clientData/>
  </xdr:twoCellAnchor>
  <xdr:twoCellAnchor>
    <xdr:from>
      <xdr:col>14</xdr:col>
      <xdr:colOff>114298</xdr:colOff>
      <xdr:row>8</xdr:row>
      <xdr:rowOff>29634</xdr:rowOff>
    </xdr:from>
    <xdr:to>
      <xdr:col>16</xdr:col>
      <xdr:colOff>158750</xdr:colOff>
      <xdr:row>10</xdr:row>
      <xdr:rowOff>44450</xdr:rowOff>
    </xdr:to>
    <xdr:sp macro="" textlink="ANALYSIS!F70">
      <xdr:nvSpPr>
        <xdr:cNvPr id="56" name="TextBox 55">
          <a:extLst>
            <a:ext uri="{FF2B5EF4-FFF2-40B4-BE49-F238E27FC236}">
              <a16:creationId xmlns:a16="http://schemas.microsoft.com/office/drawing/2014/main" id="{7F4C46B7-1A6B-EEC7-A9ED-C656D6687D2B}"/>
            </a:ext>
          </a:extLst>
        </xdr:cNvPr>
        <xdr:cNvSpPr txBox="1"/>
      </xdr:nvSpPr>
      <xdr:spPr>
        <a:xfrm>
          <a:off x="8707965" y="1553634"/>
          <a:ext cx="1272118" cy="3958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D160A61-D289-4463-92AC-9A0F4B4638F8}" type="TxLink">
            <a:rPr lang="en-US" sz="2000" b="1" i="0" u="none" strike="noStrike">
              <a:solidFill>
                <a:srgbClr val="000000"/>
              </a:solidFill>
              <a:latin typeface="Calibri"/>
              <a:cs typeface="Calibri"/>
            </a:rPr>
            <a:pPr/>
            <a:t>₦177.8M</a:t>
          </a:fld>
          <a:endParaRPr lang="en-US" sz="11500" b="1" i="1"/>
        </a:p>
      </xdr:txBody>
    </xdr:sp>
    <xdr:clientData/>
  </xdr:twoCellAnchor>
  <xdr:twoCellAnchor>
    <xdr:from>
      <xdr:col>16</xdr:col>
      <xdr:colOff>491070</xdr:colOff>
      <xdr:row>10</xdr:row>
      <xdr:rowOff>76200</xdr:rowOff>
    </xdr:from>
    <xdr:to>
      <xdr:col>18</xdr:col>
      <xdr:colOff>137584</xdr:colOff>
      <xdr:row>11</xdr:row>
      <xdr:rowOff>162982</xdr:rowOff>
    </xdr:to>
    <xdr:sp macro="" textlink="ANALYSIS!C68">
      <xdr:nvSpPr>
        <xdr:cNvPr id="57" name="TextBox 56">
          <a:extLst>
            <a:ext uri="{FF2B5EF4-FFF2-40B4-BE49-F238E27FC236}">
              <a16:creationId xmlns:a16="http://schemas.microsoft.com/office/drawing/2014/main" id="{2C040A66-9836-F3A2-CD4A-4CFB8A4F0A7B}"/>
            </a:ext>
          </a:extLst>
        </xdr:cNvPr>
        <xdr:cNvSpPr txBox="1"/>
      </xdr:nvSpPr>
      <xdr:spPr>
        <a:xfrm>
          <a:off x="10312403" y="1981200"/>
          <a:ext cx="874181" cy="2772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1" i="0" u="none" strike="noStrike">
              <a:solidFill>
                <a:srgbClr val="000000"/>
              </a:solidFill>
              <a:latin typeface="Calibri"/>
              <a:cs typeface="Calibri"/>
            </a:rPr>
            <a:t>H1:</a:t>
          </a:r>
          <a:fld id="{8597C303-D993-44F9-9EFA-26CA6928F446}" type="TxLink">
            <a:rPr lang="en-US" sz="1100" b="1" i="0" u="none" strike="noStrike">
              <a:solidFill>
                <a:srgbClr val="000000"/>
              </a:solidFill>
              <a:latin typeface="Calibri"/>
              <a:cs typeface="Calibri"/>
            </a:rPr>
            <a:pPr algn="l"/>
            <a:t> 54,811 </a:t>
          </a:fld>
          <a:endParaRPr lang="en-US" b="1"/>
        </a:p>
      </xdr:txBody>
    </xdr:sp>
    <xdr:clientData/>
  </xdr:twoCellAnchor>
  <xdr:twoCellAnchor>
    <xdr:from>
      <xdr:col>17</xdr:col>
      <xdr:colOff>393698</xdr:colOff>
      <xdr:row>7</xdr:row>
      <xdr:rowOff>182034</xdr:rowOff>
    </xdr:from>
    <xdr:to>
      <xdr:col>19</xdr:col>
      <xdr:colOff>179917</xdr:colOff>
      <xdr:row>10</xdr:row>
      <xdr:rowOff>6350</xdr:rowOff>
    </xdr:to>
    <xdr:sp macro="" textlink="ANALYSIS!B70">
      <xdr:nvSpPr>
        <xdr:cNvPr id="58" name="TextBox 57">
          <a:extLst>
            <a:ext uri="{FF2B5EF4-FFF2-40B4-BE49-F238E27FC236}">
              <a16:creationId xmlns:a16="http://schemas.microsoft.com/office/drawing/2014/main" id="{AC3E0369-486D-E551-076F-6257E93E6725}"/>
            </a:ext>
          </a:extLst>
        </xdr:cNvPr>
        <xdr:cNvSpPr txBox="1"/>
      </xdr:nvSpPr>
      <xdr:spPr>
        <a:xfrm>
          <a:off x="10828865" y="1515534"/>
          <a:ext cx="1013885" cy="3958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8924BA2-3DB0-4C7A-84BB-520FBC6D7604}" type="TxLink">
            <a:rPr lang="en-US" sz="2000" b="1" i="0" u="none" strike="noStrike">
              <a:solidFill>
                <a:srgbClr val="000000"/>
              </a:solidFill>
              <a:latin typeface="Calibri"/>
              <a:cs typeface="Calibri"/>
            </a:rPr>
            <a:pPr/>
            <a:t> 98,009 </a:t>
          </a:fld>
          <a:endParaRPr lang="en-US" sz="28700" b="1" i="1"/>
        </a:p>
      </xdr:txBody>
    </xdr:sp>
    <xdr:clientData/>
  </xdr:twoCellAnchor>
  <xdr:twoCellAnchor>
    <xdr:from>
      <xdr:col>0</xdr:col>
      <xdr:colOff>0</xdr:colOff>
      <xdr:row>14</xdr:row>
      <xdr:rowOff>15344</xdr:rowOff>
    </xdr:from>
    <xdr:to>
      <xdr:col>10</xdr:col>
      <xdr:colOff>582084</xdr:colOff>
      <xdr:row>27</xdr:row>
      <xdr:rowOff>148166</xdr:rowOff>
    </xdr:to>
    <xdr:graphicFrame macro="">
      <xdr:nvGraphicFramePr>
        <xdr:cNvPr id="59" name="Chart 3">
          <a:extLst>
            <a:ext uri="{FF2B5EF4-FFF2-40B4-BE49-F238E27FC236}">
              <a16:creationId xmlns:a16="http://schemas.microsoft.com/office/drawing/2014/main" id="{8F39EC25-C843-E0C4-40DB-2B472A12FE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xdr:col>
      <xdr:colOff>370417</xdr:colOff>
      <xdr:row>15</xdr:row>
      <xdr:rowOff>84666</xdr:rowOff>
    </xdr:from>
    <xdr:to>
      <xdr:col>8</xdr:col>
      <xdr:colOff>211667</xdr:colOff>
      <xdr:row>17</xdr:row>
      <xdr:rowOff>116415</xdr:rowOff>
    </xdr:to>
    <xdr:sp macro="" textlink="">
      <xdr:nvSpPr>
        <xdr:cNvPr id="60" name="Rectangle 59">
          <a:extLst>
            <a:ext uri="{FF2B5EF4-FFF2-40B4-BE49-F238E27FC236}">
              <a16:creationId xmlns:a16="http://schemas.microsoft.com/office/drawing/2014/main" id="{D9CEBBC3-DC0B-0376-3D32-AD1FC9803A03}"/>
            </a:ext>
          </a:extLst>
        </xdr:cNvPr>
        <xdr:cNvSpPr/>
      </xdr:nvSpPr>
      <xdr:spPr>
        <a:xfrm>
          <a:off x="1598084" y="2942166"/>
          <a:ext cx="3524250" cy="41274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solidFill>
                <a:schemeClr val="tx1"/>
              </a:solidFill>
            </a:rPr>
            <a:t>NET SALE AND NET PROFIT TREND BY MONTH</a:t>
          </a:r>
        </a:p>
      </xdr:txBody>
    </xdr:sp>
    <xdr:clientData/>
  </xdr:twoCellAnchor>
  <xdr:twoCellAnchor>
    <xdr:from>
      <xdr:col>11</xdr:col>
      <xdr:colOff>104243</xdr:colOff>
      <xdr:row>14</xdr:row>
      <xdr:rowOff>22754</xdr:rowOff>
    </xdr:from>
    <xdr:to>
      <xdr:col>20</xdr:col>
      <xdr:colOff>0</xdr:colOff>
      <xdr:row>27</xdr:row>
      <xdr:rowOff>137583</xdr:rowOff>
    </xdr:to>
    <xdr:graphicFrame macro="">
      <xdr:nvGraphicFramePr>
        <xdr:cNvPr id="61" name="Chart 4">
          <a:extLst>
            <a:ext uri="{FF2B5EF4-FFF2-40B4-BE49-F238E27FC236}">
              <a16:creationId xmlns:a16="http://schemas.microsoft.com/office/drawing/2014/main" id="{6C252C83-A241-678A-3FBB-D7A3CB90BC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12</xdr:col>
      <xdr:colOff>205316</xdr:colOff>
      <xdr:row>14</xdr:row>
      <xdr:rowOff>35982</xdr:rowOff>
    </xdr:from>
    <xdr:to>
      <xdr:col>18</xdr:col>
      <xdr:colOff>46566</xdr:colOff>
      <xdr:row>16</xdr:row>
      <xdr:rowOff>67731</xdr:rowOff>
    </xdr:to>
    <xdr:sp macro="" textlink="">
      <xdr:nvSpPr>
        <xdr:cNvPr id="62" name="Rectangle 61">
          <a:extLst>
            <a:ext uri="{FF2B5EF4-FFF2-40B4-BE49-F238E27FC236}">
              <a16:creationId xmlns:a16="http://schemas.microsoft.com/office/drawing/2014/main" id="{7E6DDC32-A2BB-9E25-E3BD-ACBDF7881854}"/>
            </a:ext>
          </a:extLst>
        </xdr:cNvPr>
        <xdr:cNvSpPr/>
      </xdr:nvSpPr>
      <xdr:spPr>
        <a:xfrm>
          <a:off x="7571316" y="2702982"/>
          <a:ext cx="3524250" cy="41274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solidFill>
                <a:schemeClr val="tx1"/>
              </a:solidFill>
            </a:rPr>
            <a:t>NET PROFIT MARGIN</a:t>
          </a:r>
          <a:r>
            <a:rPr lang="en-US" sz="1400" baseline="0">
              <a:solidFill>
                <a:schemeClr val="tx1"/>
              </a:solidFill>
            </a:rPr>
            <a:t> (%)</a:t>
          </a:r>
          <a:r>
            <a:rPr lang="en-US" sz="1400">
              <a:solidFill>
                <a:schemeClr val="tx1"/>
              </a:solidFill>
            </a:rPr>
            <a:t> BY MONTH</a:t>
          </a:r>
        </a:p>
      </xdr:txBody>
    </xdr:sp>
    <xdr:clientData/>
  </xdr:twoCellAnchor>
  <xdr:twoCellAnchor>
    <xdr:from>
      <xdr:col>0</xdr:col>
      <xdr:colOff>0</xdr:colOff>
      <xdr:row>46</xdr:row>
      <xdr:rowOff>12170</xdr:rowOff>
    </xdr:from>
    <xdr:to>
      <xdr:col>20</xdr:col>
      <xdr:colOff>95249</xdr:colOff>
      <xdr:row>59</xdr:row>
      <xdr:rowOff>31750</xdr:rowOff>
    </xdr:to>
    <xdr:graphicFrame macro="">
      <xdr:nvGraphicFramePr>
        <xdr:cNvPr id="63" name="Chart 6">
          <a:extLst>
            <a:ext uri="{FF2B5EF4-FFF2-40B4-BE49-F238E27FC236}">
              <a16:creationId xmlns:a16="http://schemas.microsoft.com/office/drawing/2014/main" id="{E0F6CA1A-E75B-61B5-9CB8-F5A77BC860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7</xdr:col>
      <xdr:colOff>452968</xdr:colOff>
      <xdr:row>47</xdr:row>
      <xdr:rowOff>135464</xdr:rowOff>
    </xdr:from>
    <xdr:to>
      <xdr:col>13</xdr:col>
      <xdr:colOff>294218</xdr:colOff>
      <xdr:row>49</xdr:row>
      <xdr:rowOff>167213</xdr:rowOff>
    </xdr:to>
    <xdr:sp macro="" textlink="">
      <xdr:nvSpPr>
        <xdr:cNvPr id="64" name="Rectangle 63">
          <a:extLst>
            <a:ext uri="{FF2B5EF4-FFF2-40B4-BE49-F238E27FC236}">
              <a16:creationId xmlns:a16="http://schemas.microsoft.com/office/drawing/2014/main" id="{1F253F0A-B8D1-C078-E389-F74BD5FD1AF5}"/>
            </a:ext>
          </a:extLst>
        </xdr:cNvPr>
        <xdr:cNvSpPr/>
      </xdr:nvSpPr>
      <xdr:spPr>
        <a:xfrm>
          <a:off x="4749801" y="9088964"/>
          <a:ext cx="3524250" cy="41274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solidFill>
                <a:schemeClr val="tx1"/>
              </a:solidFill>
            </a:rPr>
            <a:t>QUANTITY</a:t>
          </a:r>
          <a:r>
            <a:rPr lang="en-US" sz="1400" baseline="0">
              <a:solidFill>
                <a:schemeClr val="tx1"/>
              </a:solidFill>
            </a:rPr>
            <a:t> SOLD VS. NET PROFIT</a:t>
          </a:r>
          <a:r>
            <a:rPr lang="en-US" sz="1400">
              <a:solidFill>
                <a:schemeClr val="tx1"/>
              </a:solidFill>
            </a:rPr>
            <a:t> BY MONTH</a:t>
          </a:r>
        </a:p>
      </xdr:txBody>
    </xdr:sp>
    <xdr:clientData/>
  </xdr:twoCellAnchor>
  <xdr:twoCellAnchor editAs="oneCell">
    <xdr:from>
      <xdr:col>14</xdr:col>
      <xdr:colOff>232833</xdr:colOff>
      <xdr:row>0</xdr:row>
      <xdr:rowOff>95249</xdr:rowOff>
    </xdr:from>
    <xdr:to>
      <xdr:col>19</xdr:col>
      <xdr:colOff>592666</xdr:colOff>
      <xdr:row>5</xdr:row>
      <xdr:rowOff>126999</xdr:rowOff>
    </xdr:to>
    <mc:AlternateContent xmlns:mc="http://schemas.openxmlformats.org/markup-compatibility/2006" xmlns:a14="http://schemas.microsoft.com/office/drawing/2010/main">
      <mc:Choice Requires="a14">
        <xdr:graphicFrame macro="">
          <xdr:nvGraphicFramePr>
            <xdr:cNvPr id="67" name="Category">
              <a:extLst>
                <a:ext uri="{FF2B5EF4-FFF2-40B4-BE49-F238E27FC236}">
                  <a16:creationId xmlns:a16="http://schemas.microsoft.com/office/drawing/2014/main" id="{C30D0EC6-3ACD-4BD5-A041-05E7E054827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826500" y="95249"/>
              <a:ext cx="3428999" cy="984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52916</xdr:colOff>
      <xdr:row>0</xdr:row>
      <xdr:rowOff>52916</xdr:rowOff>
    </xdr:from>
    <xdr:to>
      <xdr:col>19</xdr:col>
      <xdr:colOff>465667</xdr:colOff>
      <xdr:row>2</xdr:row>
      <xdr:rowOff>31749</xdr:rowOff>
    </xdr:to>
    <xdr:pic>
      <xdr:nvPicPr>
        <xdr:cNvPr id="69" name="Graphic 68" descr="Mathematics">
          <a:extLst>
            <a:ext uri="{FF2B5EF4-FFF2-40B4-BE49-F238E27FC236}">
              <a16:creationId xmlns:a16="http://schemas.microsoft.com/office/drawing/2014/main" id="{0921006F-9488-1507-918F-03F39BED54F4}"/>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9874249" y="52916"/>
          <a:ext cx="2254251" cy="359833"/>
        </a:xfrm>
        <a:prstGeom prst="rect">
          <a:avLst/>
        </a:prstGeom>
      </xdr:spPr>
    </xdr:pic>
    <xdr:clientData/>
  </xdr:twoCellAnchor>
  <xdr:twoCellAnchor>
    <xdr:from>
      <xdr:col>0</xdr:col>
      <xdr:colOff>0</xdr:colOff>
      <xdr:row>28</xdr:row>
      <xdr:rowOff>129646</xdr:rowOff>
    </xdr:from>
    <xdr:to>
      <xdr:col>10</xdr:col>
      <xdr:colOff>571499</xdr:colOff>
      <xdr:row>45</xdr:row>
      <xdr:rowOff>74083</xdr:rowOff>
    </xdr:to>
    <xdr:graphicFrame macro="">
      <xdr:nvGraphicFramePr>
        <xdr:cNvPr id="3" name="Chart 1">
          <a:extLst>
            <a:ext uri="{FF2B5EF4-FFF2-40B4-BE49-F238E27FC236}">
              <a16:creationId xmlns:a16="http://schemas.microsoft.com/office/drawing/2014/main" id="{CAAFA88E-2C08-A2C8-9964-88ED749FBC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4</xdr:col>
      <xdr:colOff>95251</xdr:colOff>
      <xdr:row>28</xdr:row>
      <xdr:rowOff>127000</xdr:rowOff>
    </xdr:from>
    <xdr:to>
      <xdr:col>6</xdr:col>
      <xdr:colOff>105833</xdr:colOff>
      <xdr:row>30</xdr:row>
      <xdr:rowOff>158750</xdr:rowOff>
    </xdr:to>
    <xdr:sp macro="" textlink="">
      <xdr:nvSpPr>
        <xdr:cNvPr id="31" name="Rectangle 30">
          <a:extLst>
            <a:ext uri="{FF2B5EF4-FFF2-40B4-BE49-F238E27FC236}">
              <a16:creationId xmlns:a16="http://schemas.microsoft.com/office/drawing/2014/main" id="{93C56790-6BE8-3725-32F1-6094201F70BF}"/>
            </a:ext>
          </a:extLst>
        </xdr:cNvPr>
        <xdr:cNvSpPr/>
      </xdr:nvSpPr>
      <xdr:spPr>
        <a:xfrm>
          <a:off x="2550584" y="5461000"/>
          <a:ext cx="1238249" cy="4127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a:solidFill>
                <a:schemeClr val="tx1"/>
              </a:solidFill>
            </a:rPr>
            <a:t>H1</a:t>
          </a:r>
          <a:r>
            <a:rPr lang="en-US" sz="1800" baseline="0">
              <a:solidFill>
                <a:schemeClr val="tx1"/>
              </a:solidFill>
            </a:rPr>
            <a:t> VS. H2</a:t>
          </a:r>
          <a:endParaRPr lang="en-US" sz="1800">
            <a:solidFill>
              <a:schemeClr val="tx1"/>
            </a:solidFill>
          </a:endParaRPr>
        </a:p>
      </xdr:txBody>
    </xdr:sp>
    <xdr:clientData/>
  </xdr:twoCellAnchor>
  <xdr:twoCellAnchor>
    <xdr:from>
      <xdr:col>11</xdr:col>
      <xdr:colOff>133877</xdr:colOff>
      <xdr:row>28</xdr:row>
      <xdr:rowOff>101069</xdr:rowOff>
    </xdr:from>
    <xdr:to>
      <xdr:col>20</xdr:col>
      <xdr:colOff>74082</xdr:colOff>
      <xdr:row>45</xdr:row>
      <xdr:rowOff>52916</xdr:rowOff>
    </xdr:to>
    <xdr:graphicFrame macro="">
      <xdr:nvGraphicFramePr>
        <xdr:cNvPr id="34" name="Chart 2">
          <a:extLst>
            <a:ext uri="{FF2B5EF4-FFF2-40B4-BE49-F238E27FC236}">
              <a16:creationId xmlns:a16="http://schemas.microsoft.com/office/drawing/2014/main" id="{5C805862-AE50-F8CA-C462-8158D0884E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15</xdr:col>
      <xdr:colOff>268817</xdr:colOff>
      <xdr:row>28</xdr:row>
      <xdr:rowOff>57150</xdr:rowOff>
    </xdr:from>
    <xdr:to>
      <xdr:col>19</xdr:col>
      <xdr:colOff>137584</xdr:colOff>
      <xdr:row>30</xdr:row>
      <xdr:rowOff>88899</xdr:rowOff>
    </xdr:to>
    <xdr:sp macro="" textlink="">
      <xdr:nvSpPr>
        <xdr:cNvPr id="36" name="Rectangle 35">
          <a:extLst>
            <a:ext uri="{FF2B5EF4-FFF2-40B4-BE49-F238E27FC236}">
              <a16:creationId xmlns:a16="http://schemas.microsoft.com/office/drawing/2014/main" id="{E9B97FD4-D79A-D296-92BB-3FE0E431DA46}"/>
            </a:ext>
          </a:extLst>
        </xdr:cNvPr>
        <xdr:cNvSpPr/>
      </xdr:nvSpPr>
      <xdr:spPr>
        <a:xfrm>
          <a:off x="9476317" y="5391150"/>
          <a:ext cx="2324100" cy="41274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solidFill>
                <a:schemeClr val="tx1"/>
              </a:solidFill>
            </a:rPr>
            <a:t>CATEGORY</a:t>
          </a:r>
          <a:r>
            <a:rPr lang="en-US" sz="1400" baseline="0">
              <a:solidFill>
                <a:schemeClr val="tx1"/>
              </a:solidFill>
            </a:rPr>
            <a:t> PERFORMANCE</a:t>
          </a:r>
          <a:endParaRPr lang="en-US" sz="1400">
            <a:solidFill>
              <a:schemeClr val="tx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IMASHAUN SULAIMON" refreshedDate="46244.695734259258" createdVersion="8" refreshedVersion="8" minRefreshableVersion="3" recordCount="1440" xr:uid="{B5C3AAF8-2ECB-47CD-9E19-FC010FCF6E68}">
  <cacheSource type="worksheet">
    <worksheetSource name="Table1"/>
  </cacheSource>
  <cacheFields count="26">
    <cacheField name="Date" numFmtId="164">
      <sharedItems containsSemiMixedTypes="0" containsNonDate="0" containsDate="1" containsString="0" minDate="2025-01-01T00:00:00" maxDate="2026-01-01T00:00:00" count="356">
        <d v="2025-01-01T00:00:00"/>
        <d v="2025-01-02T00:00:00"/>
        <d v="2025-01-03T00:00:00"/>
        <d v="2025-01-04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9T00:00:00"/>
        <d v="2025-02-20T00:00:00"/>
        <d v="2025-02-21T00:00:00"/>
        <d v="2025-02-22T00:00:00"/>
        <d v="2025-02-23T00:00:00"/>
        <d v="2025-02-24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3T00:00:00"/>
        <d v="2025-04-24T00:00:00"/>
        <d v="2025-04-25T00:00:00"/>
        <d v="2025-04-26T00:00:00"/>
        <d v="2025-04-27T00:00:00"/>
        <d v="2025-04-28T00:00:00"/>
        <d v="2025-04-29T00:00:00"/>
        <d v="2025-04-30T00:00:00"/>
        <d v="2025-05-01T00:00:00"/>
        <d v="2025-05-02T00:00:00"/>
        <d v="2025-05-03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7T00:00:00"/>
        <d v="2025-07-28T00:00:00"/>
        <d v="2025-07-29T00:00:00"/>
        <d v="2025-07-30T00:00:00"/>
        <d v="2025-07-31T00:00:00"/>
        <d v="2025-08-01T00:00:00"/>
        <d v="2025-08-02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8T00:00:00"/>
        <d v="2025-12-29T00:00:00"/>
        <d v="2025-12-30T00:00:00"/>
        <d v="2025-12-31T00:00:00"/>
      </sharedItems>
    </cacheField>
    <cacheField name="Invoice_ID" numFmtId="0">
      <sharedItems/>
    </cacheField>
    <cacheField name="Customer" numFmtId="0">
      <sharedItems count="12">
        <s v="Supermart"/>
        <s v="Justrite"/>
        <s v="CityMart"/>
        <s v="Green Basket"/>
        <s v="Market Square"/>
        <s v="Prime Retailers"/>
        <s v="Lagos Wholesale Mart"/>
        <s v="Ikeja Retail Hub"/>
        <s v="Spar"/>
        <s v="ValuePoint"/>
        <s v="Abuja Mega Store"/>
        <s v="Shoprite"/>
      </sharedItems>
    </cacheField>
    <cacheField name="Product" numFmtId="0">
      <sharedItems count="12">
        <s v="Premium Malt"/>
        <s v="Standard Tissue"/>
        <s v="Basic Detergent 1kg"/>
        <s v="Standard Biscuit"/>
        <s v="Premium Bath Soap"/>
        <s v="Premium Biscuit"/>
        <s v="Bottled Water"/>
        <s v="Standard Cooking Oil 1L"/>
        <s v="Premium Detergent 1kg"/>
        <s v="Basic Bath Soap"/>
        <s v="Premium Cooking Oil 1L"/>
        <s v="Premium Tissue"/>
      </sharedItems>
    </cacheField>
    <cacheField name="Category" numFmtId="0">
      <sharedItems count="6">
        <s v="Beverages"/>
        <s v="Paper Products"/>
        <s v="Home Care"/>
        <s v="Biscuits"/>
        <s v="Personal Care"/>
        <s v="Cooking Oil"/>
      </sharedItems>
    </cacheField>
    <cacheField name="Region" numFmtId="0">
      <sharedItems/>
    </cacheField>
    <cacheField name="Salesperson" numFmtId="0">
      <sharedItems/>
    </cacheField>
    <cacheField name="Sales_Channel" numFmtId="0">
      <sharedItems/>
    </cacheField>
    <cacheField name="Quantity" numFmtId="0">
      <sharedItems containsSemiMixedTypes="0" containsString="0" containsNumber="1" minValue="3.9207208715065631" maxValue="184"/>
    </cacheField>
    <cacheField name="Unit_Price" numFmtId="4">
      <sharedItems containsSemiMixedTypes="0" containsString="0" containsNumber="1" minValue="336.29" maxValue="7903.25"/>
    </cacheField>
    <cacheField name="Gross_Sales" numFmtId="4">
      <sharedItems containsSemiMixedTypes="0" containsString="0" containsNumber="1" minValue="8392.2385903932736" maxValue="686266"/>
    </cacheField>
    <cacheField name="Discount" numFmtId="4">
      <sharedItems containsSemiMixedTypes="0" containsString="0" containsNumber="1" minValue="307.18" maxValue="55353.11"/>
    </cacheField>
    <cacheField name="Net_Sales" numFmtId="4">
      <sharedItems containsSemiMixedTypes="0" containsString="0" containsNumber="1" minValue="8085.0585903932733" maxValue="633859.03" count="1440">
        <n v="90065.98000000001"/>
        <n v="344695.36999999994"/>
        <n v="309774.36000000004"/>
        <n v="93264.86"/>
        <n v="46768.4"/>
        <n v="263731.24"/>
        <n v="279743.27"/>
        <n v="236416.87"/>
        <n v="36699.919999999998"/>
        <n v="34240.160000000003"/>
        <n v="102523.16"/>
        <n v="270684.5"/>
        <n v="76043.530000000013"/>
        <n v="25726.240000000002"/>
        <n v="483972.06"/>
        <n v="181010.00000000003"/>
        <n v="127740.67000000001"/>
        <n v="326092.99999999994"/>
        <n v="217137.32000000004"/>
        <n v="175048.51"/>
        <n v="78584.44"/>
        <n v="465451.17"/>
        <n v="125838.09999999999"/>
        <n v="268475.14"/>
        <n v="147884.97999999998"/>
        <n v="61142.38"/>
        <n v="443523.14"/>
        <n v="427511.93"/>
        <n v="213803.35"/>
        <n v="149986.19999999998"/>
        <n v="61708.99"/>
        <n v="43318.310000000005"/>
        <n v="100161.21999999999"/>
        <n v="183327.8"/>
        <n v="127041.59"/>
        <n v="140558.61000000002"/>
        <n v="45692.01"/>
        <n v="57180.56"/>
        <n v="327222.97000000003"/>
        <n v="73403.839999999997"/>
        <n v="451150.38"/>
        <n v="288275.82999999996"/>
        <n v="175747.57"/>
        <n v="379855.91000000003"/>
        <n v="352888.31"/>
        <n v="66551.850000000006"/>
        <n v="251242.99000000002"/>
        <n v="267982.86"/>
        <n v="151671.35"/>
        <n v="444771.63999999996"/>
        <n v="80377.75"/>
        <n v="220262.53999999998"/>
        <n v="275250.20999999996"/>
        <n v="84907.37"/>
        <n v="302156.18000000005"/>
        <n v="374256.42"/>
        <n v="305754.43000000005"/>
        <n v="243283.40999999997"/>
        <n v="139829.32999999999"/>
        <n v="397714.39999999997"/>
        <n v="366723.5"/>
        <n v="64768.56"/>
        <n v="37307.990000000005"/>
        <n v="109232.55"/>
        <n v="86889.57"/>
        <n v="216612.87"/>
        <n v="389425.42999999993"/>
        <n v="372679.01"/>
        <n v="160015.47999999998"/>
        <n v="377393.75"/>
        <n v="58286.3"/>
        <n v="112750.61"/>
        <n v="354518.91"/>
        <n v="57510.239999999998"/>
        <n v="104461.29"/>
        <n v="67141.8"/>
        <n v="84401.49"/>
        <n v="73260.28"/>
        <n v="29068.73"/>
        <n v="26191.13"/>
        <n v="111088.13999999998"/>
        <n v="39402.410000000003"/>
        <n v="255624.17000000004"/>
        <n v="155194.9"/>
        <n v="117563.32"/>
        <n v="49687.9"/>
        <n v="36020.86"/>
        <n v="325057.33"/>
        <n v="214949.20999999996"/>
        <n v="234632.58999999997"/>
        <n v="302066.32999999996"/>
        <n v="327160.38"/>
        <n v="392584.82999999996"/>
        <n v="233388.78"/>
        <n v="168628.85000000003"/>
        <n v="40909.42"/>
        <n v="78750.78"/>
        <n v="86280.16"/>
        <n v="94615.39"/>
        <n v="43190.25"/>
        <n v="231007.55000000002"/>
        <n v="355201.29000000004"/>
        <n v="34813.18"/>
        <n v="534428.29999999993"/>
        <n v="61042.490000000005"/>
        <n v="52987.24"/>
        <n v="26994.36"/>
        <n v="508669.85"/>
        <n v="162810.41999999998"/>
        <n v="45392.789999999994"/>
        <n v="286501.77"/>
        <n v="124097.64000000001"/>
        <n v="187395.82"/>
        <n v="53887.82"/>
        <n v="47550.81"/>
        <n v="152971.22999999998"/>
        <n v="76033.820000000007"/>
        <n v="282482.82"/>
        <n v="329143.87"/>
        <n v="46852.71"/>
        <n v="280393.90000000002"/>
        <n v="42568.41"/>
        <n v="333038.63"/>
        <n v="361547.71"/>
        <n v="186120.43000000002"/>
        <n v="119319.67"/>
        <n v="266387.64"/>
        <n v="416402.02"/>
        <n v="72974.430000000008"/>
        <n v="130802.47999999998"/>
        <n v="85691.970000000016"/>
        <n v="513368.56"/>
        <n v="50454.42"/>
        <n v="54267.44"/>
        <n v="206801.48"/>
        <n v="319162.78999999998"/>
        <n v="126933.98000000001"/>
        <n v="73593.62"/>
        <n v="72286.87"/>
        <n v="305493.28999999998"/>
        <n v="40698.65"/>
        <n v="282024.48"/>
        <n v="29784.620000000003"/>
        <n v="360208.14"/>
        <n v="258169.56"/>
        <n v="400251.88"/>
        <n v="41672.49"/>
        <n v="447351.69"/>
        <n v="296846.78000000003"/>
        <n v="326908.58"/>
        <n v="51717.97"/>
        <n v="188617.61000000002"/>
        <n v="339097.93999999994"/>
        <n v="113952.04000000001"/>
        <n v="69149.48"/>
        <n v="229048.57"/>
        <n v="493411.24000000011"/>
        <n v="217726.24000000002"/>
        <n v="113566.54000000001"/>
        <n v="226772.36"/>
        <n v="128247.28"/>
        <n v="44071.119999999995"/>
        <n v="50895.159999999996"/>
        <n v="386935.37"/>
        <n v="327827.28999999998"/>
        <n v="468299.85"/>
        <n v="172388.26"/>
        <n v="394895.85"/>
        <n v="18744.8"/>
        <n v="311162.15000000002"/>
        <n v="271425.24"/>
        <n v="165650.60999999999"/>
        <n v="32485.970000000005"/>
        <n v="149282.13999999998"/>
        <n v="367569.07"/>
        <n v="316769.76"/>
        <n v="328059.71999999997"/>
        <n v="39260.319999999992"/>
        <n v="38933.450000000004"/>
        <n v="327063.87"/>
        <n v="46236.05"/>
        <n v="361337.9"/>
        <n v="253847.90000000002"/>
        <n v="138135.65"/>
        <n v="301158.15000000002"/>
        <n v="63448.959999999992"/>
        <n v="61984.189999999995"/>
        <n v="366867.6"/>
        <n v="390539.58999999997"/>
        <n v="61760.57"/>
        <n v="53115.22"/>
        <n v="76653.7"/>
        <n v="119620.26000000001"/>
        <n v="33962.209999999992"/>
        <n v="91451.45"/>
        <n v="36381.75"/>
        <n v="218598.55"/>
        <n v="111584.66"/>
        <n v="223518.93"/>
        <n v="31776.909999999996"/>
        <n v="294920.28999999998"/>
        <n v="54922.520000000004"/>
        <n v="249544.13999999998"/>
        <n v="239606.43"/>
        <n v="312474.90999999997"/>
        <n v="372602.29"/>
        <n v="168960.5"/>
        <n v="275377.17"/>
        <n v="43785.13"/>
        <n v="416927.13"/>
        <n v="365895.45"/>
        <n v="244880.11000000004"/>
        <n v="99949.04"/>
        <n v="296079.06"/>
        <n v="78276.45"/>
        <n v="258366.62"/>
        <n v="320064.68000000005"/>
        <n v="326626.37000000005"/>
        <n v="41257.21"/>
        <n v="443559.97"/>
        <n v="127831"/>
        <n v="42258.04"/>
        <n v="214338.30000000002"/>
        <n v="179860.15000000002"/>
        <n v="298861.24"/>
        <n v="362430.24"/>
        <n v="160364.57999999999"/>
        <n v="302552.39"/>
        <n v="306700.02"/>
        <n v="58176.93"/>
        <n v="58104.12"/>
        <n v="233856.53000000003"/>
        <n v="480642.69000000006"/>
        <n v="317167.64"/>
        <n v="294825.13"/>
        <n v="43079.409999999996"/>
        <n v="90154.22"/>
        <n v="354558.16000000003"/>
        <n v="167206.38"/>
        <n v="40559.790000000008"/>
        <n v="58529.74"/>
        <n v="270959.44"/>
        <n v="128882.23"/>
        <n v="60207.19"/>
        <n v="62184.44"/>
        <n v="188446.21"/>
        <n v="215961.49999999997"/>
        <n v="90936.639999999999"/>
        <n v="345650.58"/>
        <n v="83367.13"/>
        <n v="387623.74"/>
        <n v="55041.079999999994"/>
        <n v="331970.03000000003"/>
        <n v="274763.01"/>
        <n v="47833.79"/>
        <n v="246569.69999999998"/>
        <n v="126788.78"/>
        <n v="87130.989999999991"/>
        <n v="199788.71999999997"/>
        <n v="182115.31"/>
        <n v="164404.57"/>
        <n v="39935.740000000005"/>
        <n v="45746.520000000004"/>
        <n v="48485.3"/>
        <n v="39397.869999999995"/>
        <n v="238590.29"/>
        <n v="49310.46"/>
        <n v="340949.16"/>
        <n v="64566.960000000006"/>
        <n v="78582.98000000001"/>
        <n v="255613.50999999998"/>
        <n v="381636.93000000005"/>
        <n v="211914.95"/>
        <n v="355045.43"/>
        <n v="33757.409999999996"/>
        <n v="318755.99"/>
        <n v="50882.719999999994"/>
        <n v="31313.74"/>
        <n v="111837.35999999999"/>
        <n v="31009.14"/>
        <n v="384501.24000000005"/>
        <n v="273506.7"/>
        <n v="126779"/>
        <n v="29728.659999999996"/>
        <n v="234735.72999999998"/>
        <n v="117908.79999999999"/>
        <n v="27424.22"/>
        <n v="98742.03"/>
        <n v="97983.680000000008"/>
        <n v="260552.95000000004"/>
        <n v="259330.86000000004"/>
        <n v="280442.01999999996"/>
        <n v="59467.249999999993"/>
        <n v="267170.5"/>
        <n v="36930.71"/>
        <n v="309297.39999999997"/>
        <n v="220163.54"/>
        <n v="401967.11000000004"/>
        <n v="45306.979999999996"/>
        <n v="49917.729999999996"/>
        <n v="85894.17"/>
        <n v="98648.91"/>
        <n v="400349.06"/>
        <n v="77161.47"/>
        <n v="90479.45"/>
        <n v="312744.83999999997"/>
        <n v="296959.87"/>
        <n v="15443.95"/>
        <n v="63285.840000000011"/>
        <n v="131439.65000000002"/>
        <n v="69771.320000000007"/>
        <n v="196383.44"/>
        <n v="456740.38"/>
        <n v="50857.919999999998"/>
        <n v="211215.30000000002"/>
        <n v="313578.01999999996"/>
        <n v="56181.05"/>
        <n v="38608.700000000004"/>
        <n v="69033.31"/>
        <n v="316450.98000000004"/>
        <n v="440485.80000000005"/>
        <n v="155251.92000000001"/>
        <n v="39655.009999999995"/>
        <n v="274416.15000000002"/>
        <n v="25027.98"/>
        <n v="204283.41"/>
        <n v="162152.06999999998"/>
        <n v="131053.92000000001"/>
        <n v="33707.840000000004"/>
        <n v="492648.51"/>
        <n v="41107.26"/>
        <n v="356772.52"/>
        <n v="99005.69"/>
        <n v="374530.04"/>
        <n v="59073.399999999994"/>
        <n v="363302.04"/>
        <n v="335555.30999999994"/>
        <n v="55848.1"/>
        <n v="171587.5"/>
        <n v="311548.44"/>
        <n v="210911.69999999998"/>
        <n v="132758.5"/>
        <n v="118054.04999999999"/>
        <n v="278347.28000000003"/>
        <n v="71495.19"/>
        <n v="501272.75"/>
        <n v="132841.04999999999"/>
        <n v="51984.549999999996"/>
        <n v="56996.390000000007"/>
        <n v="263402.10000000003"/>
        <n v="151207.91"/>
        <n v="43811.959999999992"/>
        <n v="443405.17"/>
        <n v="292238.13"/>
        <n v="298687.50000000006"/>
        <n v="214545.43999999997"/>
        <n v="434770.17"/>
        <n v="54937.15"/>
        <n v="26889.17"/>
        <n v="302266.38"/>
        <n v="57312.569999999992"/>
        <n v="486697.87000000005"/>
        <n v="70030.06"/>
        <n v="67016.23000000001"/>
        <n v="120657.37999999999"/>
        <n v="152187.75"/>
        <n v="134139.68"/>
        <n v="335847.11"/>
        <n v="35137.490000000005"/>
        <n v="39144.89"/>
        <n v="62721.09"/>
        <n v="232874.43"/>
        <n v="158475.65000000002"/>
        <n v="24200.47"/>
        <n v="366720.06"/>
        <n v="72332.2"/>
        <n v="236696.59"/>
        <n v="36427.1"/>
        <n v="192887.6"/>
        <n v="43195.829999999994"/>
        <n v="52133.9"/>
        <n v="452489.91000000003"/>
        <n v="66627.12999999999"/>
        <n v="141525.46"/>
        <n v="107641.11"/>
        <n v="350690.91000000003"/>
        <n v="42561.58"/>
        <n v="25132.18"/>
        <n v="60170.83"/>
        <n v="299756.69"/>
        <n v="291041.23000000004"/>
        <n v="53335.970000000008"/>
        <n v="331314.59000000003"/>
        <n v="62885.889999999992"/>
        <n v="98148.03"/>
        <n v="258603.37999999998"/>
        <n v="46291.469999999994"/>
        <n v="33553.06"/>
        <n v="191975.88999999998"/>
        <n v="375986.85"/>
        <n v="207742.63999999998"/>
        <n v="92152.810000000012"/>
        <n v="383861.18"/>
        <n v="452793.43"/>
        <n v="349603"/>
        <n v="280102.90999999997"/>
        <n v="60016.869999999995"/>
        <n v="41541.490000000005"/>
        <n v="389518.13"/>
        <n v="400645.29000000004"/>
        <n v="278481.77"/>
        <n v="408695.70000000007"/>
        <n v="31009.52"/>
        <n v="41952.800000000003"/>
        <n v="150641.21000000002"/>
        <n v="378075.45"/>
        <n v="77707.27"/>
        <n v="512645.87000000005"/>
        <n v="106851.57999999999"/>
        <n v="54732.450000000004"/>
        <n v="115305.16"/>
        <n v="275226.45"/>
        <n v="103721.43"/>
        <n v="206758.22999999998"/>
        <n v="42726.259999999995"/>
        <n v="436960.23"/>
        <n v="52276.93"/>
        <n v="374115.89"/>
        <n v="364460.59"/>
        <n v="325286.87"/>
        <n v="73233.210000000006"/>
        <n v="83913.38"/>
        <n v="565712.88"/>
        <n v="173520.83"/>
        <n v="430318.58999999997"/>
        <n v="108333.64000000001"/>
        <n v="304025.28000000003"/>
        <n v="54974.979999999996"/>
        <n v="391707.87000000005"/>
        <n v="132876.99"/>
        <n v="130289.75"/>
        <n v="197752.83"/>
        <n v="177568.88"/>
        <n v="127357.39"/>
        <n v="114224.19"/>
        <n v="402808.31000000006"/>
        <n v="281502.86000000004"/>
        <n v="341234.16000000003"/>
        <n v="236594.09"/>
        <n v="202033.11000000002"/>
        <n v="114669.13000000002"/>
        <n v="348223.50999999995"/>
        <n v="41619.26"/>
        <n v="476444.98999999993"/>
        <n v="63687.96"/>
        <n v="375129.51"/>
        <n v="209475.61000000002"/>
        <n v="44287.670000000006"/>
        <n v="128886.95999999999"/>
        <n v="78125.77"/>
        <n v="70853.459999999992"/>
        <n v="74396.87"/>
        <n v="394201.35"/>
        <n v="30162.729999999996"/>
        <n v="176458.31"/>
        <n v="252589.90000000002"/>
        <n v="283780.57999999996"/>
        <n v="49682"/>
        <n v="175438.31999999998"/>
        <n v="300927.90000000002"/>
        <n v="178176.86"/>
        <n v="375580.85000000003"/>
        <n v="284584.03000000003"/>
        <n v="128597.25"/>
        <n v="247609.09999999998"/>
        <n v="66964.990000000005"/>
        <n v="42130.879999999997"/>
        <n v="371693.08000000007"/>
        <n v="261628.53999999998"/>
        <n v="183608.17"/>
        <n v="41079.200000000004"/>
        <n v="248489.65999999997"/>
        <n v="363979.33"/>
        <n v="116985.73000000001"/>
        <n v="488458.42999999993"/>
        <n v="104035.49999999999"/>
        <n v="123951.71"/>
        <n v="245208.20000000004"/>
        <n v="357198.96"/>
        <n v="119420.73000000001"/>
        <n v="64262.330000000009"/>
        <n v="44875.999999999993"/>
        <n v="190900.52"/>
        <n v="306095.87"/>
        <n v="98635.74"/>
        <n v="345448.50999999995"/>
        <n v="40970.660000000003"/>
        <n v="49674.89"/>
        <n v="176167.78"/>
        <n v="101381.12000000001"/>
        <n v="275814.11"/>
        <n v="72675.460000000006"/>
        <n v="309272.01"/>
        <n v="40957.94"/>
        <n v="58167.61"/>
        <n v="55710.06"/>
        <n v="346899.12"/>
        <n v="420312.64999999997"/>
        <n v="181365.6"/>
        <n v="49403.920000000006"/>
        <n v="153154.82"/>
        <n v="255672.27000000002"/>
        <n v="338059.70999999996"/>
        <n v="18340.740000000002"/>
        <n v="633859.03"/>
        <n v="204502.52000000002"/>
        <n v="277335.47000000003"/>
        <n v="301929.75"/>
        <n v="53855.310000000005"/>
        <n v="64511.98"/>
        <n v="30558.859999999993"/>
        <n v="255860.51"/>
        <n v="395168.19"/>
        <n v="58581.799999999996"/>
        <n v="58631.59"/>
        <n v="48178.899999999994"/>
        <n v="120423.59"/>
        <n v="99886.42"/>
        <n v="286660.21000000002"/>
        <n v="72151.06"/>
        <n v="358329.58"/>
        <n v="406262.59"/>
        <n v="143205.79999999999"/>
        <n v="32906.839999999997"/>
        <n v="276010.76999999996"/>
        <n v="97854.36"/>
        <n v="478944.55999999994"/>
        <n v="373985.20999999996"/>
        <n v="59885.16"/>
        <n v="149935.09999999998"/>
        <n v="68763.47"/>
        <n v="525597.41999999993"/>
        <n v="320432.73000000004"/>
        <n v="76282.98000000001"/>
        <n v="116834.06"/>
        <n v="430627"/>
        <n v="167202.86000000002"/>
        <n v="240651.71999999997"/>
        <n v="113126.14"/>
        <n v="50604.820000000007"/>
        <n v="84249.489999999991"/>
        <n v="185183.27999999997"/>
        <n v="358637.78"/>
        <n v="451682.37"/>
        <n v="188135.96000000002"/>
        <n v="35647.14"/>
        <n v="45429.41"/>
        <n v="328505.16000000003"/>
        <n v="76139.349999999991"/>
        <n v="341273.30000000005"/>
        <n v="369787.41000000003"/>
        <n v="406985.80000000005"/>
        <n v="76432.41"/>
        <n v="182374.57"/>
        <n v="75564.67"/>
        <n v="400705.07"/>
        <n v="341001.75"/>
        <n v="99014.48"/>
        <n v="43910.409999999996"/>
        <n v="443316.24"/>
        <n v="65742.950000000012"/>
        <n v="226368.22999999998"/>
        <n v="110779.51000000001"/>
        <n v="60517.590000000004"/>
        <n v="36189.960000000006"/>
        <n v="99910.459999999992"/>
        <n v="313583.96000000002"/>
        <n v="366628.81"/>
        <n v="338229.29000000004"/>
        <n v="62054.39"/>
        <n v="302408.21000000002"/>
        <n v="77286.16"/>
        <n v="132745.5"/>
        <n v="256826.82"/>
        <n v="99736.49"/>
        <n v="313675.96999999997"/>
        <n v="430457.54000000004"/>
        <n v="357391.78"/>
        <n v="304944.90999999997"/>
        <n v="62237.680000000008"/>
        <n v="12717.310000000001"/>
        <n v="36337.67"/>
        <n v="463999.69999999995"/>
        <n v="143645.12999999998"/>
        <n v="38194.33"/>
        <n v="218690.68"/>
        <n v="38469.410000000003"/>
        <n v="85903.7"/>
        <n v="58685.04"/>
        <n v="40205.65"/>
        <n v="207945.52"/>
        <n v="465643.32"/>
        <n v="49588.78"/>
        <n v="151949.26"/>
        <n v="451224.81"/>
        <n v="169341.87"/>
        <n v="92141"/>
        <n v="47271.390000000007"/>
        <n v="70465.77"/>
        <n v="44671.569999999992"/>
        <n v="329653.40999999997"/>
        <n v="77593.450000000012"/>
        <n v="36721.78"/>
        <n v="39294.1"/>
        <n v="46331.850000000006"/>
        <n v="468184.76000000007"/>
        <n v="112883.42000000001"/>
        <n v="131617.81"/>
        <n v="360142.45999999996"/>
        <n v="182864.34"/>
        <n v="323132.59000000003"/>
        <n v="304101.07"/>
        <n v="302743.09999999998"/>
        <n v="113823.37"/>
        <n v="34613.94"/>
        <n v="310389.43"/>
        <n v="152004.04"/>
        <n v="47687.42"/>
        <n v="82797.91"/>
        <n v="414189.19"/>
        <n v="297513.53999999998"/>
        <n v="40940.319999999992"/>
        <n v="440468.71"/>
        <n v="307452.46999999997"/>
        <n v="542998.31000000006"/>
        <n v="315612.52999999997"/>
        <n v="50251.76"/>
        <n v="197505.63"/>
        <n v="50869.5"/>
        <n v="183210.65"/>
        <n v="50765.94"/>
        <n v="20342.09"/>
        <n v="82112.87999999999"/>
        <n v="406529.93"/>
        <n v="138656.12"/>
        <n v="198547.43000000002"/>
        <n v="31932.18"/>
        <n v="57090.2"/>
        <n v="160889.44"/>
        <n v="402778.53"/>
        <n v="534306.59"/>
        <n v="300931.36"/>
        <n v="320515.63"/>
        <n v="285140.84999999998"/>
        <n v="110384.58"/>
        <n v="70210.899999999994"/>
        <n v="335686.20999999996"/>
        <n v="158015.94999999998"/>
        <n v="127924.34999999999"/>
        <n v="98182.38"/>
        <n v="468942.03"/>
        <n v="320449.81"/>
        <n v="141419.71"/>
        <n v="105737.72"/>
        <n v="68929.73"/>
        <n v="43515.29"/>
        <n v="55308.72"/>
        <n v="77492.02"/>
        <n v="490127.39999999997"/>
        <n v="301572.48000000004"/>
        <n v="68300.31"/>
        <n v="46527.869999999995"/>
        <n v="169996.71"/>
        <n v="91239.39"/>
        <n v="597146.49"/>
        <n v="38263.270000000004"/>
        <n v="179375.94"/>
        <n v="40596.07"/>
        <n v="300882.33"/>
        <n v="393509.85"/>
        <n v="380131.08"/>
        <n v="280515.55999999994"/>
        <n v="55045.740000000005"/>
        <n v="46430.01"/>
        <n v="358027.28"/>
        <n v="39858.379999999997"/>
        <n v="49261.78"/>
        <n v="66537.820000000007"/>
        <n v="51677.070000000007"/>
        <n v="414344.38"/>
        <n v="107015.88"/>
        <n v="450468.67"/>
        <n v="535447.68000000005"/>
        <n v="537992.62"/>
        <n v="42216.950000000004"/>
        <n v="32829.67"/>
        <n v="118356.33"/>
        <n v="254049.66000000003"/>
        <n v="43929.499999999993"/>
        <n v="476655.9"/>
        <n v="347806.44999999995"/>
        <n v="118509.01"/>
        <n v="33552.82"/>
        <n v="80585.59"/>
        <n v="23054.46"/>
        <n v="537136.67999999993"/>
        <n v="47389.488823744003"/>
        <n v="186130.86674191483"/>
        <n v="57820.499182358399"/>
        <n v="245353.01836154106"/>
        <n v="118204.04012615504"/>
        <n v="151945.25310286583"/>
        <n v="182033.19102029613"/>
        <n v="127246.61196326478"/>
        <n v="31676.871524458849"/>
        <n v="70172.652737644952"/>
        <n v="302159.3351077619"/>
        <n v="96897.153474675128"/>
        <n v="247153.94505081238"/>
        <n v="308138.20011266065"/>
        <n v="87967.081288890942"/>
        <n v="40259.346947680388"/>
        <n v="397751.02155310073"/>
        <n v="267050.47645176383"/>
        <n v="70234.897124901443"/>
        <n v="54808.799466154989"/>
        <n v="83411.254256177359"/>
        <n v="257207.84085510677"/>
        <n v="453484.7369214411"/>
        <n v="301542.35331706668"/>
        <n v="60311.657627050132"/>
        <n v="34762.302136722428"/>
        <n v="70669.165900897337"/>
        <n v="87405.476868830869"/>
        <n v="72351.561538961323"/>
        <n v="140144.61080989844"/>
        <n v="57251.066774734558"/>
        <n v="52294.385298769994"/>
        <n v="89114.147873746158"/>
        <n v="283650.67849001114"/>
        <n v="82415.895649414568"/>
        <n v="24363.002726902687"/>
        <n v="434375.81111343257"/>
        <n v="456928.54201738536"/>
        <n v="41045.929275051145"/>
        <n v="149144.14614238037"/>
        <n v="335973.95897089608"/>
        <n v="252457.91015942511"/>
        <n v="182674.0456686207"/>
        <n v="292313.57345419435"/>
        <n v="385673.48717308737"/>
        <n v="54100.214608781476"/>
        <n v="383994.88876326062"/>
        <n v="82939.291158955923"/>
        <n v="106794.64141663711"/>
        <n v="332467.4384852798"/>
        <n v="337152.9391111295"/>
        <n v="123924.65352311711"/>
        <n v="49557.332056781364"/>
        <n v="27623.849723757616"/>
        <n v="513252.10633860691"/>
        <n v="97453.298153943382"/>
        <n v="42953.819206799199"/>
        <n v="333154.90776436758"/>
        <n v="74344.036600263542"/>
        <n v="57898.837311091062"/>
        <n v="169780.86180938379"/>
        <n v="54671.370008521968"/>
        <n v="128224.78269352317"/>
        <n v="303127.15160594322"/>
        <n v="46577.566364942562"/>
        <n v="43438.986901178854"/>
        <n v="295289.36097453628"/>
        <n v="530356.96616917744"/>
        <n v="355173.73659983475"/>
        <n v="327795.23546350375"/>
        <n v="197949.49213387872"/>
        <n v="92491.630768842122"/>
        <n v="386216.05600400572"/>
        <n v="98023.066044017483"/>
        <n v="280737.36265261361"/>
        <n v="90894.32046865634"/>
        <n v="24740.847699442307"/>
        <n v="325061.69509371469"/>
        <n v="335023.20875243784"/>
        <n v="263118.04540602205"/>
        <n v="242351.35158931211"/>
        <n v="41754.485198903443"/>
        <n v="272774.79478140973"/>
        <n v="175810.13594256484"/>
        <n v="73012.175634575629"/>
        <n v="200378.60747314917"/>
        <n v="73879.68915825506"/>
        <n v="36798.989856681736"/>
        <n v="28699.817236181709"/>
        <n v="84455.281712079872"/>
        <n v="328567.34188350104"/>
        <n v="205378.35700945416"/>
        <n v="364688.60850092204"/>
        <n v="50644.763651805886"/>
        <n v="114943.17883523212"/>
        <n v="199310.1724873675"/>
        <n v="265063.60971448524"/>
        <n v="81589.034990736109"/>
        <n v="108459.58982458564"/>
        <n v="406378.92753383954"/>
        <n v="60693.794320482193"/>
        <n v="161894.20328205777"/>
        <n v="102655.67435421422"/>
        <n v="90075.669988249181"/>
        <n v="282625.81770469534"/>
        <n v="63105.089603674882"/>
        <n v="107548.90355358001"/>
        <n v="102242.67637765766"/>
        <n v="52488.948744496665"/>
        <n v="193420.24774582224"/>
        <n v="128504.49112733957"/>
        <n v="308484.12557081116"/>
        <n v="234773.94174885485"/>
        <n v="337696.06639869115"/>
        <n v="317478.62219297723"/>
        <n v="93441.63808313699"/>
        <n v="201138.84153333004"/>
        <n v="93966.906997903629"/>
        <n v="96082.167037368548"/>
        <n v="47093.295514031095"/>
        <n v="295338.09394794103"/>
        <n v="109821.31687072251"/>
        <n v="70798.468243434108"/>
        <n v="345485.70895944431"/>
        <n v="298742.28761660476"/>
        <n v="46694.589202307288"/>
        <n v="117921.50509279946"/>
        <n v="90565.186133627809"/>
        <n v="480293.95631331764"/>
        <n v="105865.86393099873"/>
        <n v="222468.33897347204"/>
        <n v="135070.30048377719"/>
        <n v="292317.2011002354"/>
        <n v="65946.931322861157"/>
        <n v="353684.82215370651"/>
        <n v="14328.557899287887"/>
        <n v="35026.290375324628"/>
        <n v="429246.99184611224"/>
        <n v="119426.75857995609"/>
        <n v="134245.18902629765"/>
        <n v="453941.39888551406"/>
        <n v="502783.97675711947"/>
        <n v="22029.864095734298"/>
        <n v="117351.61653477035"/>
        <n v="28227.126408822191"/>
        <n v="543710.84984555957"/>
        <n v="119900.70002941812"/>
        <n v="61492.99745954122"/>
        <n v="40080.335854665536"/>
        <n v="33004.512313929954"/>
        <n v="51252.8786745549"/>
        <n v="625015.25540382974"/>
        <n v="240644.28850756303"/>
        <n v="332482.12054767908"/>
        <n v="380282.98077790311"/>
        <n v="184725.95051335238"/>
        <n v="291823.33675785112"/>
        <n v="57609.633839801165"/>
        <n v="70904.307276157037"/>
        <n v="94490.600449221485"/>
        <n v="142842.41457070882"/>
        <n v="104160.29379818001"/>
        <n v="152648.63410944471"/>
        <n v="480803.18130669231"/>
        <n v="78564.401640723489"/>
        <n v="277705.88220869162"/>
        <n v="197987.76112141969"/>
        <n v="48945.77164918292"/>
        <n v="154468.26574494439"/>
        <n v="415831.50999217632"/>
        <n v="205465.82147104279"/>
        <n v="191978.51761596164"/>
        <n v="273556.42267013947"/>
        <n v="169731.155308999"/>
        <n v="357176.07450838492"/>
        <n v="113197.89233532418"/>
        <n v="109510.02350473547"/>
        <n v="54365.341439488984"/>
        <n v="47692.711053173407"/>
        <n v="65054.86990155161"/>
        <n v="62730.334619319117"/>
        <n v="131445.03329232364"/>
        <n v="413263.291026822"/>
        <n v="366919.83206541766"/>
        <n v="53052.909715411493"/>
        <n v="52799.130199084022"/>
        <n v="428560.5070849203"/>
        <n v="136792.83618160425"/>
        <n v="408287.48328214127"/>
        <n v="94429.814091488341"/>
        <n v="300917.82467701228"/>
        <n v="221265.01844698345"/>
        <n v="304860.33307831717"/>
        <n v="34648.65364086187"/>
        <n v="245667.0643724312"/>
        <n v="47660.295113005028"/>
        <n v="278871.24573706219"/>
        <n v="312639.87776328961"/>
        <n v="343839.43770840816"/>
        <n v="111545.37719053034"/>
        <n v="35546.106209876642"/>
        <n v="67920.989416493743"/>
        <n v="421730.04889767821"/>
        <n v="98981.096959288974"/>
        <n v="100248.88109747424"/>
        <n v="301314.46073467721"/>
        <n v="197552.3006910932"/>
        <n v="197250.18392068759"/>
        <n v="408686.04994800111"/>
        <n v="48469.105513390838"/>
        <n v="256226.9595700572"/>
        <n v="368284.80828251119"/>
        <n v="291309.09237201413"/>
        <n v="304233.79562282906"/>
        <n v="326272.74648952158"/>
        <n v="42493.402562777468"/>
        <n v="375188.56870439113"/>
        <n v="100854.70108432729"/>
        <n v="300230.51894500194"/>
        <n v="283918.05945524503"/>
        <n v="55066.765075876363"/>
        <n v="173377.90634499013"/>
        <n v="91553.579897773001"/>
        <n v="110784.51189382726"/>
        <n v="8085.0585903932733"/>
        <n v="161855.01439623651"/>
        <n v="307679.87861008215"/>
        <n v="440523.54455550545"/>
        <n v="83094.353324018564"/>
        <n v="369385.03894442908"/>
        <n v="162250.98726416886"/>
        <n v="64636.279019611327"/>
        <n v="250029.16214984373"/>
        <n v="151603.39140460314"/>
        <n v="121302.09560259621"/>
        <n v="120725.63255520351"/>
        <n v="159066.71055867223"/>
        <n v="306697.41340181802"/>
        <n v="50632.770369498772"/>
        <n v="361700.62343775877"/>
        <n v="297018.00001710327"/>
        <n v="214829.0622167674"/>
        <n v="80546.266493792893"/>
        <n v="327401.23851679702"/>
        <n v="79236.731941500315"/>
        <n v="384521.39675893477"/>
        <n v="38846.071568243737"/>
        <n v="46573.617054660317"/>
        <n v="67056.976103180641"/>
        <n v="114334.16003604654"/>
        <n v="144581.85389498272"/>
        <n v="51491.276970235856"/>
        <n v="33188.774101136944"/>
        <n v="230852.17748727638"/>
        <n v="191337.7825919895"/>
        <n v="40944.925856797992"/>
        <n v="65503.251111387312"/>
        <n v="29485.133622241799"/>
        <n v="329362.09267947101"/>
        <n v="311568.63109681167"/>
        <n v="59038.212860095773"/>
        <n v="245253.32049184531"/>
        <n v="77464.854672986621"/>
        <n v="100646.38997256238"/>
        <n v="24430.401207962692"/>
        <n v="346602.7364443515"/>
        <n v="249316.70757704548"/>
        <n v="171998.66549236642"/>
        <n v="64211.998583158347"/>
        <n v="111876.04082173109"/>
        <n v="357701.02988228266"/>
        <n v="289550.75343949167"/>
        <n v="138235.14371157927"/>
        <n v="223895.50657116561"/>
        <n v="57872.561672450378"/>
        <n v="336481.46571332554"/>
        <n v="291672.44157018681"/>
        <n v="206418.6858366286"/>
        <n v="191498.89843291685"/>
        <n v="352366.71639712458"/>
        <n v="27105.512360009277"/>
        <n v="191325.31476153096"/>
        <n v="112265.4922380721"/>
        <n v="61772.169252630614"/>
        <n v="338338.00013853639"/>
        <n v="211754.2208178615"/>
        <n v="207370.36427116711"/>
        <n v="157372.04810081518"/>
        <n v="100233.80463199264"/>
        <n v="48606.479362923004"/>
        <n v="385722.50722624315"/>
        <n v="112269.81827286966"/>
        <n v="241513.63294286007"/>
        <n v="54244.033435718215"/>
        <n v="368069.95521356002"/>
        <n v="164762.72656132918"/>
        <n v="247932.47737548544"/>
        <n v="22610.606830377168"/>
        <n v="146236.50912231961"/>
        <n v="295508.98362029222"/>
        <n v="41458.234782051542"/>
        <n v="69854.010573287393"/>
        <n v="83304.630511339346"/>
        <n v="359439.6163302444"/>
        <n v="94195.1129394663"/>
        <n v="30369.333303770218"/>
        <n v="206997.36305933815"/>
        <n v="65732.055483928591"/>
        <n v="262625.83816901926"/>
        <n v="96647.746273816127"/>
        <n v="355847.73219739489"/>
        <n v="260005.93552023094"/>
        <n v="407813.52863054012"/>
        <n v="282767.46578525612"/>
        <n v="86120.555444324389"/>
        <n v="90450.008319675559"/>
        <n v="39099.680368536363"/>
        <n v="60191.214936968994"/>
        <n v="304154.13221403043"/>
        <n v="351222.59660113271"/>
        <n v="87239.733230165148"/>
        <n v="190667.30167047548"/>
        <n v="295845.18970991293"/>
        <n v="210642.73704427414"/>
        <n v="198064.41575233432"/>
        <n v="96634.961654745683"/>
        <n v="288143.16534690687"/>
        <n v="55192.587068409564"/>
        <n v="163615.45900188907"/>
        <n v="329092.34199695208"/>
        <n v="293351.42883002583"/>
        <n v="100894.3131885941"/>
        <n v="66460.537652986604"/>
        <n v="315311.53434946202"/>
        <n v="257391.34058050942"/>
        <n v="56593.494259547289"/>
        <n v="300557.43420043838"/>
        <n v="112215.43133069496"/>
        <n v="57216.215447596725"/>
        <n v="68246.259088859515"/>
        <n v="35498.710909197987"/>
        <n v="49255.298475673393"/>
        <n v="63532.923375109698"/>
        <n v="64419.316640038538"/>
        <n v="123861.98725454729"/>
        <n v="31695.735884010017"/>
        <n v="299799.26342183253"/>
        <n v="72271.012247440129"/>
        <n v="193436.93497615907"/>
        <n v="12954.492612374448"/>
        <n v="49631.239172636851"/>
        <n v="102500.28723510641"/>
        <n v="71955.63119729016"/>
        <n v="485048.55989199795"/>
        <n v="75742.596067277438"/>
        <n v="278698.23413367564"/>
        <n v="119870.73853299503"/>
        <n v="88821.594346762635"/>
        <n v="371534.03656596795"/>
        <n v="61120.3433690069"/>
        <n v="210143.59749319893"/>
        <n v="97842.024814937118"/>
        <n v="159454.03705813957"/>
        <n v="359007.45464468375"/>
        <n v="126691.1359018076"/>
        <n v="405506.27090460795"/>
        <n v="57432.724499922442"/>
        <n v="147478.22249845832"/>
        <n v="481200.15820615599"/>
        <n v="317575.16159283731"/>
        <n v="103994.0652176677"/>
        <n v="329815.00634485728"/>
        <n v="290396.81085996522"/>
        <n v="193384.01030938714"/>
        <n v="366045.69735145569"/>
        <n v="36960.918115855602"/>
        <n v="358676.44823442103"/>
        <n v="145824.54344810353"/>
        <n v="235714.92011150753"/>
        <n v="116100.34373172789"/>
        <n v="411087.16227467638"/>
        <n v="92771.495030413353"/>
        <n v="530966.9224059101"/>
        <n v="43916.138325680389"/>
        <n v="90461.044147266672"/>
        <n v="277527.43927881343"/>
        <n v="81805.27320673666"/>
        <n v="511308.67998295487"/>
        <n v="105559.43066303099"/>
        <n v="281562.44328094635"/>
        <n v="187131.75460835599"/>
        <n v="308146.07266881445"/>
        <n v="142443.0055822703"/>
        <n v="83676.756861420654"/>
        <n v="66969.632543412881"/>
        <n v="323812.45510180225"/>
        <n v="140751.15652109377"/>
        <n v="214921.97255954464"/>
        <n v="45590.570330555944"/>
        <n v="92338.515081053323"/>
        <n v="37855.043597395779"/>
        <n v="71349.588832925161"/>
        <n v="72566.434180274067"/>
        <n v="262755.95885384415"/>
        <n v="207265.15367642057"/>
        <n v="50997.26237357856"/>
        <n v="33249.449097164303"/>
        <n v="50560.180726227038"/>
        <n v="309913.84702135413"/>
        <n v="213475.83185315167"/>
        <n v="37360.001193807097"/>
        <n v="123387.72516003152"/>
        <n v="30366.583354553684"/>
        <n v="226055.6042275145"/>
        <n v="39592.433296129435"/>
        <n v="273349.08531049889"/>
        <n v="133849.01871345681"/>
        <n v="255097.73182961813"/>
        <n v="64377.66062644581"/>
        <n v="206246.00767338157"/>
        <n v="72617.712832141406"/>
        <n v="466688.88697853719"/>
        <n v="84617.158225534964"/>
        <n v="428707.76506655343"/>
        <n v="103505.40741213903"/>
        <n v="171772.12649417543"/>
        <n v="31784.307863613551"/>
        <n v="462782.49829866469"/>
        <n v="54116.855321089723"/>
        <n v="235580.71715879467"/>
        <n v="86723.873629811002"/>
        <n v="48711.670041779253"/>
        <n v="200031.26327598057"/>
        <n v="367523.98028253083"/>
        <n v="132362.19232239705"/>
        <n v="64600.928861289503"/>
        <n v="34548.971264196087"/>
        <n v="71327.408568987943"/>
        <n v="81540.865199383275"/>
        <n v="230044.83755648183"/>
        <n v="61301.708015794378"/>
        <n v="79594.983526054086"/>
        <n v="479657.51292673277"/>
        <n v="33600.868073406673"/>
        <n v="161365.31103685335"/>
        <n v="89639.127980864883"/>
        <n v="333652.14419700688"/>
        <n v="72569.390441239477"/>
        <n v="54761.515245642193"/>
        <n v="375857.85575064819"/>
        <n v="155705.33116119105"/>
        <n v="434865.35727077594"/>
        <n v="54960.778118385933"/>
        <n v="63843.220385738183"/>
        <n v="73847.100577319361"/>
        <n v="59802.537393592524"/>
        <n v="334509.91072274157"/>
        <n v="431160.73195592902"/>
        <n v="160700.98856281443"/>
        <n v="76573.281473350929"/>
        <n v="198800.75738350712"/>
        <n v="385521.64973133919"/>
        <n v="380283.4906412916"/>
        <n v="386256.24718594301"/>
        <n v="271940.70939874498"/>
        <n v="514151.27933621273"/>
        <n v="43480.096720879905"/>
        <n v="50301.647819112281"/>
        <n v="173181.87273013583"/>
        <n v="321095.30084680283"/>
        <n v="121126.7931557011"/>
        <n v="428720.28378311411"/>
        <n v="346988.06615826988"/>
        <n v="122241.10284937581"/>
        <n v="325475.86026491219"/>
        <n v="26407.322947988392"/>
        <n v="56801.794268418183"/>
        <n v="148323.41715680165"/>
        <n v="265396.91620396788"/>
        <n v="228103.9567529083"/>
        <n v="49180.706488517688"/>
        <n v="119525.57638277281"/>
        <n v="36275.895257197379"/>
        <n v="171468.93314849836"/>
        <n v="131359.52523200569"/>
        <n v="383299.79983201245"/>
        <n v="365319.82757966354"/>
        <n v="123074.02552960905"/>
        <n v="300646.68831473473"/>
        <n v="242201.11868382257"/>
        <n v="336389.398999453"/>
        <n v="94738.447247141288"/>
        <n v="37697.811519841176"/>
        <n v="440579.67791818437"/>
        <n v="395739.52533704578"/>
        <n v="102887.29202430088"/>
        <n v="96373.318045801119"/>
        <n v="214089.06541277122"/>
        <n v="128005.28713894889"/>
        <n v="113561.00700646182"/>
        <n v="261147.30750119011"/>
        <n v="69244.520778275051"/>
        <n v="322206.79268390383"/>
        <n v="120240.7477550606"/>
        <n v="110066.08734227103"/>
        <n v="213309.18613528911"/>
        <n v="265009.14226711576"/>
        <n v="252885.28368199395"/>
        <n v="70172.652585554039"/>
        <n v="63918.650120722239"/>
        <n v="370894.33553141262"/>
        <n v="436892.69565182598"/>
        <n v="79188.499626446457"/>
        <n v="81638.179894152723"/>
        <n v="398768.13407991774"/>
        <n v="91053.911354298805"/>
        <n v="474221.53082149121"/>
        <n v="87326.877112866947"/>
        <n v="231426.45108351775"/>
        <n v="72810.141987026713"/>
        <n v="82794.953772849534"/>
        <n v="404531.35130098043"/>
        <n v="176689.0344560167"/>
        <n v="319552.28924151981"/>
        <n v="52183.385962331311"/>
        <n v="106418.5511009888"/>
        <n v="103612.53309026727"/>
        <n v="51348.268980153422"/>
        <n v="240236.06088949199"/>
        <n v="62725.877777601818"/>
        <n v="411663.26087882108"/>
        <n v="298967.99059689249"/>
        <n v="420323.72015449038"/>
        <n v="249007.34989244878"/>
        <n v="38001.397899392861"/>
        <n v="167670.55176509291"/>
        <n v="98060.351791946086"/>
        <n v="420634.68371677602"/>
        <n v="115089.69623414738"/>
        <n v="389292.74268486933"/>
        <n v="282634.96188101789"/>
        <n v="335607.01207675255"/>
        <n v="49533.35198571963"/>
        <n v="407668.62754658668"/>
        <n v="458584.24540043017"/>
        <n v="429848.45748027955"/>
        <n v="430012.84092895588"/>
        <n v="220986.44044473808"/>
        <n v="436945.93905226968"/>
        <n v="156169.03520092764"/>
        <n v="314150.27357810596"/>
        <n v="534504.9092000816"/>
        <n v="118114.08602848227"/>
        <n v="455623.09028201952"/>
        <n v="235874.08106390553"/>
        <n v="78612.368773786642"/>
        <n v="293499.6812995628"/>
        <n v="501621.18187267386"/>
        <n v="287745.84396902431"/>
        <n v="364281.64602731634"/>
        <n v="165616.3367330358"/>
        <n v="364356.04303044209"/>
        <n v="59518.067236014867"/>
        <n v="457932.16339921934"/>
        <n v="184673.90866975885"/>
        <n v="416277.80961269111"/>
        <n v="245482.83189730212"/>
        <n v="85130.745894314678"/>
        <n v="285566.49623156671"/>
        <n v="446580.87543133332"/>
        <n v="144776.90337803587"/>
        <n v="290451.57926928549"/>
        <n v="86513.254479476047"/>
        <n v="404246.82552022085"/>
        <n v="239672.66324253473"/>
        <n v="56753.494229415446"/>
        <n v="214380.04710948025"/>
        <n v="57288.340239033503"/>
        <n v="29199.508972899948"/>
        <n v="81651.221685673212"/>
        <n v="328372.89287194173"/>
        <n v="211067.593252511"/>
        <n v="72033.342874136244"/>
        <n v="247423.49081944267"/>
        <n v="106553.58451829302"/>
        <n v="53083.023650971852"/>
        <n v="47129.147902132092"/>
        <n v="45171.761022630169"/>
        <n v="24889.526748456417"/>
        <n v="62820.060090455881"/>
        <n v="317116.29363649688"/>
        <n v="276218.40179266146"/>
        <n v="26005.76499258056"/>
        <n v="479888.8622592428"/>
        <n v="323853.63821310026"/>
        <n v="377904.11820269882"/>
        <n v="300386.07964091608"/>
        <n v="212639.84068384572"/>
        <n v="36052.399711658669"/>
        <n v="123916.66128896424"/>
        <n v="140130.97069047147"/>
        <n v="203033.929948879"/>
        <n v="41081.115848250731"/>
        <n v="280561.62129795522"/>
        <n v="336514.70182284131"/>
        <n v="30608.805880361997"/>
        <n v="181463.95985602957"/>
        <n v="421308.52126851183"/>
        <n v="503911.56097546517"/>
        <n v="118998.34194251421"/>
        <n v="30483.874251866531"/>
        <n v="344642.49597444112"/>
        <n v="269593.28626091231"/>
        <n v="316247.0189705427"/>
        <n v="186954.27795947966"/>
        <n v="72262.995468404144"/>
        <n v="43694.190796659372"/>
        <n v="343243.32791047724"/>
        <n v="211804.92441202461"/>
        <n v="301566.60774621181"/>
        <n v="305435.24150715157"/>
        <n v="77822.861024460683"/>
        <n v="298188.25641341961"/>
        <n v="109405.01153976064"/>
        <n v="179250.90688909317"/>
        <n v="242583.40255843749"/>
        <n v="233832.2534030785"/>
        <n v="222444.44867961277"/>
        <n v="36573.630558875164"/>
        <n v="116958.63783996901"/>
        <n v="386218.42715294828"/>
        <n v="438694.26782206661"/>
        <n v="68661.211747375506"/>
        <n v="460320.69185543444"/>
        <n v="91393.538250239551"/>
        <n v="443249.31530437799"/>
        <n v="581258.4247883379"/>
        <n v="435406.30552265572"/>
        <n v="124409.00915455418"/>
        <n v="132030.30963815853"/>
        <n v="53357.930272420665"/>
        <n v="75336.694311378102"/>
        <n v="224199.31817357175"/>
        <n v="70867.198727412964"/>
        <n v="411252.19896507409"/>
        <n v="14643.790853423347"/>
        <n v="53924.060635074988"/>
        <n v="69225.590385597883"/>
        <n v="252603.9313584234"/>
        <n v="256635.37337179744"/>
        <n v="301206.02949450642"/>
        <n v="43548.566498347529"/>
        <n v="218276.20865168062"/>
        <n v="355855.73428948456"/>
        <n v="421783.38730065856"/>
        <n v="362924.0646199357"/>
        <n v="55914.206665720762"/>
        <n v="355380.45042796148"/>
        <n v="69213.726602700248"/>
        <n v="233421.49130946572"/>
        <n v="130118.96213046084"/>
        <n v="62107.790253291947"/>
        <n v="307424.25647080765"/>
        <n v="41324.231595508732"/>
        <n v="48078.019543174953"/>
        <n v="349172.30875652836"/>
        <n v="230398.55304754962"/>
        <n v="72663.691050619367"/>
        <n v="185519.67988745205"/>
        <n v="309884.50457804266"/>
        <n v="66754.689960430216"/>
        <n v="53820.700391344282"/>
        <n v="448785.05401553883"/>
        <n v="137274.40148667584"/>
        <n v="137904.94358368462"/>
        <n v="248621.76500864152"/>
        <n v="438028.90046403313"/>
        <n v="33200.735334361809"/>
        <n v="289740.38391268614"/>
        <n v="94828.730323973461"/>
        <n v="257176.053322352"/>
        <n v="331916.90930881957"/>
        <n v="391067.25938292546"/>
        <n v="519856.95798097522"/>
        <n v="157077.34546303912"/>
        <n v="65816.500220713933"/>
        <n v="185589.14322518074"/>
        <n v="55333.362487814498"/>
        <n v="134037.62403282136"/>
        <n v="18345.247476777873"/>
        <n v="296253.71037191653"/>
        <n v="99932.878526359738"/>
        <n v="83522.676868283394"/>
        <n v="282644.11816274753"/>
        <n v="119842.81410515905"/>
        <n v="322080.18798352574"/>
        <n v="290539.82210950676"/>
        <n v="226892.8102903906"/>
        <n v="321437.72891053598"/>
        <n v="460485.11347090109"/>
        <n v="68031.56694394871"/>
        <n v="189555.33162054644"/>
        <n v="451353.82575498399"/>
        <n v="97831.944227154047"/>
        <n v="112057.54544321662"/>
        <n v="356440.93538109149"/>
        <n v="237275.11408157201"/>
        <n v="203611.72742013723"/>
        <n v="249402.20083167314"/>
        <n v="110929.07389636218"/>
        <n v="41220.027639607819"/>
        <n v="42872.380660497496"/>
        <n v="115179.28084784321"/>
        <n v="178530.00347118438"/>
        <n v="67899.484039563802"/>
        <n v="70802.145444494672"/>
        <n v="259407.94932802112"/>
        <n v="10654.140509332738"/>
        <n v="41747.316927923632"/>
        <n v="56482.418109434235"/>
        <n v="512831.97796297935"/>
        <n v="139241.15874057819"/>
        <n v="552113.20658795815"/>
        <n v="31586.664603988647"/>
        <n v="304001.67469428491"/>
        <n v="506793.70255111373"/>
        <n v="78946.541684326687"/>
        <n v="201912.56969268987"/>
        <n v="37907.033298572183"/>
        <n v="68762.106912452058"/>
        <n v="26398.214245863543"/>
        <n v="182997.26519533264"/>
        <n v="57577.482609206716"/>
        <n v="313703.73719882604"/>
      </sharedItems>
    </cacheField>
    <cacheField name="Product_Cost" numFmtId="4">
      <sharedItems containsSemiMixedTypes="0" containsString="0" containsNumber="1" minValue="5177.12" maxValue="429608.87"/>
    </cacheField>
    <cacheField name="Transport_Cost" numFmtId="4">
      <sharedItems containsSemiMixedTypes="0" containsString="0" containsNumber="1" minValue="216.19" maxValue="22535.13"/>
    </cacheField>
    <cacheField name="Labour_Cost" numFmtId="4">
      <sharedItems containsSemiMixedTypes="0" containsString="0" containsNumber="1" minValue="467.61" maxValue="44505.39"/>
    </cacheField>
    <cacheField name="Marketing_Cost" numFmtId="4">
      <sharedItems containsSemiMixedTypes="0" containsString="0" containsNumber="1" minValue="225.74" maxValue="28751.54"/>
    </cacheField>
    <cacheField name="Other_Cost" numFmtId="4">
      <sharedItems containsSemiMixedTypes="0" containsString="0" containsNumber="1" minValue="145.61000000000001" maxValue="19927.080000000002"/>
    </cacheField>
    <cacheField name="Total_Cost" numFmtId="4">
      <sharedItems containsSemiMixedTypes="0" containsString="0" containsNumber="1" minValue="6232.2699999999986" maxValue="513237.44"/>
    </cacheField>
    <cacheField name="Gross_Profit" numFmtId="4">
      <sharedItems containsSemiMixedTypes="0" containsString="0" containsNumber="1" minValue="2907.9385903932734" maxValue="300653.05540382973"/>
    </cacheField>
    <cacheField name="Net_Profit" numFmtId="4">
      <sharedItems containsSemiMixedTypes="0" containsString="0" containsNumber="1" minValue="299.26000000000204" maxValue="224155.22540382971"/>
    </cacheField>
    <cacheField name="Net_Margin" numFmtId="165">
      <sharedItems containsSemiMixedTypes="0" containsString="0" containsNumber="1" minValue="9.5568271308378375E-3" maxValue="0.43363559637695143"/>
    </cacheField>
    <cacheField name="Payment_Status" numFmtId="0">
      <sharedItems/>
    </cacheField>
    <cacheField name="Month" numFmtId="0">
      <sharedItems count="12">
        <s v="Jan"/>
        <s v="Feb"/>
        <s v="Mar"/>
        <s v="Apr"/>
        <s v="May"/>
        <s v="Jun"/>
        <s v="Jul"/>
        <s v="Aug"/>
        <s v="Sep"/>
        <s v="Oct"/>
        <s v="Nov"/>
        <s v="Dec"/>
      </sharedItems>
    </cacheField>
    <cacheField name="Month_No" numFmtId="0">
      <sharedItems containsSemiMixedTypes="0" containsString="0" containsNumber="1" containsInteger="1" minValue="1" maxValue="12" count="12">
        <n v="1"/>
        <n v="2"/>
        <n v="3"/>
        <n v="4"/>
        <n v="5"/>
        <n v="6"/>
        <n v="7"/>
        <n v="8"/>
        <n v="9"/>
        <n v="10"/>
        <n v="11"/>
        <n v="12"/>
      </sharedItems>
    </cacheField>
    <cacheField name="Period" numFmtId="0">
      <sharedItems count="2">
        <s v="H1"/>
        <s v="H2"/>
      </sharedItems>
    </cacheField>
  </cacheFields>
  <extLst>
    <ext xmlns:x14="http://schemas.microsoft.com/office/spreadsheetml/2009/9/main" uri="{725AE2AE-9491-48be-B2B4-4EB974FC3084}">
      <x14:pivotCacheDefinition pivotCacheId="9915157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40">
  <r>
    <x v="0"/>
    <s v="INV-01394"/>
    <x v="0"/>
    <x v="0"/>
    <x v="0"/>
    <s v="Abuja"/>
    <s v="Daniel"/>
    <s v="Distributor"/>
    <n v="85"/>
    <n v="1144.69"/>
    <n v="97298.650000000009"/>
    <n v="7232.67"/>
    <x v="0"/>
    <n v="55988.34"/>
    <n v="3447.96"/>
    <n v="5450.98"/>
    <n v="3596.33"/>
    <n v="2186.21"/>
    <n v="70669.820000000007"/>
    <n v="34077.640000000014"/>
    <n v="19396.160000000003"/>
    <n v="0.21535500973841623"/>
    <s v="Paid"/>
    <x v="0"/>
    <x v="0"/>
    <x v="0"/>
  </r>
  <r>
    <x v="0"/>
    <s v="INV-00118"/>
    <x v="1"/>
    <x v="1"/>
    <x v="1"/>
    <s v="Port Harcourt"/>
    <s v="Samuel"/>
    <s v="Wholesale"/>
    <n v="91"/>
    <n v="4110.1099999999997"/>
    <n v="374020.00999999995"/>
    <n v="29324.639999999999"/>
    <x v="1"/>
    <n v="244324.21"/>
    <n v="15243.21"/>
    <n v="23431.33"/>
    <n v="18619.47"/>
    <n v="9087.5300000000007"/>
    <n v="310705.75"/>
    <n v="100371.15999999995"/>
    <n v="33989.619999999937"/>
    <n v="9.8607706857216981E-2"/>
    <s v="Paid"/>
    <x v="0"/>
    <x v="0"/>
    <x v="0"/>
  </r>
  <r>
    <x v="0"/>
    <s v="INV-01194"/>
    <x v="2"/>
    <x v="2"/>
    <x v="2"/>
    <s v="Ibadan"/>
    <s v="Daniel"/>
    <s v="Supermarket"/>
    <n v="77"/>
    <n v="4319.05"/>
    <n v="332566.85000000003"/>
    <n v="22792.49"/>
    <x v="2"/>
    <n v="216457.89"/>
    <n v="9753.16"/>
    <n v="19459.689999999999"/>
    <n v="16261.06"/>
    <n v="8627.59"/>
    <n v="270559.39"/>
    <n v="93316.47000000003"/>
    <n v="39214.97000000003"/>
    <n v="0.12659204590076475"/>
    <s v="Paid"/>
    <x v="0"/>
    <x v="0"/>
    <x v="0"/>
  </r>
  <r>
    <x v="1"/>
    <s v="INV-01021"/>
    <x v="3"/>
    <x v="3"/>
    <x v="3"/>
    <s v="Lagos"/>
    <s v="Daniel"/>
    <s v="Supermarket"/>
    <n v="128"/>
    <n v="791.39"/>
    <n v="101297.92"/>
    <n v="8033.06"/>
    <x v="3"/>
    <n v="61727.91"/>
    <n v="2654.58"/>
    <n v="5524.49"/>
    <n v="3952.88"/>
    <n v="2057.13"/>
    <n v="75916.99000000002"/>
    <n v="31536.949999999997"/>
    <n v="17347.869999999981"/>
    <n v="0.18600649805296421"/>
    <s v="Paid"/>
    <x v="0"/>
    <x v="0"/>
    <x v="0"/>
  </r>
  <r>
    <x v="1"/>
    <s v="INV-00049"/>
    <x v="0"/>
    <x v="3"/>
    <x v="3"/>
    <s v="Port Harcourt"/>
    <s v="Daniel"/>
    <s v="Wholesale"/>
    <n v="65"/>
    <n v="780.58"/>
    <n v="50737.700000000004"/>
    <n v="3969.3"/>
    <x v="4"/>
    <n v="32236.14"/>
    <n v="1978.98"/>
    <n v="3094.32"/>
    <n v="1647.78"/>
    <n v="1231.3499999999999"/>
    <n v="40188.57"/>
    <n v="14532.260000000002"/>
    <n v="6579.8300000000017"/>
    <n v="0.14068965369779599"/>
    <s v="Paid"/>
    <x v="0"/>
    <x v="0"/>
    <x v="0"/>
  </r>
  <r>
    <x v="1"/>
    <s v="INV-00581"/>
    <x v="4"/>
    <x v="4"/>
    <x v="4"/>
    <s v="Port Harcourt"/>
    <s v="Ibrahim"/>
    <s v="Retail"/>
    <n v="92"/>
    <n v="3115.2"/>
    <n v="286598.39999999997"/>
    <n v="22867.16"/>
    <x v="5"/>
    <n v="154129.31"/>
    <n v="10322.620000000001"/>
    <n v="18582.919999999998"/>
    <n v="10921.44"/>
    <n v="5925.04"/>
    <n v="199881.33"/>
    <n v="109601.93"/>
    <n v="63849.91"/>
    <n v="0.24210218705982653"/>
    <s v="Paid"/>
    <x v="0"/>
    <x v="0"/>
    <x v="0"/>
  </r>
  <r>
    <x v="1"/>
    <s v="INV-00586"/>
    <x v="2"/>
    <x v="1"/>
    <x v="1"/>
    <s v="Lagos"/>
    <s v="Mary"/>
    <s v="Supermarket"/>
    <n v="69"/>
    <n v="4325.99"/>
    <n v="298493.31"/>
    <n v="18750.04"/>
    <x v="6"/>
    <n v="207341.39"/>
    <n v="7961.25"/>
    <n v="16491.259999999998"/>
    <n v="14688.13"/>
    <n v="7754.71"/>
    <n v="254236.74000000002"/>
    <n v="72401.88"/>
    <n v="25506.53"/>
    <n v="9.1178350778554906E-2"/>
    <s v="Paid"/>
    <x v="0"/>
    <x v="0"/>
    <x v="0"/>
  </r>
  <r>
    <x v="1"/>
    <s v="INV-01051"/>
    <x v="5"/>
    <x v="1"/>
    <x v="1"/>
    <s v="Lagos"/>
    <s v="Tunde"/>
    <s v="Wholesale"/>
    <n v="64"/>
    <n v="4077.64"/>
    <n v="260968.95999999999"/>
    <n v="24552.09"/>
    <x v="7"/>
    <n v="174115.44"/>
    <n v="6289.75"/>
    <n v="16286.48"/>
    <n v="10638.51"/>
    <n v="7538.94"/>
    <n v="214869.12000000002"/>
    <n v="62301.429999999993"/>
    <n v="21547.749999999971"/>
    <n v="9.1143030529081834E-2"/>
    <s v="Paid"/>
    <x v="0"/>
    <x v="0"/>
    <x v="0"/>
  </r>
  <r>
    <x v="1"/>
    <s v="INV-01254"/>
    <x v="5"/>
    <x v="5"/>
    <x v="3"/>
    <s v="Abuja"/>
    <s v="Ibrahim"/>
    <s v="Supermarket"/>
    <n v="29"/>
    <n v="1358.51"/>
    <n v="39396.79"/>
    <n v="2696.87"/>
    <x v="8"/>
    <n v="19905.91"/>
    <n v="1406.55"/>
    <n v="2627.33"/>
    <n v="1764.99"/>
    <n v="1172.69"/>
    <n v="26877.47"/>
    <n v="16794.009999999998"/>
    <n v="9822.4499999999971"/>
    <n v="0.26764227278969538"/>
    <s v="Paid"/>
    <x v="0"/>
    <x v="0"/>
    <x v="0"/>
  </r>
  <r>
    <x v="1"/>
    <s v="INV-00294"/>
    <x v="2"/>
    <x v="6"/>
    <x v="0"/>
    <s v="Lagos"/>
    <s v="Samuel"/>
    <s v="Wholesale"/>
    <n v="109"/>
    <n v="342.8"/>
    <n v="37365.200000000004"/>
    <n v="3125.04"/>
    <x v="9"/>
    <n v="26130.23"/>
    <n v="820.49"/>
    <n v="1925.8"/>
    <n v="1779.42"/>
    <n v="774"/>
    <n v="31429.940000000002"/>
    <n v="8109.9300000000039"/>
    <n v="2810.2200000000012"/>
    <n v="8.2073798720566749E-2"/>
    <s v="Paid"/>
    <x v="0"/>
    <x v="0"/>
    <x v="0"/>
  </r>
  <r>
    <x v="2"/>
    <s v="INV-01036"/>
    <x v="6"/>
    <x v="0"/>
    <x v="0"/>
    <s v="Lagos"/>
    <s v="Fatima"/>
    <s v="Wholesale"/>
    <n v="102"/>
    <n v="1102.1300000000001"/>
    <n v="112417.26000000001"/>
    <n v="9894.1"/>
    <x v="10"/>
    <n v="60067.34"/>
    <n v="2597.08"/>
    <n v="7106.36"/>
    <n v="4993.1499999999996"/>
    <n v="2064.4"/>
    <n v="76828.329999999987"/>
    <n v="42455.820000000007"/>
    <n v="25694.830000000016"/>
    <n v="0.25062463934978219"/>
    <s v="Pending"/>
    <x v="0"/>
    <x v="0"/>
    <x v="0"/>
  </r>
  <r>
    <x v="2"/>
    <s v="INV-01376"/>
    <x v="6"/>
    <x v="7"/>
    <x v="5"/>
    <s v="Abuja"/>
    <s v="Emeka"/>
    <s v="Supermarket"/>
    <n v="59"/>
    <n v="5036.08"/>
    <n v="297128.71999999997"/>
    <n v="26444.22"/>
    <x v="11"/>
    <n v="207277.12"/>
    <n v="10236.16"/>
    <n v="18287.66"/>
    <n v="10421.030000000001"/>
    <n v="5551.79"/>
    <n v="251773.76"/>
    <n v="63407.380000000005"/>
    <n v="18910.739999999991"/>
    <n v="6.9862662989569002E-2"/>
    <s v="Paid"/>
    <x v="0"/>
    <x v="0"/>
    <x v="0"/>
  </r>
  <r>
    <x v="3"/>
    <s v="INV-00284"/>
    <x v="7"/>
    <x v="0"/>
    <x v="0"/>
    <s v="Abuja"/>
    <s v="Ibrahim"/>
    <s v="Wholesale"/>
    <n v="72"/>
    <n v="1147.19"/>
    <n v="82597.680000000008"/>
    <n v="6554.15"/>
    <x v="12"/>
    <n v="47024.6"/>
    <n v="2871.89"/>
    <n v="4281.97"/>
    <n v="3928.26"/>
    <n v="2053.98"/>
    <n v="60160.700000000004"/>
    <n v="29018.930000000015"/>
    <n v="15882.830000000009"/>
    <n v="0.20886497510044583"/>
    <s v="Paid"/>
    <x v="0"/>
    <x v="0"/>
    <x v="0"/>
  </r>
  <r>
    <x v="4"/>
    <s v="INV-01382"/>
    <x v="2"/>
    <x v="6"/>
    <x v="0"/>
    <s v="Ibadan"/>
    <s v="Samuel"/>
    <s v="Distributor"/>
    <n v="77"/>
    <n v="363.68"/>
    <n v="28003.360000000001"/>
    <n v="2277.12"/>
    <x v="13"/>
    <n v="20654.79"/>
    <n v="824.1"/>
    <n v="1602.58"/>
    <n v="1282.0899999999999"/>
    <n v="738.88"/>
    <n v="25102.440000000002"/>
    <n v="5071.4500000000007"/>
    <n v="623.79999999999927"/>
    <n v="2.4247616441423203E-2"/>
    <s v="Paid"/>
    <x v="0"/>
    <x v="0"/>
    <x v="0"/>
  </r>
  <r>
    <x v="4"/>
    <s v="INV-00867"/>
    <x v="4"/>
    <x v="8"/>
    <x v="2"/>
    <s v="Lagos"/>
    <s v="Tunde"/>
    <s v="Wholesale"/>
    <n v="86"/>
    <n v="6217.6"/>
    <n v="534713.59999999998"/>
    <n v="50741.54"/>
    <x v="14"/>
    <n v="291530.71000000002"/>
    <n v="13136.85"/>
    <n v="28029.759999999998"/>
    <n v="23126.01"/>
    <n v="10792.84"/>
    <n v="366616.17000000004"/>
    <n v="192441.34999999998"/>
    <n v="117355.88999999996"/>
    <n v="0.24248484509622303"/>
    <s v="Paid"/>
    <x v="0"/>
    <x v="0"/>
    <x v="0"/>
  </r>
  <r>
    <x v="5"/>
    <s v="INV-00661"/>
    <x v="8"/>
    <x v="2"/>
    <x v="2"/>
    <s v="Lagos"/>
    <s v="Mary"/>
    <s v="Retail"/>
    <n v="47"/>
    <n v="4195.72"/>
    <n v="197198.84000000003"/>
    <n v="16188.84"/>
    <x v="15"/>
    <n v="127788.75"/>
    <n v="4978.33"/>
    <n v="12331.18"/>
    <n v="9336.9500000000007"/>
    <n v="5038.1099999999997"/>
    <n v="159473.31999999998"/>
    <n v="53221.250000000029"/>
    <n v="21536.680000000051"/>
    <n v="0.11898060880614357"/>
    <s v="Paid"/>
    <x v="0"/>
    <x v="0"/>
    <x v="0"/>
  </r>
  <r>
    <x v="5"/>
    <s v="INV-00425"/>
    <x v="6"/>
    <x v="9"/>
    <x v="4"/>
    <s v="Lagos"/>
    <s v="Amina"/>
    <s v="Supermarket"/>
    <n v="77"/>
    <n v="1815.15"/>
    <n v="139766.55000000002"/>
    <n v="12025.88"/>
    <x v="16"/>
    <n v="88854.69"/>
    <n v="3232.22"/>
    <n v="8696.61"/>
    <n v="6121.31"/>
    <n v="3353.68"/>
    <n v="110258.51"/>
    <n v="38885.98000000001"/>
    <n v="17482.160000000018"/>
    <n v="0.13685664870866904"/>
    <s v="Paid"/>
    <x v="0"/>
    <x v="0"/>
    <x v="0"/>
  </r>
  <r>
    <x v="5"/>
    <s v="INV-00541"/>
    <x v="7"/>
    <x v="2"/>
    <x v="2"/>
    <s v="Abuja"/>
    <s v="Amina"/>
    <s v="Retail"/>
    <n v="80"/>
    <n v="4399.7299999999996"/>
    <n v="351978.39999999997"/>
    <n v="25885.4"/>
    <x v="17"/>
    <n v="237704.27"/>
    <n v="10587.35"/>
    <n v="22720.95"/>
    <n v="13312.42"/>
    <n v="7574.29"/>
    <n v="291899.27999999997"/>
    <n v="88388.729999999952"/>
    <n v="34193.719999999972"/>
    <n v="0.10485879795027792"/>
    <s v="Paid"/>
    <x v="0"/>
    <x v="0"/>
    <x v="0"/>
  </r>
  <r>
    <x v="5"/>
    <s v="INV-01362"/>
    <x v="7"/>
    <x v="2"/>
    <x v="2"/>
    <s v="Lagos"/>
    <s v="Tunde"/>
    <s v="Retail"/>
    <n v="54"/>
    <n v="4342.43"/>
    <n v="234491.22000000003"/>
    <n v="17353.900000000001"/>
    <x v="18"/>
    <n v="151070.32"/>
    <n v="5615.27"/>
    <n v="13050.32"/>
    <n v="9824.3799999999992"/>
    <n v="4679.59"/>
    <n v="184239.88"/>
    <n v="66067.000000000029"/>
    <n v="32897.440000000031"/>
    <n v="0.15150523180446376"/>
    <s v="Paid"/>
    <x v="0"/>
    <x v="0"/>
    <x v="0"/>
  </r>
  <r>
    <x v="5"/>
    <s v="INV-00879"/>
    <x v="4"/>
    <x v="2"/>
    <x v="2"/>
    <s v="Lagos"/>
    <s v="Amina"/>
    <s v="Distributor"/>
    <n v="44"/>
    <n v="4302.6099999999997"/>
    <n v="189314.84"/>
    <n v="14266.33"/>
    <x v="19"/>
    <n v="124160.26"/>
    <n v="4557.3999999999996"/>
    <n v="11614.49"/>
    <n v="6441.88"/>
    <n v="3681.54"/>
    <n v="150455.57"/>
    <n v="50888.250000000015"/>
    <n v="24592.940000000002"/>
    <n v="0.14049214129271939"/>
    <s v="Paid"/>
    <x v="0"/>
    <x v="0"/>
    <x v="0"/>
  </r>
  <r>
    <x v="5"/>
    <s v="INV-00958"/>
    <x v="2"/>
    <x v="5"/>
    <x v="3"/>
    <s v="Ibadan"/>
    <s v="Amina"/>
    <s v="Retail"/>
    <n v="62"/>
    <n v="1355.96"/>
    <n v="84069.52"/>
    <n v="5485.08"/>
    <x v="20"/>
    <n v="41754.17"/>
    <n v="2295.17"/>
    <n v="4480.46"/>
    <n v="3276.56"/>
    <n v="1999.94"/>
    <n v="53806.299999999996"/>
    <n v="36830.270000000004"/>
    <n v="24778.140000000007"/>
    <n v="0.31530593079240632"/>
    <s v="Paid"/>
    <x v="0"/>
    <x v="0"/>
    <x v="0"/>
  </r>
  <r>
    <x v="5"/>
    <s v="INV-00815"/>
    <x v="6"/>
    <x v="7"/>
    <x v="5"/>
    <s v="Lagos"/>
    <s v="Daniel"/>
    <s v="Wholesale"/>
    <n v="96"/>
    <n v="5193.8999999999996"/>
    <n v="498614.39999999997"/>
    <n v="33163.230000000003"/>
    <x v="21"/>
    <n v="350046.92"/>
    <n v="11169.27"/>
    <n v="32213.32"/>
    <n v="24772.720000000001"/>
    <n v="14612.74"/>
    <n v="432814.97"/>
    <n v="115404.25"/>
    <n v="32636.200000000012"/>
    <n v="7.0117344425195044E-2"/>
    <s v="Pending"/>
    <x v="0"/>
    <x v="0"/>
    <x v="0"/>
  </r>
  <r>
    <x v="5"/>
    <s v="INV-00596"/>
    <x v="4"/>
    <x v="9"/>
    <x v="4"/>
    <s v="Lagos"/>
    <s v="Daniel"/>
    <s v="Retail"/>
    <n v="73"/>
    <n v="1829.07"/>
    <n v="133522.10999999999"/>
    <n v="7684.01"/>
    <x v="22"/>
    <n v="85413.79"/>
    <n v="3491.79"/>
    <n v="8528.6"/>
    <n v="6137.85"/>
    <n v="3884.11"/>
    <n v="107456.14"/>
    <n v="40424.31"/>
    <n v="18381.959999999992"/>
    <n v="0.1460762678393904"/>
    <s v="Paid"/>
    <x v="0"/>
    <x v="0"/>
    <x v="0"/>
  </r>
  <r>
    <x v="6"/>
    <s v="INV-00926"/>
    <x v="8"/>
    <x v="2"/>
    <x v="2"/>
    <s v="Lagos"/>
    <s v="Emeka"/>
    <s v="Wholesale"/>
    <n v="69"/>
    <n v="4277.04"/>
    <n v="295115.76"/>
    <n v="26640.62"/>
    <x v="23"/>
    <n v="194072.77"/>
    <n v="6400.26"/>
    <n v="17507.490000000002"/>
    <n v="12744.37"/>
    <n v="7935.22"/>
    <n v="238660.11"/>
    <n v="74402.370000000024"/>
    <n v="29815.030000000028"/>
    <n v="0.11105322451829255"/>
    <s v="Paid"/>
    <x v="0"/>
    <x v="0"/>
    <x v="0"/>
  </r>
  <r>
    <x v="6"/>
    <s v="INV-00413"/>
    <x v="2"/>
    <x v="4"/>
    <x v="4"/>
    <s v="Lagos"/>
    <s v="Tunde"/>
    <s v="Supermarket"/>
    <n v="54"/>
    <n v="2995.41"/>
    <n v="161752.13999999998"/>
    <n v="13867.16"/>
    <x v="24"/>
    <n v="84740.3"/>
    <n v="4000.31"/>
    <n v="8928.4500000000007"/>
    <n v="7136.43"/>
    <n v="3762.18"/>
    <n v="108567.66999999998"/>
    <n v="63144.679999999978"/>
    <n v="39317.31"/>
    <n v="0.26586411953397837"/>
    <s v="Paid"/>
    <x v="0"/>
    <x v="0"/>
    <x v="0"/>
  </r>
  <r>
    <x v="6"/>
    <s v="INV-00849"/>
    <x v="7"/>
    <x v="5"/>
    <x v="3"/>
    <s v="Lagos"/>
    <s v="Tunde"/>
    <s v="Retail"/>
    <n v="46"/>
    <n v="1444.31"/>
    <n v="66438.259999999995"/>
    <n v="5295.88"/>
    <x v="25"/>
    <n v="34059.08"/>
    <n v="1609.05"/>
    <n v="4185.3599999999997"/>
    <n v="2670.89"/>
    <n v="1855.3"/>
    <n v="44379.680000000008"/>
    <n v="27083.299999999996"/>
    <n v="16762.69999999999"/>
    <n v="0.27415844787199961"/>
    <s v="Paid"/>
    <x v="0"/>
    <x v="0"/>
    <x v="0"/>
  </r>
  <r>
    <x v="6"/>
    <s v="INV-00836"/>
    <x v="7"/>
    <x v="7"/>
    <x v="5"/>
    <s v="Abuja"/>
    <s v="Tunde"/>
    <s v="Wholesale"/>
    <n v="96"/>
    <n v="5005.76"/>
    <n v="480552.96000000002"/>
    <n v="37029.82"/>
    <x v="26"/>
    <n v="328453.05"/>
    <n v="16846.939999999999"/>
    <n v="29320.94"/>
    <n v="22899.09"/>
    <n v="12935.34"/>
    <n v="410455.36000000004"/>
    <n v="115070.09000000003"/>
    <n v="33067.77999999997"/>
    <n v="7.4557056932812948E-2"/>
    <s v="Paid"/>
    <x v="0"/>
    <x v="0"/>
    <x v="0"/>
  </r>
  <r>
    <x v="6"/>
    <s v="INV-01133"/>
    <x v="9"/>
    <x v="8"/>
    <x v="2"/>
    <s v="Lagos"/>
    <s v="Fatima"/>
    <s v="Wholesale"/>
    <n v="76"/>
    <n v="6022.91"/>
    <n v="457741.16"/>
    <n v="30229.23"/>
    <x v="27"/>
    <n v="256572.86"/>
    <n v="10633.45"/>
    <n v="28920.76"/>
    <n v="17203.259999999998"/>
    <n v="10995.99"/>
    <n v="324326.32"/>
    <n v="170939.07"/>
    <n v="103185.60999999999"/>
    <n v="0.24136311236975302"/>
    <s v="Paid"/>
    <x v="0"/>
    <x v="0"/>
    <x v="0"/>
  </r>
  <r>
    <x v="6"/>
    <s v="INV-01002"/>
    <x v="0"/>
    <x v="10"/>
    <x v="5"/>
    <s v="Port Harcourt"/>
    <s v="Mary"/>
    <s v="Wholesale"/>
    <n v="37"/>
    <n v="6334.69"/>
    <n v="234383.53"/>
    <n v="20580.18"/>
    <x v="28"/>
    <n v="129450.98"/>
    <n v="8132.64"/>
    <n v="14720.01"/>
    <n v="10535.7"/>
    <n v="4948.97"/>
    <n v="167788.30000000002"/>
    <n v="84352.37000000001"/>
    <n v="46015.049999999988"/>
    <n v="0.21522137047899384"/>
    <s v="Paid"/>
    <x v="0"/>
    <x v="0"/>
    <x v="0"/>
  </r>
  <r>
    <x v="6"/>
    <s v="INV-00121"/>
    <x v="6"/>
    <x v="9"/>
    <x v="4"/>
    <s v="Lagos"/>
    <s v="Emeka"/>
    <s v="Supermarket"/>
    <n v="89"/>
    <n v="1839.05"/>
    <n v="163675.44999999998"/>
    <n v="13689.25"/>
    <x v="29"/>
    <n v="101597.6"/>
    <n v="3983.71"/>
    <n v="9126.8700000000008"/>
    <n v="5971.38"/>
    <n v="3041.2"/>
    <n v="123720.76000000001"/>
    <n v="48388.599999999977"/>
    <n v="26265.439999999973"/>
    <n v="0.17511904428540742"/>
    <s v="Paid"/>
    <x v="0"/>
    <x v="0"/>
    <x v="0"/>
  </r>
  <r>
    <x v="7"/>
    <s v="INV-01230"/>
    <x v="7"/>
    <x v="3"/>
    <x v="3"/>
    <s v="Port Harcourt"/>
    <s v="Samuel"/>
    <s v="Supermarket"/>
    <n v="84"/>
    <n v="791.43"/>
    <n v="66480.12"/>
    <n v="4771.13"/>
    <x v="30"/>
    <n v="40144.83"/>
    <n v="2479.66"/>
    <n v="3639.75"/>
    <n v="2796.64"/>
    <n v="1848.48"/>
    <n v="50909.360000000008"/>
    <n v="21564.159999999996"/>
    <n v="10799.62999999999"/>
    <n v="0.17500902218623235"/>
    <s v="Paid"/>
    <x v="0"/>
    <x v="0"/>
    <x v="0"/>
  </r>
  <r>
    <x v="7"/>
    <s v="INV-00810"/>
    <x v="1"/>
    <x v="6"/>
    <x v="0"/>
    <s v="Lagos"/>
    <s v="Samuel"/>
    <s v="Retail"/>
    <n v="131"/>
    <n v="357.68"/>
    <n v="46856.08"/>
    <n v="3537.77"/>
    <x v="31"/>
    <n v="32798.29"/>
    <n v="1209.3800000000001"/>
    <n v="3172.12"/>
    <n v="1637.35"/>
    <n v="947.47"/>
    <n v="39764.61"/>
    <n v="10520.020000000004"/>
    <n v="3553.7000000000044"/>
    <n v="8.2036903101713896E-2"/>
    <s v="Paid"/>
    <x v="0"/>
    <x v="0"/>
    <x v="0"/>
  </r>
  <r>
    <x v="7"/>
    <s v="INV-00790"/>
    <x v="8"/>
    <x v="0"/>
    <x v="0"/>
    <s v="Lagos"/>
    <s v="Tunde"/>
    <s v="Supermarket"/>
    <n v="99"/>
    <n v="1096.1199999999999"/>
    <n v="108515.87999999999"/>
    <n v="8354.66"/>
    <x v="32"/>
    <n v="61413.74"/>
    <n v="2474.2600000000002"/>
    <n v="7084.88"/>
    <n v="4783.1000000000004"/>
    <n v="2499.79"/>
    <n v="78255.77"/>
    <n v="38747.479999999989"/>
    <n v="21905.449999999983"/>
    <n v="0.21870190878266044"/>
    <s v="Paid"/>
    <x v="0"/>
    <x v="0"/>
    <x v="0"/>
  </r>
  <r>
    <x v="8"/>
    <s v="INV-01295"/>
    <x v="0"/>
    <x v="1"/>
    <x v="1"/>
    <s v="Port Harcourt"/>
    <s v="Mary"/>
    <s v="Supermarket"/>
    <n v="47"/>
    <n v="4273.53"/>
    <n v="200855.90999999997"/>
    <n v="17528.11"/>
    <x v="33"/>
    <n v="136569.97"/>
    <n v="7890.77"/>
    <n v="11091.42"/>
    <n v="7721.86"/>
    <n v="5728.5"/>
    <n v="169002.52"/>
    <n v="46757.829999999987"/>
    <n v="14325.279999999999"/>
    <n v="7.8140249323888689E-2"/>
    <s v="Paid"/>
    <x v="0"/>
    <x v="0"/>
    <x v="0"/>
  </r>
  <r>
    <x v="8"/>
    <s v="INV-00164"/>
    <x v="10"/>
    <x v="9"/>
    <x v="4"/>
    <s v="Lagos"/>
    <s v="Fatima"/>
    <s v="Wholesale"/>
    <n v="77"/>
    <n v="1777.87"/>
    <n v="136895.99"/>
    <n v="9854.4"/>
    <x v="34"/>
    <n v="87703.87"/>
    <n v="3623.58"/>
    <n v="8829.08"/>
    <n v="5512.81"/>
    <n v="3027.38"/>
    <n v="108696.72"/>
    <n v="39337.72"/>
    <n v="18344.869999999995"/>
    <n v="0.14440050695209336"/>
    <s v="Pending"/>
    <x v="0"/>
    <x v="0"/>
    <x v="0"/>
  </r>
  <r>
    <x v="8"/>
    <s v="INV-00189"/>
    <x v="8"/>
    <x v="1"/>
    <x v="1"/>
    <s v="Port Harcourt"/>
    <s v="Tunde"/>
    <s v="Supermarket"/>
    <n v="37"/>
    <n v="4056.18"/>
    <n v="150078.66"/>
    <n v="9520.0499999999993"/>
    <x v="35"/>
    <n v="101217.52"/>
    <n v="5771.99"/>
    <n v="8725.33"/>
    <n v="7625.88"/>
    <n v="3573.75"/>
    <n v="126914.47000000002"/>
    <n v="39341.090000000011"/>
    <n v="13644.14"/>
    <n v="9.7070823338392412E-2"/>
    <s v="Pending"/>
    <x v="0"/>
    <x v="0"/>
    <x v="0"/>
  </r>
  <r>
    <x v="8"/>
    <s v="INV-01158"/>
    <x v="4"/>
    <x v="6"/>
    <x v="0"/>
    <s v="Lagos"/>
    <s v="Emeka"/>
    <s v="Supermarket"/>
    <n v="143"/>
    <n v="346.73"/>
    <n v="49582.39"/>
    <n v="3890.38"/>
    <x v="36"/>
    <n v="36089.050000000003"/>
    <n v="1203.3900000000001"/>
    <n v="3255.88"/>
    <n v="1677.94"/>
    <n v="962.41"/>
    <n v="43188.670000000006"/>
    <n v="9602.9599999999991"/>
    <n v="2503.3399999999965"/>
    <n v="5.4787259304197748E-2"/>
    <s v="Paid"/>
    <x v="0"/>
    <x v="0"/>
    <x v="0"/>
  </r>
  <r>
    <x v="8"/>
    <s v="INV-00735"/>
    <x v="0"/>
    <x v="6"/>
    <x v="0"/>
    <s v="Lagos"/>
    <s v="Ibrahim"/>
    <s v="Wholesale"/>
    <n v="177"/>
    <n v="349.37"/>
    <n v="61838.49"/>
    <n v="4657.93"/>
    <x v="37"/>
    <n v="42843.34"/>
    <n v="1407.91"/>
    <n v="3321.46"/>
    <n v="2529.46"/>
    <n v="1263.75"/>
    <n v="51365.919999999998"/>
    <n v="14337.220000000001"/>
    <n v="5814.6399999999994"/>
    <n v="0.10168910552817251"/>
    <s v="Pending"/>
    <x v="0"/>
    <x v="0"/>
    <x v="0"/>
  </r>
  <r>
    <x v="8"/>
    <s v="INV-00107"/>
    <x v="4"/>
    <x v="7"/>
    <x v="5"/>
    <s v="Lagos"/>
    <s v="Mary"/>
    <s v="Retail"/>
    <n v="69"/>
    <n v="5150.3"/>
    <n v="355370.7"/>
    <n v="28147.73"/>
    <x v="38"/>
    <n v="249274.69"/>
    <n v="8480.7199999999993"/>
    <n v="21250.89"/>
    <n v="13725.9"/>
    <n v="10453.99"/>
    <n v="303186.19"/>
    <n v="77948.280000000028"/>
    <n v="24036.780000000028"/>
    <n v="7.3456884765760871E-2"/>
    <s v="Paid"/>
    <x v="0"/>
    <x v="0"/>
    <x v="0"/>
  </r>
  <r>
    <x v="9"/>
    <s v="INV-01353"/>
    <x v="4"/>
    <x v="3"/>
    <x v="3"/>
    <s v="Lagos"/>
    <s v="Daniel"/>
    <s v="Supermarket"/>
    <n v="96"/>
    <n v="817.18"/>
    <n v="78449.279999999999"/>
    <n v="5045.4399999999996"/>
    <x v="39"/>
    <n v="47816.58"/>
    <n v="1897.92"/>
    <n v="5498.33"/>
    <n v="3221.5"/>
    <n v="1850.13"/>
    <n v="60284.46"/>
    <n v="25587.259999999995"/>
    <n v="13119.379999999997"/>
    <n v="0.17872879674959782"/>
    <s v="Pending"/>
    <x v="0"/>
    <x v="0"/>
    <x v="0"/>
  </r>
  <r>
    <x v="9"/>
    <s v="INV-01169"/>
    <x v="1"/>
    <x v="7"/>
    <x v="5"/>
    <s v="Lagos"/>
    <s v="Ibrahim"/>
    <s v="Supermarket"/>
    <n v="94"/>
    <n v="5265.89"/>
    <n v="494993.66000000003"/>
    <n v="43843.28"/>
    <x v="40"/>
    <n v="338995.76"/>
    <n v="10641.17"/>
    <n v="29980.31"/>
    <n v="19078.47"/>
    <n v="14297.3"/>
    <n v="412993.00999999995"/>
    <n v="112154.62"/>
    <n v="38157.370000000054"/>
    <n v="8.4577940508439892E-2"/>
    <s v="Paid"/>
    <x v="0"/>
    <x v="0"/>
    <x v="0"/>
  </r>
  <r>
    <x v="9"/>
    <s v="INV-01231"/>
    <x v="9"/>
    <x v="7"/>
    <x v="5"/>
    <s v="Abuja"/>
    <s v="Samuel"/>
    <s v="Distributor"/>
    <n v="64"/>
    <n v="5001.3599999999997"/>
    <n v="320087.03999999998"/>
    <n v="31811.21"/>
    <x v="41"/>
    <n v="214494.43"/>
    <n v="9683.81"/>
    <n v="18485.310000000001"/>
    <n v="11544.26"/>
    <n v="9218.7999999999993"/>
    <n v="263426.61"/>
    <n v="73781.399999999965"/>
    <n v="24849.219999999972"/>
    <n v="8.6199456957595011E-2"/>
    <s v="Paid"/>
    <x v="0"/>
    <x v="0"/>
    <x v="0"/>
  </r>
  <r>
    <x v="10"/>
    <s v="INV-00188"/>
    <x v="10"/>
    <x v="9"/>
    <x v="4"/>
    <s v="Lagos"/>
    <s v="Samuel"/>
    <s v="Supermarket"/>
    <n v="105"/>
    <n v="1821.9"/>
    <n v="191299.5"/>
    <n v="15551.93"/>
    <x v="42"/>
    <n v="126895.91"/>
    <n v="4264.55"/>
    <n v="12310.91"/>
    <n v="7883.99"/>
    <n v="3740.87"/>
    <n v="155096.22999999998"/>
    <n v="48851.66"/>
    <n v="20651.340000000026"/>
    <n v="0.11750569296633817"/>
    <s v="Paid"/>
    <x v="0"/>
    <x v="0"/>
    <x v="0"/>
  </r>
  <r>
    <x v="10"/>
    <s v="INV-00912"/>
    <x v="11"/>
    <x v="7"/>
    <x v="5"/>
    <s v="Abuja"/>
    <s v="Tunde"/>
    <s v="Supermarket"/>
    <n v="78"/>
    <n v="5187.13"/>
    <n v="404596.14"/>
    <n v="24740.23"/>
    <x v="43"/>
    <n v="288474.15999999997"/>
    <n v="14845.12"/>
    <n v="21191.119999999999"/>
    <n v="13990.01"/>
    <n v="8379.2900000000009"/>
    <n v="346879.69999999995"/>
    <n v="91381.750000000058"/>
    <n v="32976.210000000079"/>
    <n v="8.6812417898144784E-2"/>
    <s v="Paid"/>
    <x v="0"/>
    <x v="0"/>
    <x v="0"/>
  </r>
  <r>
    <x v="11"/>
    <s v="INV-00881"/>
    <x v="9"/>
    <x v="7"/>
    <x v="5"/>
    <s v="Port Harcourt"/>
    <s v="Fatima"/>
    <s v="Retail"/>
    <n v="72"/>
    <n v="5187.8500000000004"/>
    <n v="373525.2"/>
    <n v="20636.89"/>
    <x v="44"/>
    <n v="262285.51"/>
    <n v="14196.08"/>
    <n v="24433.73"/>
    <n v="17783.330000000002"/>
    <n v="7525.85"/>
    <n v="326224.5"/>
    <n v="90602.799999999988"/>
    <n v="26663.809999999998"/>
    <n v="7.5558779490315212E-2"/>
    <s v="Paid"/>
    <x v="0"/>
    <x v="0"/>
    <x v="0"/>
  </r>
  <r>
    <x v="11"/>
    <s v="INV-00069"/>
    <x v="11"/>
    <x v="3"/>
    <x v="3"/>
    <s v="Abuja"/>
    <s v="Samuel"/>
    <s v="Wholesale"/>
    <n v="88"/>
    <n v="827.85"/>
    <n v="72850.8"/>
    <n v="6298.95"/>
    <x v="45"/>
    <n v="45841"/>
    <n v="2599.23"/>
    <n v="4115.5"/>
    <n v="3356.06"/>
    <n v="1939.6"/>
    <n v="57851.39"/>
    <n v="20710.850000000006"/>
    <n v="8700.4600000000064"/>
    <n v="0.13073205327875942"/>
    <s v="Paid"/>
    <x v="0"/>
    <x v="0"/>
    <x v="0"/>
  </r>
  <r>
    <x v="11"/>
    <s v="INV-00676"/>
    <x v="9"/>
    <x v="2"/>
    <x v="2"/>
    <s v="Lagos"/>
    <s v="Emeka"/>
    <s v="Supermarket"/>
    <n v="62"/>
    <n v="4347.97"/>
    <n v="269574.14"/>
    <n v="18331.150000000001"/>
    <x v="46"/>
    <n v="177420.6"/>
    <n v="6491.59"/>
    <n v="17334.97"/>
    <n v="11459.46"/>
    <n v="5840.89"/>
    <n v="218547.51"/>
    <n v="73822.390000000014"/>
    <n v="32695.48000000001"/>
    <n v="0.13013489450989263"/>
    <s v="Paid"/>
    <x v="0"/>
    <x v="0"/>
    <x v="0"/>
  </r>
  <r>
    <x v="11"/>
    <s v="INV-00602"/>
    <x v="11"/>
    <x v="7"/>
    <x v="5"/>
    <s v="Lagos"/>
    <s v="Tunde"/>
    <s v="Distributor"/>
    <n v="59"/>
    <n v="4997.54"/>
    <n v="294854.86"/>
    <n v="26872"/>
    <x v="47"/>
    <n v="194127.01"/>
    <n v="6610.16"/>
    <n v="16170.59"/>
    <n v="11436.71"/>
    <n v="7371.77"/>
    <n v="235716.24"/>
    <n v="73855.849999999977"/>
    <n v="32266.619999999995"/>
    <n v="0.12040553638393141"/>
    <s v="Paid"/>
    <x v="0"/>
    <x v="0"/>
    <x v="0"/>
  </r>
  <r>
    <x v="11"/>
    <s v="INV-00341"/>
    <x v="3"/>
    <x v="9"/>
    <x v="4"/>
    <s v="Abuja"/>
    <s v="Amina"/>
    <s v="Distributor"/>
    <n v="88"/>
    <n v="1864.43"/>
    <n v="164069.84"/>
    <n v="12398.49"/>
    <x v="48"/>
    <n v="109869.33"/>
    <n v="5213.96"/>
    <n v="11057.15"/>
    <n v="7678.77"/>
    <n v="3452.19"/>
    <n v="137271.4"/>
    <n v="41802.020000000004"/>
    <n v="14399.950000000012"/>
    <n v="9.4941793555605669E-2"/>
    <s v="Paid"/>
    <x v="0"/>
    <x v="0"/>
    <x v="0"/>
  </r>
  <r>
    <x v="12"/>
    <s v="INV-00272"/>
    <x v="8"/>
    <x v="8"/>
    <x v="2"/>
    <s v="Port Harcourt"/>
    <s v="Samuel"/>
    <s v="Supermarket"/>
    <n v="76"/>
    <n v="6255.82"/>
    <n v="475442.31999999995"/>
    <n v="30670.68"/>
    <x v="49"/>
    <n v="259377.41"/>
    <n v="19721.96"/>
    <n v="26692.66"/>
    <n v="16766.849999999999"/>
    <n v="10000.39"/>
    <n v="332559.26999999996"/>
    <n v="185394.22999999995"/>
    <n v="112212.37"/>
    <n v="0.25229209758068211"/>
    <s v="Paid"/>
    <x v="0"/>
    <x v="0"/>
    <x v="0"/>
  </r>
  <r>
    <x v="12"/>
    <s v="INV-00821"/>
    <x v="3"/>
    <x v="0"/>
    <x v="0"/>
    <s v="Lagos"/>
    <s v="Ibrahim"/>
    <s v="Retail"/>
    <n v="79"/>
    <n v="1083.55"/>
    <n v="85600.45"/>
    <n v="5222.7"/>
    <x v="50"/>
    <n v="48526.76"/>
    <n v="2147.46"/>
    <n v="5276.98"/>
    <n v="3807.84"/>
    <n v="2279.23"/>
    <n v="62038.27"/>
    <n v="31850.989999999998"/>
    <n v="18339.480000000003"/>
    <n v="0.22816612806404762"/>
    <s v="Pending"/>
    <x v="0"/>
    <x v="0"/>
    <x v="0"/>
  </r>
  <r>
    <x v="12"/>
    <s v="INV-00953"/>
    <x v="11"/>
    <x v="7"/>
    <x v="5"/>
    <s v="Ibadan"/>
    <s v="Tunde"/>
    <s v="Wholesale"/>
    <n v="46"/>
    <n v="5250.58"/>
    <n v="241526.68"/>
    <n v="21264.14"/>
    <x v="51"/>
    <n v="159752.84"/>
    <n v="6734.06"/>
    <n v="14607.25"/>
    <n v="11150.85"/>
    <n v="6373.78"/>
    <n v="198618.78"/>
    <n v="60509.699999999983"/>
    <n v="21643.75999999998"/>
    <n v="9.8263463228926637E-2"/>
    <s v="Paid"/>
    <x v="0"/>
    <x v="0"/>
    <x v="0"/>
  </r>
  <r>
    <x v="12"/>
    <s v="INV-00382"/>
    <x v="5"/>
    <x v="1"/>
    <x v="1"/>
    <s v="Lagos"/>
    <s v="Amina"/>
    <s v="Distributor"/>
    <n v="74"/>
    <n v="4042.72"/>
    <n v="299161.27999999997"/>
    <n v="23911.07"/>
    <x v="52"/>
    <n v="203034.82"/>
    <n v="6689.54"/>
    <n v="18400.63"/>
    <n v="13657.75"/>
    <n v="8510.23"/>
    <n v="250292.97000000003"/>
    <n v="72215.389999999956"/>
    <n v="24957.239999999932"/>
    <n v="9.0671102485262181E-2"/>
    <s v="Paid"/>
    <x v="0"/>
    <x v="0"/>
    <x v="0"/>
  </r>
  <r>
    <x v="13"/>
    <s v="INV-00448"/>
    <x v="7"/>
    <x v="0"/>
    <x v="0"/>
    <s v="Lagos"/>
    <s v="Fatima"/>
    <s v="Distributor"/>
    <n v="85"/>
    <n v="1075.28"/>
    <n v="91398.8"/>
    <n v="6491.43"/>
    <x v="53"/>
    <n v="52583.28"/>
    <n v="2337.81"/>
    <n v="5321.9"/>
    <n v="3097.79"/>
    <n v="2475.21"/>
    <n v="65815.990000000005"/>
    <n v="32324.089999999997"/>
    <n v="19091.37999999999"/>
    <n v="0.2248495036414388"/>
    <s v="Paid"/>
    <x v="0"/>
    <x v="0"/>
    <x v="0"/>
  </r>
  <r>
    <x v="13"/>
    <s v="INV-01102"/>
    <x v="5"/>
    <x v="8"/>
    <x v="2"/>
    <s v="Lagos"/>
    <s v="Ibrahim"/>
    <s v="Retail"/>
    <n v="52"/>
    <n v="6294.55"/>
    <n v="327316.60000000003"/>
    <n v="25160.42"/>
    <x v="54"/>
    <n v="175426.2"/>
    <n v="7852.31"/>
    <n v="22325.17"/>
    <n v="14035.08"/>
    <n v="7350.52"/>
    <n v="226989.27999999997"/>
    <n v="126729.98000000004"/>
    <n v="75166.900000000081"/>
    <n v="0.24876836872904626"/>
    <s v="Pending"/>
    <x v="0"/>
    <x v="0"/>
    <x v="0"/>
  </r>
  <r>
    <x v="13"/>
    <s v="INV-00832"/>
    <x v="1"/>
    <x v="1"/>
    <x v="1"/>
    <s v="Port Harcourt"/>
    <s v="Emeka"/>
    <s v="Wholesale"/>
    <n v="93"/>
    <n v="4356.29"/>
    <n v="405134.97"/>
    <n v="30878.55"/>
    <x v="55"/>
    <n v="266910.94"/>
    <n v="16964.53"/>
    <n v="27456.67"/>
    <n v="14632.65"/>
    <n v="9301.0400000000009"/>
    <n v="335265.82999999996"/>
    <n v="107345.47999999998"/>
    <n v="38990.590000000026"/>
    <n v="0.10418148605172899"/>
    <s v="Paid"/>
    <x v="0"/>
    <x v="0"/>
    <x v="0"/>
  </r>
  <r>
    <x v="14"/>
    <s v="INV-01431"/>
    <x v="9"/>
    <x v="2"/>
    <x v="2"/>
    <s v="Abuja"/>
    <s v="Daniel"/>
    <s v="Wholesale"/>
    <n v="78"/>
    <n v="4272.0200000000004"/>
    <n v="333217.56000000006"/>
    <n v="27463.13"/>
    <x v="56"/>
    <n v="217188.65"/>
    <n v="10013.4"/>
    <n v="21876.12"/>
    <n v="13864.52"/>
    <n v="8124.41"/>
    <n v="271067.09999999998"/>
    <n v="88565.780000000057"/>
    <n v="34687.330000000075"/>
    <n v="0.1134483317216371"/>
    <s v="Paid"/>
    <x v="0"/>
    <x v="0"/>
    <x v="0"/>
  </r>
  <r>
    <x v="14"/>
    <s v="INV-00682"/>
    <x v="7"/>
    <x v="2"/>
    <x v="2"/>
    <s v="Abuja"/>
    <s v="Samuel"/>
    <s v="Wholesale"/>
    <n v="61"/>
    <n v="4315.8599999999997"/>
    <n v="263267.45999999996"/>
    <n v="19984.05"/>
    <x v="57"/>
    <n v="173401.43"/>
    <n v="9196.3799999999992"/>
    <n v="14771.07"/>
    <n v="8972"/>
    <n v="5204.95"/>
    <n v="211545.83000000002"/>
    <n v="69881.979999999981"/>
    <n v="31737.579999999958"/>
    <n v="0.13045517571461188"/>
    <s v="Paid"/>
    <x v="0"/>
    <x v="0"/>
    <x v="0"/>
  </r>
  <r>
    <x v="14"/>
    <s v="INV-00716"/>
    <x v="10"/>
    <x v="1"/>
    <x v="1"/>
    <s v="Lagos"/>
    <s v="Daniel"/>
    <s v="Retail"/>
    <n v="35"/>
    <n v="4312.84"/>
    <n v="150949.4"/>
    <n v="11120.07"/>
    <x v="58"/>
    <n v="100633.59"/>
    <n v="3929.84"/>
    <n v="10151.16"/>
    <n v="5943.37"/>
    <n v="3608.97"/>
    <n v="124266.93"/>
    <n v="39195.739999999991"/>
    <n v="15562.399999999994"/>
    <n v="0.11129567738041794"/>
    <s v="Paid"/>
    <x v="0"/>
    <x v="0"/>
    <x v="0"/>
  </r>
  <r>
    <x v="14"/>
    <s v="INV-00450"/>
    <x v="5"/>
    <x v="2"/>
    <x v="2"/>
    <s v="Abuja"/>
    <s v="Mary"/>
    <s v="Retail"/>
    <n v="99"/>
    <n v="4285.9799999999996"/>
    <n v="424312.01999999996"/>
    <n v="26597.62"/>
    <x v="59"/>
    <n v="297385.86"/>
    <n v="15178.98"/>
    <n v="28607.48"/>
    <n v="14501.92"/>
    <n v="10941.68"/>
    <n v="366615.91999999993"/>
    <n v="100328.53999999998"/>
    <n v="31098.48000000004"/>
    <n v="7.8192994772128044E-2"/>
    <s v="Paid"/>
    <x v="0"/>
    <x v="0"/>
    <x v="0"/>
  </r>
  <r>
    <x v="14"/>
    <s v="INV-00021"/>
    <x v="11"/>
    <x v="1"/>
    <x v="1"/>
    <s v="Lagos"/>
    <s v="Amina"/>
    <s v="Distributor"/>
    <n v="97"/>
    <n v="4067.46"/>
    <n v="394543.62"/>
    <n v="27820.12"/>
    <x v="60"/>
    <n v="273080.32000000001"/>
    <n v="9987.7199999999993"/>
    <n v="20212.05"/>
    <n v="13528"/>
    <n v="9275.82"/>
    <n v="326083.90999999997"/>
    <n v="93643.18"/>
    <n v="40639.590000000026"/>
    <n v="0.11081806865390417"/>
    <s v="Paid"/>
    <x v="0"/>
    <x v="0"/>
    <x v="0"/>
  </r>
  <r>
    <x v="15"/>
    <s v="INV-00536"/>
    <x v="2"/>
    <x v="5"/>
    <x v="3"/>
    <s v="Ibadan"/>
    <s v="Tunde"/>
    <s v="Wholesale"/>
    <n v="50"/>
    <n v="1430.52"/>
    <n v="71526"/>
    <n v="6757.44"/>
    <x v="61"/>
    <n v="35134.410000000003"/>
    <n v="1910.2"/>
    <n v="3752.07"/>
    <n v="2948.61"/>
    <n v="1368.38"/>
    <n v="45113.67"/>
    <n v="29634.149999999994"/>
    <n v="19654.89"/>
    <n v="0.3034634396688764"/>
    <s v="Pending"/>
    <x v="0"/>
    <x v="0"/>
    <x v="0"/>
  </r>
  <r>
    <x v="15"/>
    <s v="INV-00216"/>
    <x v="6"/>
    <x v="6"/>
    <x v="0"/>
    <s v="Lagos"/>
    <s v="Mary"/>
    <s v="Wholesale"/>
    <n v="117"/>
    <n v="345.57"/>
    <n v="40431.69"/>
    <n v="3123.7"/>
    <x v="62"/>
    <n v="29452.86"/>
    <n v="925.82"/>
    <n v="2655.66"/>
    <n v="1574.64"/>
    <n v="1037.42"/>
    <n v="35646.399999999994"/>
    <n v="7855.1300000000047"/>
    <n v="1661.5900000000111"/>
    <n v="4.4537108538948648E-2"/>
    <s v="Paid"/>
    <x v="0"/>
    <x v="0"/>
    <x v="0"/>
  </r>
  <r>
    <x v="15"/>
    <s v="INV-00826"/>
    <x v="11"/>
    <x v="9"/>
    <x v="4"/>
    <s v="Lagos"/>
    <s v="Mary"/>
    <s v="Retail"/>
    <n v="62"/>
    <n v="1888.19"/>
    <n v="117067.78"/>
    <n v="7835.23"/>
    <x v="63"/>
    <n v="75109.63"/>
    <n v="2780.52"/>
    <n v="6892.46"/>
    <n v="5693.91"/>
    <n v="2189.3200000000002"/>
    <n v="92665.840000000026"/>
    <n v="34122.92"/>
    <n v="16566.709999999977"/>
    <n v="0.1516645908202269"/>
    <s v="Pending"/>
    <x v="0"/>
    <x v="0"/>
    <x v="0"/>
  </r>
  <r>
    <x v="15"/>
    <s v="INV-01371"/>
    <x v="2"/>
    <x v="9"/>
    <x v="4"/>
    <s v="Abuja"/>
    <s v="Amina"/>
    <s v="Wholesale"/>
    <n v="53"/>
    <n v="1779.25"/>
    <n v="94300.25"/>
    <n v="7410.68"/>
    <x v="64"/>
    <n v="61885.120000000003"/>
    <n v="3031.69"/>
    <n v="5474.84"/>
    <n v="3769.01"/>
    <n v="2490.0700000000002"/>
    <n v="76650.73000000001"/>
    <n v="25004.450000000004"/>
    <n v="10238.839999999997"/>
    <n v="0.1178373883079407"/>
    <s v="Pending"/>
    <x v="0"/>
    <x v="0"/>
    <x v="0"/>
  </r>
  <r>
    <x v="16"/>
    <s v="INV-01183"/>
    <x v="5"/>
    <x v="2"/>
    <x v="2"/>
    <s v="Port Harcourt"/>
    <s v="Fatima"/>
    <s v="Retail"/>
    <n v="57"/>
    <n v="4092.72"/>
    <n v="233285.03999999998"/>
    <n v="16672.169999999998"/>
    <x v="65"/>
    <n v="152914.45000000001"/>
    <n v="9841.4599999999991"/>
    <n v="12449.72"/>
    <n v="10126.07"/>
    <n v="5800"/>
    <n v="191131.7"/>
    <n v="63698.419999999984"/>
    <n v="25481.169999999984"/>
    <n v="0.11763460776822718"/>
    <s v="Paid"/>
    <x v="0"/>
    <x v="0"/>
    <x v="0"/>
  </r>
  <r>
    <x v="16"/>
    <s v="INV-01321"/>
    <x v="7"/>
    <x v="7"/>
    <x v="5"/>
    <s v="Lagos"/>
    <s v="Emeka"/>
    <s v="Supermarket"/>
    <n v="83"/>
    <n v="5104.1099999999997"/>
    <n v="423641.12999999995"/>
    <n v="34215.699999999997"/>
    <x v="66"/>
    <n v="297320.64"/>
    <n v="10382.69"/>
    <n v="25291.02"/>
    <n v="21224.74"/>
    <n v="12044.07"/>
    <n v="366263.16000000003"/>
    <n v="92104.789999999921"/>
    <n v="23162.269999999902"/>
    <n v="5.9478062334038913E-2"/>
    <s v="Paid"/>
    <x v="0"/>
    <x v="0"/>
    <x v="0"/>
  </r>
  <r>
    <x v="16"/>
    <s v="INV-00671"/>
    <x v="1"/>
    <x v="7"/>
    <x v="5"/>
    <s v="Ibadan"/>
    <s v="Amina"/>
    <s v="Retail"/>
    <n v="78"/>
    <n v="5117.13"/>
    <n v="399136.14"/>
    <n v="26457.13"/>
    <x v="67"/>
    <n v="277607.40000000002"/>
    <n v="10769.22"/>
    <n v="25645.78"/>
    <n v="19612.990000000002"/>
    <n v="8067.54"/>
    <n v="341702.93"/>
    <n v="95071.609999999986"/>
    <n v="30976.080000000016"/>
    <n v="8.3117318573965343E-2"/>
    <s v="Paid"/>
    <x v="0"/>
    <x v="0"/>
    <x v="0"/>
  </r>
  <r>
    <x v="17"/>
    <s v="INV-00418"/>
    <x v="3"/>
    <x v="9"/>
    <x v="4"/>
    <s v="Port Harcourt"/>
    <s v="Ibrahim"/>
    <s v="Retail"/>
    <n v="93"/>
    <n v="1853.13"/>
    <n v="172341.09"/>
    <n v="12325.61"/>
    <x v="68"/>
    <n v="115176.62"/>
    <n v="6065.42"/>
    <n v="8839.68"/>
    <n v="6750.1"/>
    <n v="4671.12"/>
    <n v="141502.94"/>
    <n v="44838.859999999986"/>
    <n v="18512.539999999979"/>
    <n v="0.11569218178141254"/>
    <s v="Paid"/>
    <x v="0"/>
    <x v="0"/>
    <x v="0"/>
  </r>
  <r>
    <x v="17"/>
    <s v="INV-00665"/>
    <x v="5"/>
    <x v="7"/>
    <x v="5"/>
    <s v="Lagos"/>
    <s v="Fatima"/>
    <s v="Wholesale"/>
    <n v="80"/>
    <n v="5093.96"/>
    <n v="407516.8"/>
    <n v="30123.05"/>
    <x v="69"/>
    <n v="275353.28000000003"/>
    <n v="9196.1200000000008"/>
    <n v="25918.05"/>
    <n v="15218.21"/>
    <n v="8314.39"/>
    <n v="334000.05000000005"/>
    <n v="102040.46999999997"/>
    <n v="43393.699999999953"/>
    <n v="0.11498256131692683"/>
    <s v="Pending"/>
    <x v="0"/>
    <x v="0"/>
    <x v="0"/>
  </r>
  <r>
    <x v="17"/>
    <s v="INV-00087"/>
    <x v="0"/>
    <x v="3"/>
    <x v="3"/>
    <s v="Lagos"/>
    <s v="Mary"/>
    <s v="Wholesale"/>
    <n v="81"/>
    <n v="773.09"/>
    <n v="62620.29"/>
    <n v="4333.99"/>
    <x v="70"/>
    <n v="40462.11"/>
    <n v="1609.89"/>
    <n v="4277.8999999999996"/>
    <n v="2522.29"/>
    <n v="1336.88"/>
    <n v="50209.07"/>
    <n v="17824.190000000002"/>
    <n v="8077.2300000000032"/>
    <n v="0.13857853389218397"/>
    <s v="Paid"/>
    <x v="0"/>
    <x v="0"/>
    <x v="0"/>
  </r>
  <r>
    <x v="17"/>
    <s v="INV-00399"/>
    <x v="11"/>
    <x v="9"/>
    <x v="4"/>
    <s v="Lagos"/>
    <s v="Mary"/>
    <s v="Wholesale"/>
    <n v="64"/>
    <n v="1888.33"/>
    <n v="120853.12"/>
    <n v="8102.51"/>
    <x v="71"/>
    <n v="79612.03"/>
    <n v="3060.58"/>
    <n v="6860.21"/>
    <n v="5422.94"/>
    <n v="3095.24"/>
    <n v="98051.000000000015"/>
    <n v="33138.58"/>
    <n v="14699.609999999986"/>
    <n v="0.13037277581025936"/>
    <s v="Paid"/>
    <x v="0"/>
    <x v="0"/>
    <x v="0"/>
  </r>
  <r>
    <x v="17"/>
    <s v="INV-00456"/>
    <x v="7"/>
    <x v="2"/>
    <x v="2"/>
    <s v="Abuja"/>
    <s v="Samuel"/>
    <s v="Retail"/>
    <n v="87"/>
    <n v="4406.8599999999997"/>
    <n v="383396.81999999995"/>
    <n v="28877.91"/>
    <x v="72"/>
    <n v="252160.41"/>
    <n v="13093.94"/>
    <n v="21496.18"/>
    <n v="14856.01"/>
    <n v="7427.41"/>
    <n v="309033.94999999995"/>
    <n v="102358.49999999997"/>
    <n v="45484.960000000021"/>
    <n v="0.1283005185816464"/>
    <s v="Paid"/>
    <x v="0"/>
    <x v="0"/>
    <x v="0"/>
  </r>
  <r>
    <x v="17"/>
    <s v="INV-01410"/>
    <x v="3"/>
    <x v="3"/>
    <x v="3"/>
    <s v="Lagos"/>
    <s v="Tunde"/>
    <s v="Wholesale"/>
    <n v="80"/>
    <n v="772.2"/>
    <n v="61776"/>
    <n v="4265.76"/>
    <x v="73"/>
    <n v="37474.17"/>
    <n v="1609.66"/>
    <n v="3493.87"/>
    <n v="2125.2399999999998"/>
    <n v="1814.39"/>
    <n v="46517.33"/>
    <n v="20036.07"/>
    <n v="10992.909999999996"/>
    <n v="0.19114700269030344"/>
    <s v="Paid"/>
    <x v="0"/>
    <x v="0"/>
    <x v="0"/>
  </r>
  <r>
    <x v="17"/>
    <s v="INV-00653"/>
    <x v="2"/>
    <x v="9"/>
    <x v="4"/>
    <s v="Lagos"/>
    <s v="Fatima"/>
    <s v="Wholesale"/>
    <n v="63"/>
    <n v="1780.33"/>
    <n v="112160.79"/>
    <n v="7699.5"/>
    <x v="74"/>
    <n v="74628.33"/>
    <n v="2654.45"/>
    <n v="6884.63"/>
    <n v="5381.08"/>
    <n v="3102.41"/>
    <n v="92650.900000000009"/>
    <n v="29832.959999999992"/>
    <n v="11810.389999999985"/>
    <n v="0.11305996699830134"/>
    <s v="Paid"/>
    <x v="0"/>
    <x v="0"/>
    <x v="0"/>
  </r>
  <r>
    <x v="18"/>
    <s v="INV-00993"/>
    <x v="6"/>
    <x v="0"/>
    <x v="0"/>
    <s v="Lagos"/>
    <s v="Emeka"/>
    <s v="Wholesale"/>
    <n v="63"/>
    <n v="1151.48"/>
    <n v="72543.240000000005"/>
    <n v="5401.44"/>
    <x v="75"/>
    <n v="40026.6"/>
    <n v="1615.08"/>
    <n v="4516.41"/>
    <n v="2927.15"/>
    <n v="1837.14"/>
    <n v="50922.38"/>
    <n v="27115.200000000004"/>
    <n v="16219.420000000006"/>
    <n v="0.24156963322401254"/>
    <s v="Pending"/>
    <x v="0"/>
    <x v="0"/>
    <x v="0"/>
  </r>
  <r>
    <x v="18"/>
    <s v="INV-01357"/>
    <x v="11"/>
    <x v="5"/>
    <x v="3"/>
    <s v="Ibadan"/>
    <s v="Amina"/>
    <s v="Wholesale"/>
    <n v="64"/>
    <n v="1441.64"/>
    <n v="92264.960000000006"/>
    <n v="7863.47"/>
    <x v="76"/>
    <n v="45789.58"/>
    <n v="2641.17"/>
    <n v="5769.48"/>
    <n v="3048.75"/>
    <n v="2015.44"/>
    <n v="59264.42"/>
    <n v="38611.910000000003"/>
    <n v="25137.070000000007"/>
    <n v="0.29782732508632259"/>
    <s v="Paid"/>
    <x v="0"/>
    <x v="0"/>
    <x v="0"/>
  </r>
  <r>
    <x v="18"/>
    <s v="INV-00759"/>
    <x v="7"/>
    <x v="3"/>
    <x v="3"/>
    <s v="Lagos"/>
    <s v="Ibrahim"/>
    <s v="Wholesale"/>
    <n v="97"/>
    <n v="818"/>
    <n v="79346"/>
    <n v="6085.72"/>
    <x v="77"/>
    <n v="48110.22"/>
    <n v="1822.96"/>
    <n v="5321.65"/>
    <n v="2949.37"/>
    <n v="2317.2199999999998"/>
    <n v="60521.420000000006"/>
    <n v="25150.059999999998"/>
    <n v="12738.859999999993"/>
    <n v="0.17388494829667581"/>
    <s v="Paid"/>
    <x v="0"/>
    <x v="0"/>
    <x v="0"/>
  </r>
  <r>
    <x v="18"/>
    <s v="INV-00079"/>
    <x v="3"/>
    <x v="6"/>
    <x v="0"/>
    <s v="Lagos"/>
    <s v="Amina"/>
    <s v="Wholesale"/>
    <n v="88"/>
    <n v="359.81"/>
    <n v="31663.279999999999"/>
    <n v="2594.5500000000002"/>
    <x v="78"/>
    <n v="22558.34"/>
    <n v="742.15"/>
    <n v="2016.54"/>
    <n v="1366.1"/>
    <n v="643.52"/>
    <n v="27326.65"/>
    <n v="6510.3899999999994"/>
    <n v="1742.0799999999981"/>
    <n v="5.9929690770804164E-2"/>
    <s v="Pending"/>
    <x v="0"/>
    <x v="0"/>
    <x v="0"/>
  </r>
  <r>
    <x v="19"/>
    <s v="INV-00781"/>
    <x v="11"/>
    <x v="6"/>
    <x v="0"/>
    <s v="Lagos"/>
    <s v="Samuel"/>
    <s v="Supermarket"/>
    <n v="82"/>
    <n v="348.62"/>
    <n v="28586.84"/>
    <n v="2395.71"/>
    <x v="79"/>
    <n v="20041.82"/>
    <n v="672.1"/>
    <n v="1822.49"/>
    <n v="1076.8900000000001"/>
    <n v="641.47"/>
    <n v="24254.77"/>
    <n v="6149.3100000000013"/>
    <n v="1936.3600000000006"/>
    <n v="7.3931899845482055E-2"/>
    <s v="Paid"/>
    <x v="0"/>
    <x v="0"/>
    <x v="0"/>
  </r>
  <r>
    <x v="19"/>
    <s v="INV-00946"/>
    <x v="1"/>
    <x v="9"/>
    <x v="4"/>
    <s v="Lagos"/>
    <s v="Amina"/>
    <s v="Retail"/>
    <n v="64"/>
    <n v="1871.87"/>
    <n v="119799.67999999999"/>
    <n v="8711.5400000000009"/>
    <x v="80"/>
    <n v="80114.3"/>
    <n v="2886"/>
    <n v="6816.71"/>
    <n v="6072.49"/>
    <n v="2624.22"/>
    <n v="98513.720000000016"/>
    <n v="30973.839999999982"/>
    <n v="12574.419999999969"/>
    <n v="0.11319318155835512"/>
    <s v="Paid"/>
    <x v="0"/>
    <x v="0"/>
    <x v="0"/>
  </r>
  <r>
    <x v="19"/>
    <s v="INV-01174"/>
    <x v="10"/>
    <x v="6"/>
    <x v="0"/>
    <s v="Lagos"/>
    <s v="Samuel"/>
    <s v="Wholesale"/>
    <n v="124"/>
    <n v="343.89"/>
    <n v="42642.36"/>
    <n v="3239.95"/>
    <x v="81"/>
    <n v="31165.7"/>
    <n v="1006.72"/>
    <n v="2271.85"/>
    <n v="1616.22"/>
    <n v="1080.01"/>
    <n v="37140.500000000007"/>
    <n v="8236.7100000000028"/>
    <n v="2261.9099999999962"/>
    <n v="5.7405371904916375E-2"/>
    <s v="Paid"/>
    <x v="0"/>
    <x v="0"/>
    <x v="0"/>
  </r>
  <r>
    <x v="20"/>
    <s v="INV-00100"/>
    <x v="5"/>
    <x v="2"/>
    <x v="2"/>
    <s v="Lagos"/>
    <s v="Amina"/>
    <s v="Supermarket"/>
    <n v="64"/>
    <n v="4288.5200000000004"/>
    <n v="274465.28000000003"/>
    <n v="18841.11"/>
    <x v="82"/>
    <n v="183244.65"/>
    <n v="6944.73"/>
    <n v="16403.87"/>
    <n v="10601.98"/>
    <n v="7649.38"/>
    <n v="224844.61000000002"/>
    <n v="72379.520000000048"/>
    <n v="30779.560000000027"/>
    <n v="0.12040942763745706"/>
    <s v="Pending"/>
    <x v="0"/>
    <x v="0"/>
    <x v="0"/>
  </r>
  <r>
    <x v="20"/>
    <s v="INV-01413"/>
    <x v="4"/>
    <x v="4"/>
    <x v="4"/>
    <s v="Lagos"/>
    <s v="Daniel"/>
    <s v="Distributor"/>
    <n v="59"/>
    <n v="2898.18"/>
    <n v="170992.62"/>
    <n v="15797.72"/>
    <x v="83"/>
    <n v="90857.95"/>
    <n v="4281.1099999999997"/>
    <n v="10280.66"/>
    <n v="8131.14"/>
    <n v="4362.96"/>
    <n v="117913.82"/>
    <n v="64336.95"/>
    <n v="37281.079999999987"/>
    <n v="0.24022103819133225"/>
    <s v="Paid"/>
    <x v="0"/>
    <x v="0"/>
    <x v="0"/>
  </r>
  <r>
    <x v="20"/>
    <s v="INV-00822"/>
    <x v="6"/>
    <x v="4"/>
    <x v="4"/>
    <s v="Lagos"/>
    <s v="Daniel"/>
    <s v="Wholesale"/>
    <n v="41"/>
    <n v="3128.29"/>
    <n v="128259.89"/>
    <n v="10696.57"/>
    <x v="84"/>
    <n v="68942.490000000005"/>
    <n v="3146.42"/>
    <n v="8428.1200000000008"/>
    <n v="4573.12"/>
    <n v="3146.07"/>
    <n v="88236.22"/>
    <n v="48620.83"/>
    <n v="29327.100000000006"/>
    <n v="0.24945790915057522"/>
    <s v="Paid"/>
    <x v="0"/>
    <x v="0"/>
    <x v="0"/>
  </r>
  <r>
    <x v="20"/>
    <s v="INV-01044"/>
    <x v="8"/>
    <x v="6"/>
    <x v="0"/>
    <s v="Abuja"/>
    <s v="Amina"/>
    <s v="Wholesale"/>
    <n v="160"/>
    <n v="336.29"/>
    <n v="53806.400000000001"/>
    <n v="4118.5"/>
    <x v="85"/>
    <n v="39939.360000000001"/>
    <n v="1814.48"/>
    <n v="3439.55"/>
    <n v="1943.49"/>
    <n v="1124.31"/>
    <n v="48261.19"/>
    <n v="9748.5400000000009"/>
    <n v="1426.7099999999991"/>
    <n v="2.8713429225223828E-2"/>
    <s v="Paid"/>
    <x v="0"/>
    <x v="0"/>
    <x v="0"/>
  </r>
  <r>
    <x v="21"/>
    <s v="INV-01325"/>
    <x v="6"/>
    <x v="6"/>
    <x v="0"/>
    <s v="Lagos"/>
    <s v="Amina"/>
    <s v="Wholesale"/>
    <n v="115"/>
    <n v="336.89"/>
    <n v="38742.35"/>
    <n v="2721.49"/>
    <x v="86"/>
    <n v="27892.18"/>
    <n v="887.07"/>
    <n v="2642.14"/>
    <n v="1354.88"/>
    <n v="1150.83"/>
    <n v="33927.1"/>
    <n v="8128.68"/>
    <n v="2093.760000000002"/>
    <n v="5.8126319027363642E-2"/>
    <s v="Paid"/>
    <x v="0"/>
    <x v="0"/>
    <x v="0"/>
  </r>
  <r>
    <x v="22"/>
    <s v="INV-00271"/>
    <x v="11"/>
    <x v="1"/>
    <x v="1"/>
    <s v="Ibadan"/>
    <s v="Tunde"/>
    <s v="Wholesale"/>
    <n v="82"/>
    <n v="4362.18"/>
    <n v="357698.76"/>
    <n v="32641.43"/>
    <x v="87"/>
    <n v="244049.42"/>
    <n v="9760.14"/>
    <n v="21053.3"/>
    <n v="15447.07"/>
    <n v="6688.69"/>
    <n v="296998.62"/>
    <n v="81007.91"/>
    <n v="28058.710000000021"/>
    <n v="8.6319265589242425E-2"/>
    <s v="Pending"/>
    <x v="0"/>
    <x v="0"/>
    <x v="0"/>
  </r>
  <r>
    <x v="22"/>
    <s v="INV-01241"/>
    <x v="3"/>
    <x v="4"/>
    <x v="4"/>
    <s v="Lagos"/>
    <s v="Tunde"/>
    <s v="Wholesale"/>
    <n v="77"/>
    <n v="3068.16"/>
    <n v="236248.31999999998"/>
    <n v="21299.11"/>
    <x v="88"/>
    <n v="127079.61"/>
    <n v="5713.83"/>
    <n v="12238.41"/>
    <n v="8538.5300000000007"/>
    <n v="5610.68"/>
    <n v="159181.06"/>
    <n v="87869.599999999962"/>
    <n v="55768.149999999965"/>
    <n v="0.25944803425888363"/>
    <s v="Paid"/>
    <x v="0"/>
    <x v="0"/>
    <x v="0"/>
  </r>
  <r>
    <x v="22"/>
    <s v="INV-01038"/>
    <x v="11"/>
    <x v="4"/>
    <x v="4"/>
    <s v="Lagos"/>
    <s v="Samuel"/>
    <s v="Wholesale"/>
    <n v="83"/>
    <n v="3099.97"/>
    <n v="257297.50999999998"/>
    <n v="22664.92"/>
    <x v="89"/>
    <n v="133324.98000000001"/>
    <n v="6565.33"/>
    <n v="14331.92"/>
    <n v="9969.5300000000007"/>
    <n v="6971.95"/>
    <n v="171163.71000000002"/>
    <n v="101307.60999999996"/>
    <n v="63468.879999999946"/>
    <n v="0.27050325788075713"/>
    <s v="Pending"/>
    <x v="0"/>
    <x v="0"/>
    <x v="0"/>
  </r>
  <r>
    <x v="22"/>
    <s v="INV-01266"/>
    <x v="11"/>
    <x v="7"/>
    <x v="5"/>
    <s v="Abuja"/>
    <s v="Fatima"/>
    <s v="Retail"/>
    <n v="63"/>
    <n v="5209.09"/>
    <n v="328172.67"/>
    <n v="26106.34"/>
    <x v="90"/>
    <n v="234993.49"/>
    <n v="10454.74"/>
    <n v="17656.04"/>
    <n v="10811.21"/>
    <n v="9662.0499999999993"/>
    <n v="283577.52999999997"/>
    <n v="67072.839999999967"/>
    <n v="18488.799999999988"/>
    <n v="6.1207748642491837E-2"/>
    <s v="Pending"/>
    <x v="0"/>
    <x v="0"/>
    <x v="0"/>
  </r>
  <r>
    <x v="22"/>
    <s v="INV-00901"/>
    <x v="11"/>
    <x v="7"/>
    <x v="5"/>
    <s v="Port Harcourt"/>
    <s v="Fatima"/>
    <s v="Supermarket"/>
    <n v="67"/>
    <n v="5197.1400000000003"/>
    <n v="348208.38"/>
    <n v="21048"/>
    <x v="91"/>
    <n v="254916.01"/>
    <n v="13737.88"/>
    <n v="19081.18"/>
    <n v="11711.1"/>
    <n v="7773.16"/>
    <n v="307219.32999999996"/>
    <n v="72244.37"/>
    <n v="19941.050000000047"/>
    <n v="6.095190988590992E-2"/>
    <s v="Paid"/>
    <x v="0"/>
    <x v="0"/>
    <x v="0"/>
  </r>
  <r>
    <x v="22"/>
    <s v="INV-00827"/>
    <x v="3"/>
    <x v="7"/>
    <x v="5"/>
    <s v="Lagos"/>
    <s v="Daniel"/>
    <s v="Wholesale"/>
    <n v="81"/>
    <n v="5301.48"/>
    <n v="429419.87999999995"/>
    <n v="36835.050000000003"/>
    <x v="92"/>
    <n v="287209.39"/>
    <n v="10573.11"/>
    <n v="26464.97"/>
    <n v="19998.38"/>
    <n v="8286.02"/>
    <n v="352531.87"/>
    <n v="105375.43999999994"/>
    <n v="40052.959999999963"/>
    <n v="0.10202370784423832"/>
    <s v="Pending"/>
    <x v="0"/>
    <x v="0"/>
    <x v="0"/>
  </r>
  <r>
    <x v="23"/>
    <s v="INV-00755"/>
    <x v="7"/>
    <x v="2"/>
    <x v="2"/>
    <s v="Lagos"/>
    <s v="Fatima"/>
    <s v="Distributor"/>
    <n v="58"/>
    <n v="4366.87"/>
    <n v="253278.46"/>
    <n v="19889.68"/>
    <x v="93"/>
    <n v="167205.20000000001"/>
    <n v="6636.23"/>
    <n v="16152.14"/>
    <n v="8518.1200000000008"/>
    <n v="4740.25"/>
    <n v="203251.94"/>
    <n v="66183.579999999987"/>
    <n v="30136.839999999997"/>
    <n v="0.129127201401884"/>
    <s v="Paid"/>
    <x v="0"/>
    <x v="0"/>
    <x v="0"/>
  </r>
  <r>
    <x v="23"/>
    <s v="INV-00728"/>
    <x v="2"/>
    <x v="9"/>
    <x v="4"/>
    <s v="Lagos"/>
    <s v="Mary"/>
    <s v="Distributor"/>
    <n v="106"/>
    <n v="1764.9"/>
    <n v="187079.40000000002"/>
    <n v="18450.55"/>
    <x v="94"/>
    <n v="115140.05"/>
    <n v="4380.22"/>
    <n v="10485.51"/>
    <n v="6831.89"/>
    <n v="4011.91"/>
    <n v="140849.58000000002"/>
    <n v="53488.800000000032"/>
    <n v="27779.270000000019"/>
    <n v="0.16473616465984328"/>
    <s v="Paid"/>
    <x v="0"/>
    <x v="0"/>
    <x v="0"/>
  </r>
  <r>
    <x v="23"/>
    <s v="INV-00784"/>
    <x v="5"/>
    <x v="6"/>
    <x v="0"/>
    <s v="Lagos"/>
    <s v="Emeka"/>
    <s v="Retail"/>
    <n v="122"/>
    <n v="360.36"/>
    <n v="43963.92"/>
    <n v="3054.5"/>
    <x v="95"/>
    <n v="31270.6"/>
    <n v="1130.0899999999999"/>
    <n v="2803.17"/>
    <n v="2188.73"/>
    <n v="985.5"/>
    <n v="38378.090000000004"/>
    <n v="9638.82"/>
    <n v="2531.3299999999945"/>
    <n v="6.1876457793828284E-2"/>
    <s v="Paid"/>
    <x v="0"/>
    <x v="0"/>
    <x v="0"/>
  </r>
  <r>
    <x v="23"/>
    <s v="INV-00954"/>
    <x v="0"/>
    <x v="5"/>
    <x v="3"/>
    <s v="Lagos"/>
    <s v="Tunde"/>
    <s v="Wholesale"/>
    <n v="58"/>
    <n v="1467.82"/>
    <n v="85133.56"/>
    <n v="6382.78"/>
    <x v="96"/>
    <n v="41846.97"/>
    <n v="2179.5300000000002"/>
    <n v="4870.3999999999996"/>
    <n v="4069.93"/>
    <n v="2076.1"/>
    <n v="55042.93"/>
    <n v="36903.81"/>
    <n v="23707.85"/>
    <n v="0.30104908167258787"/>
    <s v="Pending"/>
    <x v="0"/>
    <x v="0"/>
    <x v="0"/>
  </r>
  <r>
    <x v="23"/>
    <s v="INV-00292"/>
    <x v="11"/>
    <x v="9"/>
    <x v="4"/>
    <s v="Lagos"/>
    <s v="Ibrahim"/>
    <s v="Retail"/>
    <n v="52"/>
    <n v="1804.46"/>
    <n v="93831.92"/>
    <n v="7551.76"/>
    <x v="97"/>
    <n v="59786.64"/>
    <n v="2202.11"/>
    <n v="5082.68"/>
    <n v="3541.3"/>
    <n v="2242.2199999999998"/>
    <n v="72854.95"/>
    <n v="26493.520000000004"/>
    <n v="13425.210000000006"/>
    <n v="0.15560019823792637"/>
    <s v="Paid"/>
    <x v="0"/>
    <x v="0"/>
    <x v="0"/>
  </r>
  <r>
    <x v="23"/>
    <s v="INV-00073"/>
    <x v="11"/>
    <x v="4"/>
    <x v="4"/>
    <s v="Lagos"/>
    <s v="Amina"/>
    <s v="Distributor"/>
    <n v="34"/>
    <n v="3073.84"/>
    <n v="104510.56"/>
    <n v="9895.17"/>
    <x v="98"/>
    <n v="53104.95"/>
    <n v="2561.4499999999998"/>
    <n v="5758.63"/>
    <n v="4039.27"/>
    <n v="2167.89"/>
    <n v="67632.189999999988"/>
    <n v="41510.44"/>
    <n v="26983.200000000012"/>
    <n v="0.28518827645269984"/>
    <s v="Paid"/>
    <x v="0"/>
    <x v="0"/>
    <x v="0"/>
  </r>
  <r>
    <x v="24"/>
    <s v="INV-01162"/>
    <x v="3"/>
    <x v="6"/>
    <x v="0"/>
    <s v="Lagos"/>
    <s v="Fatima"/>
    <s v="Retail"/>
    <n v="139"/>
    <n v="337.06"/>
    <n v="46851.340000000004"/>
    <n v="3661.09"/>
    <x v="99"/>
    <n v="34213.480000000003"/>
    <n v="1031.1400000000001"/>
    <n v="2794.66"/>
    <n v="1594.27"/>
    <n v="920.35"/>
    <n v="40553.899999999994"/>
    <n v="8976.7699999999968"/>
    <n v="2636.3500000000058"/>
    <n v="6.1040396848825972E-2"/>
    <s v="Paid"/>
    <x v="0"/>
    <x v="0"/>
    <x v="0"/>
  </r>
  <r>
    <x v="24"/>
    <s v="INV-00723"/>
    <x v="11"/>
    <x v="2"/>
    <x v="2"/>
    <s v="Lagos"/>
    <s v="Tunde"/>
    <s v="Wholesale"/>
    <n v="63"/>
    <n v="4041.8"/>
    <n v="254633.40000000002"/>
    <n v="23625.85"/>
    <x v="100"/>
    <n v="172140.13"/>
    <n v="6402.01"/>
    <n v="16113.16"/>
    <n v="12406.44"/>
    <n v="6390.32"/>
    <n v="213452.06000000003"/>
    <n v="58867.420000000013"/>
    <n v="17555.489999999991"/>
    <n v="7.5995308378449061E-2"/>
    <s v="Paid"/>
    <x v="0"/>
    <x v="0"/>
    <x v="0"/>
  </r>
  <r>
    <x v="24"/>
    <s v="INV-00181"/>
    <x v="1"/>
    <x v="2"/>
    <x v="2"/>
    <s v="Abuja"/>
    <s v="Samuel"/>
    <s v="Retail"/>
    <n v="89"/>
    <n v="4329.13"/>
    <n v="385292.57"/>
    <n v="30091.279999999999"/>
    <x v="101"/>
    <n v="265535.11"/>
    <n v="11899.18"/>
    <n v="21480.05"/>
    <n v="17456.400000000001"/>
    <n v="10820.8"/>
    <n v="327191.53999999998"/>
    <n v="89666.180000000051"/>
    <n v="28009.750000000058"/>
    <n v="7.8855991767372402E-2"/>
    <s v="Paid"/>
    <x v="0"/>
    <x v="0"/>
    <x v="0"/>
  </r>
  <r>
    <x v="24"/>
    <s v="INV-00542"/>
    <x v="7"/>
    <x v="6"/>
    <x v="0"/>
    <s v="Ibadan"/>
    <s v="Tunde"/>
    <s v="Retail"/>
    <n v="105"/>
    <n v="353.07"/>
    <n v="37072.35"/>
    <n v="2259.17"/>
    <x v="102"/>
    <n v="27126.59"/>
    <n v="1133.1600000000001"/>
    <n v="1937.77"/>
    <n v="1308.1400000000001"/>
    <n v="920.05"/>
    <n v="32425.71"/>
    <n v="7686.59"/>
    <n v="2387.4700000000012"/>
    <n v="6.8579486275025761E-2"/>
    <s v="Pending"/>
    <x v="0"/>
    <x v="0"/>
    <x v="0"/>
  </r>
  <r>
    <x v="25"/>
    <s v="INV-00807"/>
    <x v="3"/>
    <x v="10"/>
    <x v="5"/>
    <s v="Lagos"/>
    <s v="Ibrahim"/>
    <s v="Wholesale"/>
    <n v="91"/>
    <n v="6401.41"/>
    <n v="582528.30999999994"/>
    <n v="48100.01"/>
    <x v="103"/>
    <n v="313960.36"/>
    <n v="13213.73"/>
    <n v="30893.13"/>
    <n v="21813.46"/>
    <n v="10719.29"/>
    <n v="390599.97"/>
    <n v="220467.93999999994"/>
    <n v="143828.32999999996"/>
    <n v="0.26912558709933582"/>
    <s v="Paid"/>
    <x v="0"/>
    <x v="0"/>
    <x v="0"/>
  </r>
  <r>
    <x v="25"/>
    <s v="INV-00831"/>
    <x v="6"/>
    <x v="9"/>
    <x v="4"/>
    <s v="Port Harcourt"/>
    <s v="Emeka"/>
    <s v="Wholesale"/>
    <n v="36"/>
    <n v="1858.14"/>
    <n v="66893.040000000008"/>
    <n v="5850.55"/>
    <x v="104"/>
    <n v="41554.639999999999"/>
    <n v="2766.02"/>
    <n v="4372.45"/>
    <n v="2286.11"/>
    <n v="1265.81"/>
    <n v="52245.029999999992"/>
    <n v="19487.850000000006"/>
    <n v="8797.4600000000137"/>
    <n v="0.14412026770205497"/>
    <s v="Paid"/>
    <x v="0"/>
    <x v="0"/>
    <x v="0"/>
  </r>
  <r>
    <x v="25"/>
    <s v="INV-00499"/>
    <x v="9"/>
    <x v="3"/>
    <x v="3"/>
    <s v="Port Harcourt"/>
    <s v="Mary"/>
    <s v="Supermarket"/>
    <n v="71"/>
    <n v="810.74"/>
    <n v="57562.54"/>
    <n v="4575.3"/>
    <x v="105"/>
    <n v="34335.279999999999"/>
    <n v="2065.6"/>
    <n v="3244.9"/>
    <n v="1906.85"/>
    <n v="1554.54"/>
    <n v="43107.17"/>
    <n v="18651.96"/>
    <n v="9880.07"/>
    <n v="0.18646130653342202"/>
    <s v="Paid"/>
    <x v="0"/>
    <x v="0"/>
    <x v="0"/>
  </r>
  <r>
    <x v="25"/>
    <s v="INV-00968"/>
    <x v="10"/>
    <x v="6"/>
    <x v="0"/>
    <s v="Lagos"/>
    <s v="Tunde"/>
    <s v="Distributor"/>
    <n v="88"/>
    <n v="340.74"/>
    <n v="29985.120000000003"/>
    <n v="2990.76"/>
    <x v="106"/>
    <n v="21225.45"/>
    <n v="631.95000000000005"/>
    <n v="1971.94"/>
    <n v="1396.48"/>
    <n v="791.38"/>
    <n v="26017.200000000001"/>
    <n v="5768.91"/>
    <n v="977.15999999999985"/>
    <n v="3.61986726116122E-2"/>
    <s v="Paid"/>
    <x v="0"/>
    <x v="0"/>
    <x v="0"/>
  </r>
  <r>
    <x v="25"/>
    <s v="INV-01057"/>
    <x v="10"/>
    <x v="8"/>
    <x v="2"/>
    <s v="Ibadan"/>
    <s v="Ibrahim"/>
    <s v="Wholesale"/>
    <n v="88"/>
    <n v="6219.65"/>
    <n v="547329.19999999995"/>
    <n v="38659.35"/>
    <x v="107"/>
    <n v="292422.31"/>
    <n v="16212.56"/>
    <n v="31598.799999999999"/>
    <n v="23771.29"/>
    <n v="15666.26"/>
    <n v="379671.22"/>
    <n v="216247.53999999998"/>
    <n v="128998.63"/>
    <n v="0.25359991357852252"/>
    <s v="Paid"/>
    <x v="0"/>
    <x v="0"/>
    <x v="0"/>
  </r>
  <r>
    <x v="25"/>
    <s v="INV-00160"/>
    <x v="11"/>
    <x v="11"/>
    <x v="1"/>
    <s v="Lagos"/>
    <s v="Samuel"/>
    <s v="Supermarket"/>
    <n v="27"/>
    <n v="6485.53"/>
    <n v="175109.31"/>
    <n v="12298.89"/>
    <x v="108"/>
    <n v="99045.03"/>
    <n v="3872.27"/>
    <n v="11154.25"/>
    <n v="7983.5"/>
    <n v="4433.08"/>
    <n v="126488.13"/>
    <n v="63765.389999999985"/>
    <n v="36322.289999999979"/>
    <n v="0.22309561021954236"/>
    <s v="Paid"/>
    <x v="0"/>
    <x v="0"/>
    <x v="0"/>
  </r>
  <r>
    <x v="26"/>
    <s v="INV-00543"/>
    <x v="4"/>
    <x v="6"/>
    <x v="0"/>
    <s v="Ibadan"/>
    <s v="Daniel"/>
    <s v="Supermarket"/>
    <n v="143"/>
    <n v="344.59"/>
    <n v="49276.369999999995"/>
    <n v="3883.58"/>
    <x v="109"/>
    <n v="34081.99"/>
    <n v="1404.26"/>
    <n v="3198.46"/>
    <n v="1855.28"/>
    <n v="1019.78"/>
    <n v="41559.769999999997"/>
    <n v="11310.799999999996"/>
    <n v="3833.0199999999968"/>
    <n v="8.4441163453491119E-2"/>
    <s v="Paid"/>
    <x v="0"/>
    <x v="0"/>
    <x v="0"/>
  </r>
  <r>
    <x v="26"/>
    <s v="INV-00110"/>
    <x v="1"/>
    <x v="8"/>
    <x v="2"/>
    <s v="Lagos"/>
    <s v="Daniel"/>
    <s v="Wholesale"/>
    <n v="51"/>
    <n v="6161.38"/>
    <n v="314230.38"/>
    <n v="27728.61"/>
    <x v="110"/>
    <n v="170356.75"/>
    <n v="6801.46"/>
    <n v="18156.919999999998"/>
    <n v="15423.32"/>
    <n v="5946.56"/>
    <n v="216685.01"/>
    <n v="116145.02000000002"/>
    <n v="69816.760000000009"/>
    <n v="0.24368701107850052"/>
    <s v="Paid"/>
    <x v="0"/>
    <x v="0"/>
    <x v="0"/>
  </r>
  <r>
    <x v="26"/>
    <s v="INV-00522"/>
    <x v="9"/>
    <x v="0"/>
    <x v="0"/>
    <s v="Ibadan"/>
    <s v="Amina"/>
    <s v="Supermarket"/>
    <n v="122"/>
    <n v="1115.18"/>
    <n v="136051.96000000002"/>
    <n v="11954.32"/>
    <x v="111"/>
    <n v="75179.61"/>
    <n v="3661.21"/>
    <n v="8640.15"/>
    <n v="4609.8900000000003"/>
    <n v="3485.3"/>
    <n v="95576.16"/>
    <n v="48918.030000000013"/>
    <n v="28521.48000000001"/>
    <n v="0.22983096213594398"/>
    <s v="Paid"/>
    <x v="0"/>
    <x v="0"/>
    <x v="0"/>
  </r>
  <r>
    <x v="26"/>
    <s v="INV-01396"/>
    <x v="2"/>
    <x v="10"/>
    <x v="5"/>
    <s v="Lagos"/>
    <s v="Samuel"/>
    <s v="Distributor"/>
    <n v="31"/>
    <n v="6561.89"/>
    <n v="203418.59"/>
    <n v="16022.77"/>
    <x v="112"/>
    <n v="118335.08"/>
    <n v="4695.2"/>
    <n v="13477.55"/>
    <n v="8226.4599999999991"/>
    <n v="4558.97"/>
    <n v="149293.25999999998"/>
    <n v="69060.740000000005"/>
    <n v="38102.560000000027"/>
    <n v="0.20332662702935436"/>
    <s v="Paid"/>
    <x v="0"/>
    <x v="0"/>
    <x v="0"/>
  </r>
  <r>
    <x v="26"/>
    <s v="INV-01031"/>
    <x v="10"/>
    <x v="3"/>
    <x v="3"/>
    <s v="Abuja"/>
    <s v="Daniel"/>
    <s v="Wholesale"/>
    <n v="75"/>
    <n v="773.51"/>
    <n v="58013.25"/>
    <n v="4125.43"/>
    <x v="113"/>
    <n v="37430.629999999997"/>
    <n v="1872.86"/>
    <n v="3496.42"/>
    <n v="1993.37"/>
    <n v="1467.2"/>
    <n v="46260.479999999996"/>
    <n v="16457.190000000002"/>
    <n v="7627.3400000000038"/>
    <n v="0.14154107551576597"/>
    <s v="Paid"/>
    <x v="0"/>
    <x v="0"/>
    <x v="0"/>
  </r>
  <r>
    <x v="26"/>
    <s v="INV-00503"/>
    <x v="2"/>
    <x v="3"/>
    <x v="3"/>
    <s v="Lagos"/>
    <s v="Tunde"/>
    <s v="Wholesale"/>
    <n v="61"/>
    <n v="839.43"/>
    <n v="51205.229999999996"/>
    <n v="3654.42"/>
    <x v="114"/>
    <n v="32968.86"/>
    <n v="1359.87"/>
    <n v="2784.91"/>
    <n v="2349.6999999999998"/>
    <n v="1395.78"/>
    <n v="40859.119999999995"/>
    <n v="14581.949999999997"/>
    <n v="6691.6900000000023"/>
    <n v="0.14072715059953769"/>
    <s v="Paid"/>
    <x v="0"/>
    <x v="0"/>
    <x v="0"/>
  </r>
  <r>
    <x v="26"/>
    <s v="INV-01320"/>
    <x v="6"/>
    <x v="1"/>
    <x v="1"/>
    <s v="Lagos"/>
    <s v="Samuel"/>
    <s v="Distributor"/>
    <n v="41"/>
    <n v="4035.64"/>
    <n v="165461.24"/>
    <n v="12490.01"/>
    <x v="115"/>
    <n v="113627.27"/>
    <n v="3750.07"/>
    <n v="8499.2800000000007"/>
    <n v="5591.72"/>
    <n v="3431.71"/>
    <n v="134900.04999999999"/>
    <n v="39343.959999999977"/>
    <n v="18071.179999999993"/>
    <n v="0.11813450150070699"/>
    <s v="Paid"/>
    <x v="0"/>
    <x v="0"/>
    <x v="0"/>
  </r>
  <r>
    <x v="26"/>
    <s v="INV-01197"/>
    <x v="8"/>
    <x v="3"/>
    <x v="3"/>
    <s v="Lagos"/>
    <s v="Samuel"/>
    <s v="Wholesale"/>
    <n v="106"/>
    <n v="789.47"/>
    <n v="83683.820000000007"/>
    <n v="7650"/>
    <x v="116"/>
    <n v="52152.37"/>
    <n v="1958.16"/>
    <n v="5405.39"/>
    <n v="3189.84"/>
    <n v="1902.83"/>
    <n v="64608.590000000011"/>
    <n v="23881.450000000004"/>
    <n v="11425.229999999996"/>
    <n v="0.15026510571216856"/>
    <s v="Pending"/>
    <x v="0"/>
    <x v="0"/>
    <x v="0"/>
  </r>
  <r>
    <x v="26"/>
    <s v="INV-00489"/>
    <x v="2"/>
    <x v="7"/>
    <x v="5"/>
    <s v="Lagos"/>
    <s v="Samuel"/>
    <s v="Supermarket"/>
    <n v="56"/>
    <n v="5399.88"/>
    <n v="302393.28000000003"/>
    <n v="19910.46"/>
    <x v="117"/>
    <n v="216353.77"/>
    <n v="6865.65"/>
    <n v="16916.71"/>
    <n v="11756.3"/>
    <n v="6297.06"/>
    <n v="258189.48999999996"/>
    <n v="66129.050000000017"/>
    <n v="24293.330000000045"/>
    <n v="8.5999318471827929E-2"/>
    <s v="Paid"/>
    <x v="0"/>
    <x v="0"/>
    <x v="0"/>
  </r>
  <r>
    <x v="27"/>
    <s v="INV-00454"/>
    <x v="3"/>
    <x v="10"/>
    <x v="5"/>
    <s v="Abuja"/>
    <s v="Emeka"/>
    <s v="Retail"/>
    <n v="54"/>
    <n v="6531.47"/>
    <n v="352699.38"/>
    <n v="23555.51"/>
    <x v="118"/>
    <n v="205490.86"/>
    <n v="11766.03"/>
    <n v="23515.82"/>
    <n v="16871.46"/>
    <n v="9770.1299999999992"/>
    <n v="267414.3"/>
    <n v="123653.01000000001"/>
    <n v="61729.570000000007"/>
    <n v="0.18754585950514591"/>
    <s v="Pending"/>
    <x v="0"/>
    <x v="0"/>
    <x v="0"/>
  </r>
  <r>
    <x v="27"/>
    <s v="INV-00951"/>
    <x v="4"/>
    <x v="6"/>
    <x v="0"/>
    <s v="Abuja"/>
    <s v="Fatima"/>
    <s v="Wholesale"/>
    <n v="148"/>
    <n v="341.57"/>
    <n v="50552.36"/>
    <n v="3699.65"/>
    <x v="119"/>
    <n v="37456.19"/>
    <n v="1667.81"/>
    <n v="3071.92"/>
    <n v="2173.9699999999998"/>
    <n v="1448.47"/>
    <n v="45818.36"/>
    <n v="9396.5199999999968"/>
    <n v="1034.3499999999985"/>
    <n v="2.2076631213007712E-2"/>
    <s v="Paid"/>
    <x v="0"/>
    <x v="0"/>
    <x v="0"/>
  </r>
  <r>
    <x v="27"/>
    <s v="INV-00167"/>
    <x v="7"/>
    <x v="1"/>
    <x v="1"/>
    <s v="Lagos"/>
    <s v="Ibrahim"/>
    <s v="Wholesale"/>
    <n v="75"/>
    <n v="4079.34"/>
    <n v="305950.5"/>
    <n v="25556.6"/>
    <x v="120"/>
    <n v="197088.52"/>
    <n v="6774.31"/>
    <n v="18709.650000000001"/>
    <n v="12180.26"/>
    <n v="6417.31"/>
    <n v="241170.05"/>
    <n v="83305.380000000034"/>
    <n v="39223.850000000035"/>
    <n v="0.13988838558898761"/>
    <s v="Paid"/>
    <x v="0"/>
    <x v="0"/>
    <x v="0"/>
  </r>
  <r>
    <x v="27"/>
    <s v="INV-00059"/>
    <x v="6"/>
    <x v="6"/>
    <x v="0"/>
    <s v="Abuja"/>
    <s v="Tunde"/>
    <s v="Wholesale"/>
    <n v="133"/>
    <n v="352.42"/>
    <n v="46871.86"/>
    <n v="4303.45"/>
    <x v="121"/>
    <n v="32905.910000000003"/>
    <n v="1454.83"/>
    <n v="2545.2800000000002"/>
    <n v="2075.7199999999998"/>
    <n v="1360.15"/>
    <n v="40341.890000000007"/>
    <n v="9662.5"/>
    <n v="2226.5199999999968"/>
    <n v="5.2304514075108666E-2"/>
    <s v="Paid"/>
    <x v="0"/>
    <x v="0"/>
    <x v="0"/>
  </r>
  <r>
    <x v="27"/>
    <s v="INV-01329"/>
    <x v="3"/>
    <x v="2"/>
    <x v="2"/>
    <s v="Lagos"/>
    <s v="Emeka"/>
    <s v="Wholesale"/>
    <n v="84"/>
    <n v="4251.3500000000004"/>
    <n v="357113.4"/>
    <n v="24074.77"/>
    <x v="122"/>
    <n v="238037.76000000001"/>
    <n v="8708.08"/>
    <n v="19134.830000000002"/>
    <n v="16579.759999999998"/>
    <n v="7396.01"/>
    <n v="289856.44"/>
    <n v="95000.87"/>
    <n v="43182.19"/>
    <n v="0.12966120476774723"/>
    <s v="Paid"/>
    <x v="0"/>
    <x v="0"/>
    <x v="0"/>
  </r>
  <r>
    <x v="28"/>
    <s v="INV-00639"/>
    <x v="6"/>
    <x v="1"/>
    <x v="1"/>
    <s v="Lagos"/>
    <s v="Samuel"/>
    <s v="Supermarket"/>
    <n v="89"/>
    <n v="4383.76"/>
    <n v="390154.64"/>
    <n v="28606.93"/>
    <x v="123"/>
    <n v="263450"/>
    <n v="8548.0400000000009"/>
    <n v="25386.89"/>
    <n v="18061.05"/>
    <n v="7305.25"/>
    <n v="322751.23"/>
    <n v="98097.710000000021"/>
    <n v="38796.48000000004"/>
    <n v="0.10730666777007117"/>
    <s v="Paid"/>
    <x v="0"/>
    <x v="0"/>
    <x v="0"/>
  </r>
  <r>
    <x v="28"/>
    <s v="INV-00172"/>
    <x v="9"/>
    <x v="10"/>
    <x v="5"/>
    <s v="Lagos"/>
    <s v="Samuel"/>
    <s v="Supermarket"/>
    <n v="30"/>
    <n v="6776.14"/>
    <n v="203284.2"/>
    <n v="17163.77"/>
    <x v="124"/>
    <n v="110066.78"/>
    <n v="4630.82"/>
    <n v="12589.28"/>
    <n v="9868.2999999999993"/>
    <n v="4406.4799999999996"/>
    <n v="141561.66"/>
    <n v="76053.650000000023"/>
    <n v="44558.770000000019"/>
    <n v="0.23940826915132321"/>
    <s v="Paid"/>
    <x v="0"/>
    <x v="0"/>
    <x v="0"/>
  </r>
  <r>
    <x v="28"/>
    <s v="INV-00626"/>
    <x v="11"/>
    <x v="9"/>
    <x v="4"/>
    <s v="Lagos"/>
    <s v="Amina"/>
    <s v="Supermarket"/>
    <n v="72"/>
    <n v="1769.22"/>
    <n v="127383.84"/>
    <n v="8064.17"/>
    <x v="125"/>
    <n v="83003.03"/>
    <n v="3301.55"/>
    <n v="7507.09"/>
    <n v="5995.44"/>
    <n v="2656.13"/>
    <n v="102463.24"/>
    <n v="36316.639999999999"/>
    <n v="16856.429999999993"/>
    <n v="0.14127117515494297"/>
    <s v="Paid"/>
    <x v="0"/>
    <x v="0"/>
    <x v="0"/>
  </r>
  <r>
    <x v="28"/>
    <s v="INV-00644"/>
    <x v="0"/>
    <x v="2"/>
    <x v="2"/>
    <s v="Lagos"/>
    <s v="Daniel"/>
    <s v="Wholesale"/>
    <n v="69"/>
    <n v="4196.33"/>
    <n v="289546.77"/>
    <n v="23159.13"/>
    <x v="126"/>
    <n v="184177.91"/>
    <n v="6669.89"/>
    <n v="17334.810000000001"/>
    <n v="13980.55"/>
    <n v="7287.46"/>
    <n v="229450.62"/>
    <n v="82209.73000000001"/>
    <n v="36937.020000000019"/>
    <n v="0.13865891075126466"/>
    <s v="Paid"/>
    <x v="0"/>
    <x v="0"/>
    <x v="0"/>
  </r>
  <r>
    <x v="29"/>
    <s v="INV-00761"/>
    <x v="6"/>
    <x v="2"/>
    <x v="2"/>
    <s v="Lagos"/>
    <s v="Amina"/>
    <s v="Distributor"/>
    <n v="104"/>
    <n v="4401.75"/>
    <n v="457782"/>
    <n v="41379.980000000003"/>
    <x v="127"/>
    <n v="297882.14"/>
    <n v="10308.73"/>
    <n v="28131.49"/>
    <n v="16761.38"/>
    <n v="10824.97"/>
    <n v="363908.70999999996"/>
    <n v="118519.88"/>
    <n v="52493.310000000056"/>
    <n v="0.12606401381049989"/>
    <s v="Paid"/>
    <x v="0"/>
    <x v="0"/>
    <x v="0"/>
  </r>
  <r>
    <x v="29"/>
    <s v="INV-01217"/>
    <x v="7"/>
    <x v="5"/>
    <x v="3"/>
    <s v="Lagos"/>
    <s v="Mary"/>
    <s v="Retail"/>
    <n v="53"/>
    <n v="1460.98"/>
    <n v="77431.94"/>
    <n v="4457.51"/>
    <x v="128"/>
    <n v="40781.42"/>
    <n v="1993.16"/>
    <n v="4525.46"/>
    <n v="3981.26"/>
    <n v="2118.56"/>
    <n v="53399.86"/>
    <n v="32193.010000000009"/>
    <n v="19574.570000000007"/>
    <n v="0.26823875157366772"/>
    <s v="Paid"/>
    <x v="0"/>
    <x v="0"/>
    <x v="0"/>
  </r>
  <r>
    <x v="29"/>
    <s v="INV-01256"/>
    <x v="8"/>
    <x v="0"/>
    <x v="0"/>
    <s v="Lagos"/>
    <s v="Daniel"/>
    <s v="Wholesale"/>
    <n v="124"/>
    <n v="1145.1099999999999"/>
    <n v="141993.63999999998"/>
    <n v="11191.16"/>
    <x v="129"/>
    <n v="80760.31"/>
    <n v="3527.68"/>
    <n v="7328.32"/>
    <n v="7021.04"/>
    <n v="3015.87"/>
    <n v="101653.21999999999"/>
    <n v="50042.169999999984"/>
    <n v="29149.259999999995"/>
    <n v="0.22284944444478422"/>
    <s v="Pending"/>
    <x v="0"/>
    <x v="0"/>
    <x v="0"/>
  </r>
  <r>
    <x v="29"/>
    <s v="INV-00773"/>
    <x v="1"/>
    <x v="0"/>
    <x v="0"/>
    <s v="Abuja"/>
    <s v="Daniel"/>
    <s v="Retail"/>
    <n v="86"/>
    <n v="1058.92"/>
    <n v="91067.12000000001"/>
    <n v="5375.15"/>
    <x v="130"/>
    <n v="49911.44"/>
    <n v="3373.59"/>
    <n v="5257.52"/>
    <n v="3539.57"/>
    <n v="2410.6999999999998"/>
    <n v="64492.82"/>
    <n v="35780.530000000013"/>
    <n v="21199.150000000016"/>
    <n v="0.24738782408666776"/>
    <s v="Pending"/>
    <x v="0"/>
    <x v="0"/>
    <x v="0"/>
  </r>
  <r>
    <x v="29"/>
    <s v="INV-01307"/>
    <x v="2"/>
    <x v="7"/>
    <x v="5"/>
    <s v="Abuja"/>
    <s v="Fatima"/>
    <s v="Retail"/>
    <n v="109"/>
    <n v="5000.3999999999996"/>
    <n v="545043.6"/>
    <n v="31675.040000000001"/>
    <x v="131"/>
    <n v="388267.68"/>
    <n v="17717.490000000002"/>
    <n v="28581.66"/>
    <n v="18945.89"/>
    <n v="13362.86"/>
    <n v="466875.57999999996"/>
    <n v="125100.88"/>
    <n v="46492.98000000004"/>
    <n v="9.0564525416203981E-2"/>
    <s v="Paid"/>
    <x v="0"/>
    <x v="0"/>
    <x v="0"/>
  </r>
  <r>
    <x v="29"/>
    <s v="INV-00675"/>
    <x v="3"/>
    <x v="3"/>
    <x v="3"/>
    <s v="Lagos"/>
    <s v="Emeka"/>
    <s v="Wholesale"/>
    <n v="72"/>
    <n v="770.15"/>
    <n v="55450.799999999996"/>
    <n v="4996.38"/>
    <x v="132"/>
    <n v="32644.37"/>
    <n v="1231.1600000000001"/>
    <n v="3340.68"/>
    <n v="2501.88"/>
    <n v="1512.74"/>
    <n v="41230.829999999994"/>
    <n v="17810.05"/>
    <n v="9223.5900000000038"/>
    <n v="0.182810346447348"/>
    <s v="Paid"/>
    <x v="0"/>
    <x v="0"/>
    <x v="0"/>
  </r>
  <r>
    <x v="30"/>
    <s v="INV-00889"/>
    <x v="10"/>
    <x v="6"/>
    <x v="0"/>
    <s v="Lagos"/>
    <s v="Amina"/>
    <s v="Supermarket"/>
    <n v="157"/>
    <n v="372.6"/>
    <n v="58498.200000000004"/>
    <n v="4230.76"/>
    <x v="133"/>
    <n v="42440.3"/>
    <n v="1534.41"/>
    <n v="3375.94"/>
    <n v="2584.16"/>
    <n v="1494.82"/>
    <n v="51429.630000000012"/>
    <n v="11827.14"/>
    <n v="2837.8099999999904"/>
    <n v="5.2293050860700088E-2"/>
    <s v="Pending"/>
    <x v="1"/>
    <x v="1"/>
    <x v="0"/>
  </r>
  <r>
    <x v="30"/>
    <s v="INV-01245"/>
    <x v="1"/>
    <x v="7"/>
    <x v="5"/>
    <s v="Port Harcourt"/>
    <s v="Ibrahim"/>
    <s v="Retail"/>
    <n v="42"/>
    <n v="5303.37"/>
    <n v="222741.54"/>
    <n v="15940.06"/>
    <x v="134"/>
    <n v="155273.43"/>
    <n v="9406.31"/>
    <n v="15472.27"/>
    <n v="9726"/>
    <n v="4893.49"/>
    <n v="194771.49999999997"/>
    <n v="51528.050000000017"/>
    <n v="12029.98000000004"/>
    <n v="5.8171633974766712E-2"/>
    <s v="Paid"/>
    <x v="1"/>
    <x v="1"/>
    <x v="0"/>
  </r>
  <r>
    <x v="31"/>
    <s v="INV-01157"/>
    <x v="6"/>
    <x v="7"/>
    <x v="5"/>
    <s v="Lagos"/>
    <s v="Mary"/>
    <s v="Supermarket"/>
    <n v="66"/>
    <n v="5296.82"/>
    <n v="349590.12"/>
    <n v="30427.33"/>
    <x v="135"/>
    <n v="235390.99"/>
    <n v="7848.21"/>
    <n v="21008.39"/>
    <n v="14609.64"/>
    <n v="9853.32"/>
    <n v="288710.55"/>
    <n v="83771.799999999988"/>
    <n v="30452.239999999991"/>
    <n v="9.5412876920896672E-2"/>
    <s v="Pending"/>
    <x v="1"/>
    <x v="1"/>
    <x v="0"/>
  </r>
  <r>
    <x v="31"/>
    <s v="INV-01278"/>
    <x v="9"/>
    <x v="0"/>
    <x v="0"/>
    <s v="Lagos"/>
    <s v="Mary"/>
    <s v="Retail"/>
    <n v="118"/>
    <n v="1148.1500000000001"/>
    <n v="135481.70000000001"/>
    <n v="8547.7199999999993"/>
    <x v="136"/>
    <n v="75924.25"/>
    <n v="3445.55"/>
    <n v="9337.76"/>
    <n v="4455.8999999999996"/>
    <n v="2903.09"/>
    <n v="96066.549999999988"/>
    <n v="51009.73000000001"/>
    <n v="30867.430000000022"/>
    <n v="0.24317704368838053"/>
    <s v="Paid"/>
    <x v="1"/>
    <x v="1"/>
    <x v="0"/>
  </r>
  <r>
    <x v="31"/>
    <s v="INV-00243"/>
    <x v="0"/>
    <x v="0"/>
    <x v="0"/>
    <s v="Lagos"/>
    <s v="Ibrahim"/>
    <s v="Retail"/>
    <n v="69"/>
    <n v="1134.3599999999999"/>
    <n v="78270.84"/>
    <n v="4677.22"/>
    <x v="137"/>
    <n v="45173.67"/>
    <n v="1836.52"/>
    <n v="4477.3500000000004"/>
    <n v="3076.55"/>
    <n v="2006.43"/>
    <n v="56570.52"/>
    <n v="28419.949999999997"/>
    <n v="17023.099999999999"/>
    <n v="0.23131217081045882"/>
    <s v="Paid"/>
    <x v="1"/>
    <x v="1"/>
    <x v="0"/>
  </r>
  <r>
    <x v="31"/>
    <s v="INV-00440"/>
    <x v="10"/>
    <x v="4"/>
    <x v="4"/>
    <s v="Port Harcourt"/>
    <s v="Emeka"/>
    <s v="Distributor"/>
    <n v="25"/>
    <n v="3160.96"/>
    <n v="79024"/>
    <n v="6737.13"/>
    <x v="138"/>
    <n v="40766.519999999997"/>
    <n v="3069.82"/>
    <n v="5226.79"/>
    <n v="3576.53"/>
    <n v="1579.94"/>
    <n v="54219.6"/>
    <n v="31520.35"/>
    <n v="18067.269999999997"/>
    <n v="0.24993847430383967"/>
    <s v="Paid"/>
    <x v="1"/>
    <x v="1"/>
    <x v="0"/>
  </r>
  <r>
    <x v="31"/>
    <s v="INV-00833"/>
    <x v="3"/>
    <x v="2"/>
    <x v="2"/>
    <s v="Lagos"/>
    <s v="Tunde"/>
    <s v="Wholesale"/>
    <n v="77"/>
    <n v="4342.6099999999997"/>
    <n v="334380.96999999997"/>
    <n v="28887.68"/>
    <x v="139"/>
    <n v="219766.58"/>
    <n v="7951.91"/>
    <n v="18403.03"/>
    <n v="14522.5"/>
    <n v="7451.68"/>
    <n v="268095.7"/>
    <n v="85726.709999999992"/>
    <n v="37397.589999999967"/>
    <n v="0.12241705865290844"/>
    <s v="Pending"/>
    <x v="1"/>
    <x v="1"/>
    <x v="0"/>
  </r>
  <r>
    <x v="31"/>
    <s v="INV-00229"/>
    <x v="2"/>
    <x v="6"/>
    <x v="0"/>
    <s v="Lagos"/>
    <s v="Amina"/>
    <s v="Distributor"/>
    <n v="125"/>
    <n v="357.23"/>
    <n v="44653.75"/>
    <n v="3955.1"/>
    <x v="140"/>
    <n v="32589.58"/>
    <n v="1108.52"/>
    <n v="2606.02"/>
    <n v="2129.4"/>
    <n v="1266.1199999999999"/>
    <n v="39699.64"/>
    <n v="8109.07"/>
    <n v="999.01000000000204"/>
    <n v="2.4546514442125279E-2"/>
    <s v="Paid"/>
    <x v="1"/>
    <x v="1"/>
    <x v="0"/>
  </r>
  <r>
    <x v="32"/>
    <s v="INV-01291"/>
    <x v="2"/>
    <x v="1"/>
    <x v="1"/>
    <s v="Lagos"/>
    <s v="Amina"/>
    <s v="Wholesale"/>
    <n v="73"/>
    <n v="4226.5600000000004"/>
    <n v="308538.88"/>
    <n v="26514.400000000001"/>
    <x v="141"/>
    <n v="198300.53"/>
    <n v="7024.72"/>
    <n v="16644.759999999998"/>
    <n v="13082.47"/>
    <n v="7209.82"/>
    <n v="242262.30000000002"/>
    <n v="83723.949999999983"/>
    <n v="39762.179999999964"/>
    <n v="0.14098839930491128"/>
    <s v="Paid"/>
    <x v="1"/>
    <x v="1"/>
    <x v="0"/>
  </r>
  <r>
    <x v="32"/>
    <s v="INV-00066"/>
    <x v="9"/>
    <x v="6"/>
    <x v="0"/>
    <s v="Lagos"/>
    <s v="Ibrahim"/>
    <s v="Wholesale"/>
    <n v="91"/>
    <n v="360.22"/>
    <n v="32780.020000000004"/>
    <n v="2995.4"/>
    <x v="142"/>
    <n v="22304.17"/>
    <n v="704.74"/>
    <n v="2058.8000000000002"/>
    <n v="1476.76"/>
    <n v="787.5"/>
    <n v="27331.969999999998"/>
    <n v="7480.4500000000044"/>
    <n v="2452.6500000000051"/>
    <n v="8.234619075214003E-2"/>
    <s v="Paid"/>
    <x v="1"/>
    <x v="1"/>
    <x v="0"/>
  </r>
  <r>
    <x v="32"/>
    <s v="INV-01135"/>
    <x v="3"/>
    <x v="8"/>
    <x v="2"/>
    <s v="Ibadan"/>
    <s v="Samuel"/>
    <s v="Supermarket"/>
    <n v="59"/>
    <n v="6512.26"/>
    <n v="384223.34"/>
    <n v="24015.200000000001"/>
    <x v="143"/>
    <n v="217207.88"/>
    <n v="11646.92"/>
    <n v="24129.54"/>
    <n v="16034.04"/>
    <n v="7612.43"/>
    <n v="276630.81"/>
    <n v="143000.26"/>
    <n v="83577.330000000016"/>
    <n v="0.23202510082087544"/>
    <s v="Paid"/>
    <x v="1"/>
    <x v="1"/>
    <x v="0"/>
  </r>
  <r>
    <x v="32"/>
    <s v="INV-00730"/>
    <x v="6"/>
    <x v="2"/>
    <x v="2"/>
    <s v="Lagos"/>
    <s v="Samuel"/>
    <s v="Wholesale"/>
    <n v="67"/>
    <n v="4228.22"/>
    <n v="283290.74"/>
    <n v="25121.18"/>
    <x v="144"/>
    <n v="181541.76000000001"/>
    <n v="6298.77"/>
    <n v="18356.7"/>
    <n v="13457.86"/>
    <n v="5981.83"/>
    <n v="225636.92"/>
    <n v="76627.799999999988"/>
    <n v="32532.639999999985"/>
    <n v="0.12601268716575256"/>
    <s v="Paid"/>
    <x v="1"/>
    <x v="1"/>
    <x v="0"/>
  </r>
  <r>
    <x v="33"/>
    <s v="INV-00763"/>
    <x v="6"/>
    <x v="1"/>
    <x v="1"/>
    <s v="Abuja"/>
    <s v="Tunde"/>
    <s v="Wholesale"/>
    <n v="104"/>
    <n v="4219.16"/>
    <n v="438792.64"/>
    <n v="38540.76"/>
    <x v="145"/>
    <n v="285469.07"/>
    <n v="13865.23"/>
    <n v="26686.880000000001"/>
    <n v="14432.56"/>
    <n v="8008.75"/>
    <n v="348462.49"/>
    <n v="114782.81"/>
    <n v="51789.390000000014"/>
    <n v="0.12939199685957756"/>
    <s v="Paid"/>
    <x v="1"/>
    <x v="1"/>
    <x v="0"/>
  </r>
  <r>
    <x v="33"/>
    <s v="INV-01049"/>
    <x v="2"/>
    <x v="6"/>
    <x v="0"/>
    <s v="Lagos"/>
    <s v="Emeka"/>
    <s v="Distributor"/>
    <n v="125"/>
    <n v="361.52"/>
    <n v="45190"/>
    <n v="3517.51"/>
    <x v="146"/>
    <n v="33630.04"/>
    <n v="986.26"/>
    <n v="2840.94"/>
    <n v="2039.14"/>
    <n v="1302.78"/>
    <n v="40799.160000000003"/>
    <n v="8042.4499999999971"/>
    <n v="873.32999999999447"/>
    <n v="2.0956991050930591E-2"/>
    <s v="Paid"/>
    <x v="1"/>
    <x v="1"/>
    <x v="0"/>
  </r>
  <r>
    <x v="33"/>
    <s v="INV-00568"/>
    <x v="0"/>
    <x v="7"/>
    <x v="5"/>
    <s v="Abuja"/>
    <s v="Emeka"/>
    <s v="Wholesale"/>
    <n v="90"/>
    <n v="5451.56"/>
    <n v="490640.4"/>
    <n v="43288.71"/>
    <x v="147"/>
    <n v="338864.11"/>
    <n v="17159.28"/>
    <n v="25007.35"/>
    <n v="18335.12"/>
    <n v="11916.29"/>
    <n v="411282.14999999997"/>
    <n v="108487.58000000002"/>
    <n v="36069.540000000037"/>
    <n v="8.0629046019698808E-2"/>
    <s v="Paid"/>
    <x v="1"/>
    <x v="1"/>
    <x v="0"/>
  </r>
  <r>
    <x v="33"/>
    <s v="INV-00757"/>
    <x v="10"/>
    <x v="2"/>
    <x v="2"/>
    <s v="Ibadan"/>
    <s v="Amina"/>
    <s v="Supermarket"/>
    <n v="76"/>
    <n v="4267.6400000000003"/>
    <n v="324340.64"/>
    <n v="27493.86"/>
    <x v="148"/>
    <n v="208876.83"/>
    <n v="8046.28"/>
    <n v="17350.89"/>
    <n v="14275.39"/>
    <n v="7684.84"/>
    <n v="256234.23"/>
    <n v="87969.950000000041"/>
    <n v="40612.550000000017"/>
    <n v="0.13681317344927915"/>
    <s v="Paid"/>
    <x v="1"/>
    <x v="1"/>
    <x v="0"/>
  </r>
  <r>
    <x v="34"/>
    <s v="INV-01094"/>
    <x v="8"/>
    <x v="2"/>
    <x v="2"/>
    <s v="Lagos"/>
    <s v="Mary"/>
    <s v="Retail"/>
    <n v="82"/>
    <n v="4219.1000000000004"/>
    <n v="345966.2"/>
    <n v="19057.62"/>
    <x v="149"/>
    <n v="231518.23"/>
    <n v="7785.23"/>
    <n v="18357.37"/>
    <n v="15677.78"/>
    <n v="9033.8700000000008"/>
    <n v="282372.48000000004"/>
    <n v="95390.35"/>
    <n v="44536.099999999977"/>
    <n v="0.13623411168957381"/>
    <s v="Paid"/>
    <x v="1"/>
    <x v="1"/>
    <x v="0"/>
  </r>
  <r>
    <x v="34"/>
    <s v="INV-00455"/>
    <x v="10"/>
    <x v="6"/>
    <x v="0"/>
    <s v="Lagos"/>
    <s v="Emeka"/>
    <s v="Supermarket"/>
    <n v="152"/>
    <n v="370.17"/>
    <n v="56265.840000000004"/>
    <n v="4547.87"/>
    <x v="150"/>
    <n v="40307.93"/>
    <n v="1475.63"/>
    <n v="3713.62"/>
    <n v="2253.54"/>
    <n v="1334.49"/>
    <n v="49085.21"/>
    <n v="11410.04"/>
    <n v="2632.760000000002"/>
    <n v="5.0906097049052815E-2"/>
    <s v="Paid"/>
    <x v="1"/>
    <x v="1"/>
    <x v="0"/>
  </r>
  <r>
    <x v="34"/>
    <s v="INV-00368"/>
    <x v="0"/>
    <x v="2"/>
    <x v="2"/>
    <s v="Ibadan"/>
    <s v="Mary"/>
    <s v="Wholesale"/>
    <n v="48"/>
    <n v="4319.6000000000004"/>
    <n v="207340.80000000002"/>
    <n v="18723.189999999999"/>
    <x v="151"/>
    <n v="130629.21"/>
    <n v="5585.59"/>
    <n v="10670.43"/>
    <n v="9377.5300000000007"/>
    <n v="5020.2299999999996"/>
    <n v="161282.99000000002"/>
    <n v="57988.400000000009"/>
    <n v="27334.619999999995"/>
    <n v="0.14492082685174515"/>
    <s v="Paid"/>
    <x v="1"/>
    <x v="1"/>
    <x v="0"/>
  </r>
  <r>
    <x v="34"/>
    <s v="INV-00617"/>
    <x v="8"/>
    <x v="10"/>
    <x v="5"/>
    <s v="Lagos"/>
    <s v="Daniel"/>
    <s v="Distributor"/>
    <n v="54"/>
    <n v="6864.57"/>
    <n v="370686.77999999997"/>
    <n v="31588.84"/>
    <x v="152"/>
    <n v="214232.58"/>
    <n v="9178.94"/>
    <n v="23549.85"/>
    <n v="13253.5"/>
    <n v="10347.82"/>
    <n v="270562.69"/>
    <n v="124865.35999999996"/>
    <n v="68535.249999999942"/>
    <n v="0.20211048760720857"/>
    <s v="Pending"/>
    <x v="1"/>
    <x v="1"/>
    <x v="0"/>
  </r>
  <r>
    <x v="34"/>
    <s v="INV-00689"/>
    <x v="5"/>
    <x v="9"/>
    <x v="4"/>
    <s v="Abuja"/>
    <s v="Ibrahim"/>
    <s v="Distributor"/>
    <n v="65"/>
    <n v="1896.1"/>
    <n v="123246.5"/>
    <n v="9294.4599999999991"/>
    <x v="153"/>
    <n v="80218.53"/>
    <n v="4011.31"/>
    <n v="7430.96"/>
    <n v="5476.28"/>
    <n v="3093.58"/>
    <n v="100230.66"/>
    <n v="33733.510000000009"/>
    <n v="13721.380000000005"/>
    <n v="0.120413640686029"/>
    <s v="Paid"/>
    <x v="1"/>
    <x v="1"/>
    <x v="0"/>
  </r>
  <r>
    <x v="34"/>
    <s v="INV-00151"/>
    <x v="4"/>
    <x v="3"/>
    <x v="3"/>
    <s v="Lagos"/>
    <s v="Ibrahim"/>
    <s v="Retail"/>
    <n v="93"/>
    <n v="792.8"/>
    <n v="73730.399999999994"/>
    <n v="4580.92"/>
    <x v="154"/>
    <n v="46386.68"/>
    <n v="1737.73"/>
    <n v="4905.67"/>
    <n v="3134.97"/>
    <n v="2055.0300000000002"/>
    <n v="58220.08"/>
    <n v="22762.799999999996"/>
    <n v="10929.399999999994"/>
    <n v="0.15805469542214917"/>
    <s v="Paid"/>
    <x v="1"/>
    <x v="1"/>
    <x v="0"/>
  </r>
  <r>
    <x v="34"/>
    <s v="INV-01358"/>
    <x v="3"/>
    <x v="8"/>
    <x v="2"/>
    <s v="Ibadan"/>
    <s v="Tunde"/>
    <s v="Wholesale"/>
    <n v="38"/>
    <n v="6529.61"/>
    <n v="248125.18"/>
    <n v="19076.61"/>
    <x v="155"/>
    <n v="128395.99"/>
    <n v="7463.3"/>
    <n v="14095.89"/>
    <n v="11440.04"/>
    <n v="6375.61"/>
    <n v="167770.82999999999"/>
    <n v="100652.58"/>
    <n v="61277.74000000002"/>
    <n v="0.26753164186966988"/>
    <s v="Paid"/>
    <x v="1"/>
    <x v="1"/>
    <x v="0"/>
  </r>
  <r>
    <x v="34"/>
    <s v="INV-01148"/>
    <x v="4"/>
    <x v="1"/>
    <x v="1"/>
    <s v="Lagos"/>
    <s v="Ibrahim"/>
    <s v="Supermarket"/>
    <n v="122"/>
    <n v="4373.8900000000003"/>
    <n v="533614.58000000007"/>
    <n v="40203.339999999997"/>
    <x v="156"/>
    <n v="371766.58"/>
    <n v="13847.44"/>
    <n v="33791.919999999998"/>
    <n v="24699.97"/>
    <n v="12745.68"/>
    <n v="456851.59"/>
    <n v="121644.66000000009"/>
    <n v="36559.650000000081"/>
    <n v="7.4095697536197339E-2"/>
    <s v="Paid"/>
    <x v="1"/>
    <x v="1"/>
    <x v="0"/>
  </r>
  <r>
    <x v="35"/>
    <s v="INV-00053"/>
    <x v="3"/>
    <x v="7"/>
    <x v="5"/>
    <s v="Lagos"/>
    <s v="Tunde"/>
    <s v="Wholesale"/>
    <n v="46"/>
    <n v="5109.72"/>
    <n v="235047.12000000002"/>
    <n v="17320.88"/>
    <x v="157"/>
    <n v="169717.91"/>
    <n v="6050.1"/>
    <n v="13519.43"/>
    <n v="8073.18"/>
    <n v="4640.16"/>
    <n v="202000.78"/>
    <n v="48008.330000000016"/>
    <n v="15725.460000000021"/>
    <n v="7.2225837363470838E-2"/>
    <s v="Paid"/>
    <x v="1"/>
    <x v="1"/>
    <x v="0"/>
  </r>
  <r>
    <x v="35"/>
    <s v="INV-00170"/>
    <x v="1"/>
    <x v="9"/>
    <x v="4"/>
    <s v="Lagos"/>
    <s v="Tunde"/>
    <s v="Wholesale"/>
    <n v="65"/>
    <n v="1908.75"/>
    <n v="124068.75"/>
    <n v="10502.21"/>
    <x v="158"/>
    <n v="79315.31"/>
    <n v="3177.99"/>
    <n v="8345.44"/>
    <n v="6039.57"/>
    <n v="3319.23"/>
    <n v="100197.54"/>
    <n v="34251.23000000001"/>
    <n v="13369.000000000015"/>
    <n v="0.11771953253132493"/>
    <s v="Paid"/>
    <x v="1"/>
    <x v="1"/>
    <x v="0"/>
  </r>
  <r>
    <x v="35"/>
    <s v="INV-00864"/>
    <x v="8"/>
    <x v="2"/>
    <x v="2"/>
    <s v="Lagos"/>
    <s v="Ibrahim"/>
    <s v="Distributor"/>
    <n v="56"/>
    <n v="4431.53"/>
    <n v="248165.68"/>
    <n v="21393.32"/>
    <x v="159"/>
    <n v="164354.85"/>
    <n v="5625.8"/>
    <n v="16915.759999999998"/>
    <n v="9273.61"/>
    <n v="5933.11"/>
    <n v="202103.13"/>
    <n v="62417.50999999998"/>
    <n v="24669.229999999981"/>
    <n v="0.10878411284338171"/>
    <s v="Paid"/>
    <x v="1"/>
    <x v="1"/>
    <x v="0"/>
  </r>
  <r>
    <x v="35"/>
    <s v="INV-00808"/>
    <x v="11"/>
    <x v="9"/>
    <x v="4"/>
    <s v="Lagos"/>
    <s v="Daniel"/>
    <s v="Supermarket"/>
    <n v="76"/>
    <n v="1834.97"/>
    <n v="139457.72"/>
    <n v="11210.44"/>
    <x v="160"/>
    <n v="86916.93"/>
    <n v="3072.66"/>
    <n v="7230.84"/>
    <n v="5600.82"/>
    <n v="3211.29"/>
    <n v="106032.54"/>
    <n v="41330.350000000006"/>
    <n v="22214.740000000005"/>
    <n v="0.17321802068628672"/>
    <s v="Paid"/>
    <x v="1"/>
    <x v="1"/>
    <x v="0"/>
  </r>
  <r>
    <x v="36"/>
    <s v="INV-00298"/>
    <x v="0"/>
    <x v="6"/>
    <x v="0"/>
    <s v="Lagos"/>
    <s v="Tunde"/>
    <s v="Wholesale"/>
    <n v="135"/>
    <n v="359.09"/>
    <n v="48477.149999999994"/>
    <n v="4406.03"/>
    <x v="161"/>
    <n v="35178.959999999999"/>
    <n v="1048.06"/>
    <n v="2976.92"/>
    <n v="1863.59"/>
    <n v="1282.23"/>
    <n v="42349.759999999995"/>
    <n v="8892.1599999999962"/>
    <n v="1721.3600000000006"/>
    <n v="3.9058685143468122E-2"/>
    <s v="Pending"/>
    <x v="1"/>
    <x v="1"/>
    <x v="0"/>
  </r>
  <r>
    <x v="36"/>
    <s v="INV-00150"/>
    <x v="6"/>
    <x v="3"/>
    <x v="3"/>
    <s v="Port Harcourt"/>
    <s v="Tunde"/>
    <s v="Wholesale"/>
    <n v="66"/>
    <n v="829.78"/>
    <n v="54765.479999999996"/>
    <n v="3870.32"/>
    <x v="162"/>
    <n v="32888.660000000003"/>
    <n v="2173.16"/>
    <n v="3011.43"/>
    <n v="2346.7800000000002"/>
    <n v="1161.3399999999999"/>
    <n v="41581.370000000003"/>
    <n v="18006.499999999993"/>
    <n v="9313.7899999999936"/>
    <n v="0.18299952294088465"/>
    <s v="Paid"/>
    <x v="1"/>
    <x v="1"/>
    <x v="0"/>
  </r>
  <r>
    <x v="37"/>
    <s v="INV-01427"/>
    <x v="8"/>
    <x v="1"/>
    <x v="1"/>
    <s v="Lagos"/>
    <s v="Mary"/>
    <s v="Wholesale"/>
    <n v="99"/>
    <n v="4203.1499999999996"/>
    <n v="416111.85"/>
    <n v="29176.48"/>
    <x v="163"/>
    <n v="288250.7"/>
    <n v="10991.6"/>
    <n v="25645.9"/>
    <n v="16343.57"/>
    <n v="10555.97"/>
    <n v="351787.74"/>
    <n v="98684.669999999984"/>
    <n v="35147.630000000005"/>
    <n v="9.0835919187227582E-2"/>
    <s v="Paid"/>
    <x v="1"/>
    <x v="1"/>
    <x v="0"/>
  </r>
  <r>
    <x v="37"/>
    <s v="INV-00932"/>
    <x v="5"/>
    <x v="7"/>
    <x v="5"/>
    <s v="Lagos"/>
    <s v="Ibrahim"/>
    <s v="Wholesale"/>
    <n v="67"/>
    <n v="5257.16"/>
    <n v="352229.72"/>
    <n v="24402.43"/>
    <x v="164"/>
    <n v="254960.04"/>
    <n v="9321.6"/>
    <n v="18888.509999999998"/>
    <n v="17130.64"/>
    <n v="9856.9"/>
    <n v="310157.69000000006"/>
    <n v="72867.249999999971"/>
    <n v="17669.599999999919"/>
    <n v="5.3899112547951454E-2"/>
    <s v="Paid"/>
    <x v="1"/>
    <x v="1"/>
    <x v="0"/>
  </r>
  <r>
    <x v="38"/>
    <s v="INV-00114"/>
    <x v="9"/>
    <x v="8"/>
    <x v="2"/>
    <s v="Lagos"/>
    <s v="Emeka"/>
    <s v="Wholesale"/>
    <n v="84"/>
    <n v="6109.32"/>
    <n v="513182.88"/>
    <n v="44883.03"/>
    <x v="165"/>
    <n v="281384"/>
    <n v="11428.96"/>
    <n v="27366.81"/>
    <n v="16606.79"/>
    <n v="11974.32"/>
    <n v="348760.88"/>
    <n v="186915.84999999998"/>
    <n v="119538.96999999997"/>
    <n v="0.2552616021551149"/>
    <s v="Paid"/>
    <x v="1"/>
    <x v="1"/>
    <x v="0"/>
  </r>
  <r>
    <x v="38"/>
    <s v="INV-01003"/>
    <x v="0"/>
    <x v="1"/>
    <x v="1"/>
    <s v="Abuja"/>
    <s v="Fatima"/>
    <s v="Retail"/>
    <n v="44"/>
    <n v="4184.38"/>
    <n v="184112.72"/>
    <n v="11724.46"/>
    <x v="166"/>
    <n v="124068.83"/>
    <n v="6630.86"/>
    <n v="11368.31"/>
    <n v="6125.28"/>
    <n v="4378.29"/>
    <n v="152571.57"/>
    <n v="48319.430000000008"/>
    <n v="19816.690000000002"/>
    <n v="0.11495382574196178"/>
    <s v="Paid"/>
    <x v="1"/>
    <x v="1"/>
    <x v="0"/>
  </r>
  <r>
    <x v="38"/>
    <s v="INV-01077"/>
    <x v="11"/>
    <x v="7"/>
    <x v="5"/>
    <s v="Abuja"/>
    <s v="Daniel"/>
    <s v="Wholesale"/>
    <n v="82"/>
    <n v="5170.16"/>
    <n v="423953.12"/>
    <n v="29057.27"/>
    <x v="167"/>
    <n v="307328.84000000003"/>
    <n v="13385.21"/>
    <n v="26800.93"/>
    <n v="13956.74"/>
    <n v="12514.48"/>
    <n v="373986.2"/>
    <n v="87567.009999999951"/>
    <n v="20909.649999999965"/>
    <n v="5.2949784101301564E-2"/>
    <s v="Paid"/>
    <x v="1"/>
    <x v="1"/>
    <x v="0"/>
  </r>
  <r>
    <x v="38"/>
    <s v="INV-00687"/>
    <x v="7"/>
    <x v="6"/>
    <x v="0"/>
    <s v="Lagos"/>
    <s v="Samuel"/>
    <s v="Wholesale"/>
    <n v="58"/>
    <n v="350.63"/>
    <n v="20336.54"/>
    <n v="1591.74"/>
    <x v="168"/>
    <n v="14645.18"/>
    <n v="500.83"/>
    <n v="1182.95"/>
    <n v="775.79"/>
    <n v="565.67999999999995"/>
    <n v="17670.43"/>
    <n v="4099.619999999999"/>
    <n v="1074.369999999999"/>
    <n v="5.731562886773927E-2"/>
    <s v="Paid"/>
    <x v="1"/>
    <x v="1"/>
    <x v="0"/>
  </r>
  <r>
    <x v="38"/>
    <s v="INV-00148"/>
    <x v="1"/>
    <x v="2"/>
    <x v="2"/>
    <s v="Abuja"/>
    <s v="Tunde"/>
    <s v="Retail"/>
    <n v="80"/>
    <n v="4221.6400000000003"/>
    <n v="337731.2"/>
    <n v="26569.05"/>
    <x v="169"/>
    <n v="223873.55"/>
    <n v="11156.24"/>
    <n v="17334.73"/>
    <n v="16093.13"/>
    <n v="8346.09"/>
    <n v="276803.74"/>
    <n v="87288.600000000035"/>
    <n v="34358.410000000033"/>
    <n v="0.11041963169363636"/>
    <s v="Paid"/>
    <x v="1"/>
    <x v="1"/>
    <x v="0"/>
  </r>
  <r>
    <x v="39"/>
    <s v="INV-00231"/>
    <x v="4"/>
    <x v="1"/>
    <x v="1"/>
    <s v="Lagos"/>
    <s v="Samuel"/>
    <s v="Supermarket"/>
    <n v="68"/>
    <n v="4362.43"/>
    <n v="296645.24"/>
    <n v="25220"/>
    <x v="170"/>
    <n v="203750.29"/>
    <n v="6742.42"/>
    <n v="16418.060000000001"/>
    <n v="10556.97"/>
    <n v="5977.95"/>
    <n v="243445.69000000003"/>
    <n v="67674.949999999983"/>
    <n v="27979.549999999959"/>
    <n v="0.1030838178498063"/>
    <s v="Paid"/>
    <x v="1"/>
    <x v="1"/>
    <x v="0"/>
  </r>
  <r>
    <x v="39"/>
    <s v="INV-00304"/>
    <x v="11"/>
    <x v="1"/>
    <x v="1"/>
    <s v="Ibadan"/>
    <s v="Samuel"/>
    <s v="Distributor"/>
    <n v="44"/>
    <n v="4125.37"/>
    <n v="181516.28"/>
    <n v="15865.67"/>
    <x v="171"/>
    <n v="120386.34"/>
    <n v="4541.37"/>
    <n v="12193.76"/>
    <n v="8906.61"/>
    <n v="3549.44"/>
    <n v="149577.52000000002"/>
    <n v="45264.26999999999"/>
    <n v="16073.089999999967"/>
    <n v="9.7030068286497517E-2"/>
    <s v="Paid"/>
    <x v="1"/>
    <x v="1"/>
    <x v="0"/>
  </r>
  <r>
    <x v="39"/>
    <s v="INV-00983"/>
    <x v="5"/>
    <x v="6"/>
    <x v="0"/>
    <s v="Lagos"/>
    <s v="Fatima"/>
    <s v="Wholesale"/>
    <n v="96"/>
    <n v="362.37"/>
    <n v="34787.520000000004"/>
    <n v="2301.5500000000002"/>
    <x v="172"/>
    <n v="25979.74"/>
    <n v="879.23"/>
    <n v="2396.84"/>
    <n v="1615.72"/>
    <n v="962.7"/>
    <n v="31834.230000000003"/>
    <n v="6506.2300000000032"/>
    <n v="651.7400000000016"/>
    <n v="2.0062199158590664E-2"/>
    <s v="Paid"/>
    <x v="1"/>
    <x v="1"/>
    <x v="0"/>
  </r>
  <r>
    <x v="39"/>
    <s v="INV-01316"/>
    <x v="0"/>
    <x v="9"/>
    <x v="4"/>
    <s v="Abuja"/>
    <s v="Amina"/>
    <s v="Supermarket"/>
    <n v="89"/>
    <n v="1799.04"/>
    <n v="160114.56"/>
    <n v="10832.42"/>
    <x v="173"/>
    <n v="105343.43"/>
    <n v="5863.86"/>
    <n v="9662.56"/>
    <n v="6516.41"/>
    <n v="3801.76"/>
    <n v="131188.01999999999"/>
    <n v="43938.709999999992"/>
    <n v="18094.119999999995"/>
    <n v="0.12120753360046954"/>
    <s v="Paid"/>
    <x v="1"/>
    <x v="1"/>
    <x v="0"/>
  </r>
  <r>
    <x v="39"/>
    <s v="INV-00196"/>
    <x v="11"/>
    <x v="2"/>
    <x v="2"/>
    <s v="Lagos"/>
    <s v="Amina"/>
    <s v="Retail"/>
    <n v="94"/>
    <n v="4212.24"/>
    <n v="395950.56"/>
    <n v="28381.49"/>
    <x v="174"/>
    <n v="254391.74"/>
    <n v="10170.11"/>
    <n v="20580.47"/>
    <n v="19984.96"/>
    <n v="9075.01"/>
    <n v="314202.28999999998"/>
    <n v="113177.33000000002"/>
    <n v="53366.780000000028"/>
    <n v="0.14518844036577949"/>
    <s v="Pending"/>
    <x v="1"/>
    <x v="1"/>
    <x v="0"/>
  </r>
  <r>
    <x v="39"/>
    <s v="INV-01187"/>
    <x v="11"/>
    <x v="7"/>
    <x v="5"/>
    <s v="Ibadan"/>
    <s v="Daniel"/>
    <s v="Retail"/>
    <n v="67"/>
    <n v="5086.34"/>
    <n v="340784.78"/>
    <n v="24015.02"/>
    <x v="175"/>
    <n v="244741"/>
    <n v="9757.35"/>
    <n v="22402.82"/>
    <n v="11749.94"/>
    <n v="6559.55"/>
    <n v="295210.65999999997"/>
    <n v="72028.760000000009"/>
    <n v="21559.100000000035"/>
    <n v="6.8059211207534567E-2"/>
    <s v="Paid"/>
    <x v="1"/>
    <x v="1"/>
    <x v="0"/>
  </r>
  <r>
    <x v="40"/>
    <s v="INV-00576"/>
    <x v="0"/>
    <x v="7"/>
    <x v="5"/>
    <s v="Lagos"/>
    <s v="Amina"/>
    <s v="Retail"/>
    <n v="69"/>
    <n v="5193.76"/>
    <n v="358369.44"/>
    <n v="30309.72"/>
    <x v="176"/>
    <n v="243652.32"/>
    <n v="8699.67"/>
    <n v="20265.23"/>
    <n v="17298.689999999999"/>
    <n v="10021.56"/>
    <n v="299937.47000000003"/>
    <n v="84407.399999999965"/>
    <n v="28122.249999999942"/>
    <n v="8.572295922218047E-2"/>
    <s v="Pending"/>
    <x v="1"/>
    <x v="1"/>
    <x v="0"/>
  </r>
  <r>
    <x v="40"/>
    <s v="INV-00670"/>
    <x v="11"/>
    <x v="6"/>
    <x v="0"/>
    <s v="Lagos"/>
    <s v="Samuel"/>
    <s v="Supermarket"/>
    <n v="114"/>
    <n v="368.83"/>
    <n v="42046.619999999995"/>
    <n v="2786.3"/>
    <x v="177"/>
    <n v="30194.46"/>
    <n v="1076.3699999999999"/>
    <n v="2418.67"/>
    <n v="2000.37"/>
    <n v="999.97"/>
    <n v="36689.840000000004"/>
    <n v="9065.8599999999933"/>
    <n v="2570.4799999999886"/>
    <n v="6.5472721567220782E-2"/>
    <s v="Paid"/>
    <x v="1"/>
    <x v="1"/>
    <x v="0"/>
  </r>
  <r>
    <x v="40"/>
    <s v="INV-00580"/>
    <x v="0"/>
    <x v="6"/>
    <x v="0"/>
    <s v="Lagos"/>
    <s v="Amina"/>
    <s v="Supermarket"/>
    <n v="120"/>
    <n v="356.22"/>
    <n v="42746.400000000001"/>
    <n v="3812.95"/>
    <x v="178"/>
    <n v="30776.22"/>
    <n v="1048.9100000000001"/>
    <n v="2627.26"/>
    <n v="1896.99"/>
    <n v="1012.68"/>
    <n v="37362.06"/>
    <n v="8157.2300000000032"/>
    <n v="1571.3900000000067"/>
    <n v="4.0360923575999727E-2"/>
    <s v="Paid"/>
    <x v="1"/>
    <x v="1"/>
    <x v="0"/>
  </r>
  <r>
    <x v="40"/>
    <s v="INV-00375"/>
    <x v="11"/>
    <x v="2"/>
    <x v="2"/>
    <s v="Abuja"/>
    <s v="Ibrahim"/>
    <s v="Retail"/>
    <n v="85"/>
    <n v="4159.67"/>
    <n v="353571.95"/>
    <n v="26508.080000000002"/>
    <x v="179"/>
    <n v="239776.63"/>
    <n v="11710.44"/>
    <n v="19785.41"/>
    <n v="16330.58"/>
    <n v="7644.63"/>
    <n v="295247.69"/>
    <n v="87287.239999999991"/>
    <n v="31816.179999999993"/>
    <n v="9.7278186061945618E-2"/>
    <s v="Paid"/>
    <x v="1"/>
    <x v="1"/>
    <x v="0"/>
  </r>
  <r>
    <x v="40"/>
    <s v="INV-00566"/>
    <x v="1"/>
    <x v="6"/>
    <x v="0"/>
    <s v="Ibadan"/>
    <s v="Mary"/>
    <s v="Supermarket"/>
    <n v="140"/>
    <n v="362.47"/>
    <n v="50745.8"/>
    <n v="4509.75"/>
    <x v="180"/>
    <n v="37442.839999999997"/>
    <n v="1333.24"/>
    <n v="3417.04"/>
    <n v="2453.23"/>
    <n v="1120.01"/>
    <n v="45766.36"/>
    <n v="8793.2100000000064"/>
    <n v="469.69000000000233"/>
    <n v="1.0158523489787781E-2"/>
    <s v="Pending"/>
    <x v="1"/>
    <x v="1"/>
    <x v="0"/>
  </r>
  <r>
    <x v="41"/>
    <s v="INV-00217"/>
    <x v="10"/>
    <x v="7"/>
    <x v="5"/>
    <s v="Abuja"/>
    <s v="Amina"/>
    <s v="Wholesale"/>
    <n v="76"/>
    <n v="5117.6400000000003"/>
    <n v="388940.64"/>
    <n v="27602.74"/>
    <x v="181"/>
    <n v="277637.40999999997"/>
    <n v="13020.51"/>
    <n v="25532.47"/>
    <n v="17493.21"/>
    <n v="7387.92"/>
    <n v="341071.52"/>
    <n v="83700.490000000049"/>
    <n v="20266.380000000005"/>
    <n v="5.6087058678317453E-2"/>
    <s v="Paid"/>
    <x v="1"/>
    <x v="1"/>
    <x v="0"/>
  </r>
  <r>
    <x v="41"/>
    <s v="INV-00014"/>
    <x v="11"/>
    <x v="2"/>
    <x v="2"/>
    <s v="Abuja"/>
    <s v="Daniel"/>
    <s v="Distributor"/>
    <n v="64"/>
    <n v="4317.88"/>
    <n v="276344.32000000001"/>
    <n v="22496.42"/>
    <x v="182"/>
    <n v="182401.59"/>
    <n v="8835.67"/>
    <n v="16977"/>
    <n v="11274.13"/>
    <n v="5862.88"/>
    <n v="225351.27000000002"/>
    <n v="71446.310000000027"/>
    <n v="28496.630000000005"/>
    <n v="0.11225867931150899"/>
    <s v="Paid"/>
    <x v="1"/>
    <x v="1"/>
    <x v="0"/>
  </r>
  <r>
    <x v="41"/>
    <s v="INV-00501"/>
    <x v="5"/>
    <x v="9"/>
    <x v="4"/>
    <s v="Lagos"/>
    <s v="Daniel"/>
    <s v="Supermarket"/>
    <n v="83"/>
    <n v="1806.32"/>
    <n v="149924.56"/>
    <n v="11788.91"/>
    <x v="183"/>
    <n v="92865.42"/>
    <n v="3446.63"/>
    <n v="8177.06"/>
    <n v="6964"/>
    <n v="3308.41"/>
    <n v="114761.52"/>
    <n v="45270.229999999996"/>
    <n v="23374.12999999999"/>
    <n v="0.16921142369837178"/>
    <s v="Paid"/>
    <x v="1"/>
    <x v="1"/>
    <x v="0"/>
  </r>
  <r>
    <x v="41"/>
    <s v="INV-00279"/>
    <x v="4"/>
    <x v="8"/>
    <x v="2"/>
    <s v="Ibadan"/>
    <s v="Emeka"/>
    <s v="Retail"/>
    <n v="50"/>
    <n v="6433.32"/>
    <n v="321666"/>
    <n v="20507.849999999999"/>
    <x v="184"/>
    <n v="176607.48"/>
    <n v="8844.14"/>
    <n v="21576.18"/>
    <n v="11482.05"/>
    <n v="8802.35"/>
    <n v="227312.19999999998"/>
    <n v="124550.67000000001"/>
    <n v="73845.950000000041"/>
    <n v="0.24520654679277329"/>
    <s v="Paid"/>
    <x v="1"/>
    <x v="1"/>
    <x v="0"/>
  </r>
  <r>
    <x v="41"/>
    <s v="INV-00829"/>
    <x v="6"/>
    <x v="3"/>
    <x v="3"/>
    <s v="Lagos"/>
    <s v="Emeka"/>
    <s v="Wholesale"/>
    <n v="81"/>
    <n v="848.04"/>
    <n v="68691.239999999991"/>
    <n v="5242.28"/>
    <x v="185"/>
    <n v="44162.74"/>
    <n v="1510.35"/>
    <n v="4676.66"/>
    <n v="2985.56"/>
    <n v="1839.1"/>
    <n v="55174.409999999996"/>
    <n v="19286.219999999994"/>
    <n v="8274.5499999999956"/>
    <n v="0.13041269707178804"/>
    <s v="Paid"/>
    <x v="1"/>
    <x v="1"/>
    <x v="0"/>
  </r>
  <r>
    <x v="42"/>
    <s v="INV-01142"/>
    <x v="2"/>
    <x v="9"/>
    <x v="4"/>
    <s v="Lagos"/>
    <s v="Amina"/>
    <s v="Retail"/>
    <n v="35"/>
    <n v="1886.42"/>
    <n v="66024.7"/>
    <n v="4040.51"/>
    <x v="186"/>
    <n v="44744.15"/>
    <n v="1471.76"/>
    <n v="4071.43"/>
    <n v="3297.67"/>
    <n v="1320.34"/>
    <n v="54905.35"/>
    <n v="17240.039999999994"/>
    <n v="7078.8399999999965"/>
    <n v="0.11420396071966088"/>
    <s v="Paid"/>
    <x v="1"/>
    <x v="1"/>
    <x v="0"/>
  </r>
  <r>
    <x v="42"/>
    <s v="INV-00887"/>
    <x v="3"/>
    <x v="10"/>
    <x v="5"/>
    <s v="Abuja"/>
    <s v="Fatima"/>
    <s v="Retail"/>
    <n v="57"/>
    <n v="6877.34"/>
    <n v="392008.38"/>
    <n v="25140.78"/>
    <x v="187"/>
    <n v="230690.99"/>
    <n v="14324.71"/>
    <n v="25134.35"/>
    <n v="19173.759999999998"/>
    <n v="9636.7900000000009"/>
    <n v="298960.59999999998"/>
    <n v="136176.60999999999"/>
    <n v="67907"/>
    <n v="0.18509947457883991"/>
    <s v="Paid"/>
    <x v="1"/>
    <x v="1"/>
    <x v="0"/>
  </r>
  <r>
    <x v="42"/>
    <s v="INV-01348"/>
    <x v="1"/>
    <x v="7"/>
    <x v="5"/>
    <s v="Abuja"/>
    <s v="Tunde"/>
    <s v="Wholesale"/>
    <n v="81"/>
    <n v="5226.9799999999996"/>
    <n v="423385.37999999995"/>
    <n v="32845.79"/>
    <x v="188"/>
    <n v="297189.32"/>
    <n v="15164.47"/>
    <n v="25978.080000000002"/>
    <n v="20381.91"/>
    <n v="12183.12"/>
    <n v="370896.89999999997"/>
    <n v="93350.26999999996"/>
    <n v="19642.690000000002"/>
    <n v="5.0296283662304257E-2"/>
    <s v="Paid"/>
    <x v="1"/>
    <x v="1"/>
    <x v="0"/>
  </r>
  <r>
    <x v="42"/>
    <s v="INV-00037"/>
    <x v="10"/>
    <x v="3"/>
    <x v="3"/>
    <s v="Lagos"/>
    <s v="Ibrahim"/>
    <s v="Retail"/>
    <n v="84"/>
    <n v="797.09"/>
    <n v="66955.56"/>
    <n v="5194.99"/>
    <x v="189"/>
    <n v="41998"/>
    <n v="1688.29"/>
    <n v="4567.51"/>
    <n v="3263.56"/>
    <n v="1320.54"/>
    <n v="52837.9"/>
    <n v="19762.57"/>
    <n v="8922.6699999999983"/>
    <n v="0.14447195030745341"/>
    <s v="Paid"/>
    <x v="1"/>
    <x v="1"/>
    <x v="0"/>
  </r>
  <r>
    <x v="42"/>
    <s v="INV-01073"/>
    <x v="8"/>
    <x v="5"/>
    <x v="3"/>
    <s v="Lagos"/>
    <s v="Mary"/>
    <s v="Wholesale"/>
    <n v="42"/>
    <n v="1374.8"/>
    <n v="57741.599999999999"/>
    <n v="4626.38"/>
    <x v="190"/>
    <n v="28500.43"/>
    <n v="1360.25"/>
    <n v="3495.83"/>
    <n v="2038.58"/>
    <n v="1237.6600000000001"/>
    <n v="36632.750000000007"/>
    <n v="24614.79"/>
    <n v="16482.469999999994"/>
    <n v="0.31031538606071846"/>
    <s v="Paid"/>
    <x v="1"/>
    <x v="1"/>
    <x v="0"/>
  </r>
  <r>
    <x v="42"/>
    <s v="INV-01311"/>
    <x v="5"/>
    <x v="5"/>
    <x v="3"/>
    <s v="Lagos"/>
    <s v="Ibrahim"/>
    <s v="Supermarket"/>
    <n v="60"/>
    <n v="1401.2"/>
    <n v="84072"/>
    <n v="7418.3"/>
    <x v="191"/>
    <n v="42500.41"/>
    <n v="1891.74"/>
    <n v="4509.63"/>
    <n v="3856.16"/>
    <n v="1840.43"/>
    <n v="54598.37"/>
    <n v="34153.289999999994"/>
    <n v="22055.329999999994"/>
    <n v="0.28772688076374653"/>
    <s v="Paid"/>
    <x v="1"/>
    <x v="1"/>
    <x v="0"/>
  </r>
  <r>
    <x v="42"/>
    <s v="INV-00814"/>
    <x v="8"/>
    <x v="9"/>
    <x v="4"/>
    <s v="Lagos"/>
    <s v="Amina"/>
    <s v="Wholesale"/>
    <n v="68"/>
    <n v="1901.7"/>
    <n v="129315.6"/>
    <n v="9695.34"/>
    <x v="192"/>
    <n v="82897.66"/>
    <n v="3193.04"/>
    <n v="8412.73"/>
    <n v="5694.68"/>
    <n v="3236.56"/>
    <n v="103434.66999999998"/>
    <n v="36722.600000000006"/>
    <n v="16185.590000000026"/>
    <n v="0.1353080991464157"/>
    <s v="Paid"/>
    <x v="1"/>
    <x v="1"/>
    <x v="0"/>
  </r>
  <r>
    <x v="43"/>
    <s v="INV-00975"/>
    <x v="2"/>
    <x v="6"/>
    <x v="0"/>
    <s v="Lagos"/>
    <s v="Fatima"/>
    <s v="Wholesale"/>
    <n v="106"/>
    <n v="347.96"/>
    <n v="36883.759999999995"/>
    <n v="2921.55"/>
    <x v="193"/>
    <n v="25580.09"/>
    <n v="796.22"/>
    <n v="1994.46"/>
    <n v="1271.08"/>
    <n v="871.56"/>
    <n v="30513.41"/>
    <n v="8382.1199999999917"/>
    <n v="3448.799999999992"/>
    <n v="0.10154816191290239"/>
    <s v="Paid"/>
    <x v="1"/>
    <x v="1"/>
    <x v="0"/>
  </r>
  <r>
    <x v="43"/>
    <s v="INV-00894"/>
    <x v="6"/>
    <x v="9"/>
    <x v="4"/>
    <s v="Lagos"/>
    <s v="Samuel"/>
    <s v="Wholesale"/>
    <n v="52"/>
    <n v="1917.02"/>
    <n v="99685.04"/>
    <n v="8233.59"/>
    <x v="194"/>
    <n v="63167.8"/>
    <n v="2547.41"/>
    <n v="6089.17"/>
    <n v="3771.33"/>
    <n v="2445.85"/>
    <n v="78021.560000000012"/>
    <n v="28283.649999999994"/>
    <n v="13429.889999999985"/>
    <n v="0.14685267428783236"/>
    <s v="Paid"/>
    <x v="1"/>
    <x v="1"/>
    <x v="0"/>
  </r>
  <r>
    <x v="43"/>
    <s v="INV-01389"/>
    <x v="7"/>
    <x v="6"/>
    <x v="0"/>
    <s v="Lagos"/>
    <s v="Amina"/>
    <s v="Distributor"/>
    <n v="111"/>
    <n v="362.95"/>
    <n v="40287.449999999997"/>
    <n v="3905.7"/>
    <x v="195"/>
    <n v="27744.07"/>
    <n v="924.26"/>
    <n v="2492.0300000000002"/>
    <n v="1927.63"/>
    <n v="829.24"/>
    <n v="33917.229999999996"/>
    <n v="8637.68"/>
    <n v="2464.5200000000041"/>
    <n v="6.7740556735176399E-2"/>
    <s v="Pending"/>
    <x v="1"/>
    <x v="1"/>
    <x v="0"/>
  </r>
  <r>
    <x v="43"/>
    <s v="INV-01120"/>
    <x v="0"/>
    <x v="11"/>
    <x v="1"/>
    <s v="Lagos"/>
    <s v="Daniel"/>
    <s v="Wholesale"/>
    <n v="39"/>
    <n v="6050.11"/>
    <n v="235954.28999999998"/>
    <n v="17355.740000000002"/>
    <x v="196"/>
    <n v="125277.1"/>
    <n v="5457.62"/>
    <n v="13359.03"/>
    <n v="7896.51"/>
    <n v="6204.09"/>
    <n v="158194.35"/>
    <n v="93321.449999999983"/>
    <n v="60404.199999999983"/>
    <n v="0.27632479721388814"/>
    <s v="Pending"/>
    <x v="1"/>
    <x v="1"/>
    <x v="0"/>
  </r>
  <r>
    <x v="43"/>
    <s v="INV-00752"/>
    <x v="3"/>
    <x v="4"/>
    <x v="4"/>
    <s v="Lagos"/>
    <s v="Samuel"/>
    <s v="Wholesale"/>
    <n v="41"/>
    <n v="2987.21"/>
    <n v="122475.61"/>
    <n v="10890.95"/>
    <x v="197"/>
    <n v="63899.4"/>
    <n v="2871.87"/>
    <n v="6317.24"/>
    <n v="3970.14"/>
    <n v="3441.18"/>
    <n v="80499.83"/>
    <n v="47685.26"/>
    <n v="31084.83"/>
    <n v="0.27857619497160274"/>
    <s v="Paid"/>
    <x v="1"/>
    <x v="1"/>
    <x v="0"/>
  </r>
  <r>
    <x v="43"/>
    <s v="INV-00484"/>
    <x v="4"/>
    <x v="2"/>
    <x v="2"/>
    <s v="Lagos"/>
    <s v="Daniel"/>
    <s v="Wholesale"/>
    <n v="58"/>
    <n v="4232.57"/>
    <n v="245489.06"/>
    <n v="21970.13"/>
    <x v="198"/>
    <n v="160368.38"/>
    <n v="5700.04"/>
    <n v="14874.69"/>
    <n v="8910.84"/>
    <n v="5411.38"/>
    <n v="195265.33000000002"/>
    <n v="63150.549999999988"/>
    <n v="28253.599999999977"/>
    <n v="0.12640361154198429"/>
    <s v="Paid"/>
    <x v="1"/>
    <x v="1"/>
    <x v="0"/>
  </r>
  <r>
    <x v="43"/>
    <s v="INV-01317"/>
    <x v="6"/>
    <x v="6"/>
    <x v="0"/>
    <s v="Abuja"/>
    <s v="Ibrahim"/>
    <s v="Wholesale"/>
    <n v="97"/>
    <n v="355.77"/>
    <n v="34509.689999999995"/>
    <n v="2732.78"/>
    <x v="199"/>
    <n v="25294.16"/>
    <n v="1174.68"/>
    <n v="2043.24"/>
    <n v="1734.31"/>
    <n v="784.3"/>
    <n v="31030.690000000002"/>
    <n v="6482.7499999999964"/>
    <n v="746.21999999999389"/>
    <n v="2.348308882141133E-2"/>
    <s v="Paid"/>
    <x v="1"/>
    <x v="1"/>
    <x v="0"/>
  </r>
  <r>
    <x v="43"/>
    <s v="INV-00492"/>
    <x v="0"/>
    <x v="11"/>
    <x v="1"/>
    <s v="Port Harcourt"/>
    <s v="Ibrahim"/>
    <s v="Retail"/>
    <n v="52"/>
    <n v="6095.7"/>
    <n v="316976.39999999997"/>
    <n v="22056.11"/>
    <x v="200"/>
    <n v="177605.86"/>
    <n v="13197.15"/>
    <n v="20929.86"/>
    <n v="15840.67"/>
    <n v="8161.33"/>
    <n v="235734.87"/>
    <n v="117314.43"/>
    <n v="59185.419999999984"/>
    <n v="0.20068276753695036"/>
    <s v="Pending"/>
    <x v="1"/>
    <x v="1"/>
    <x v="0"/>
  </r>
  <r>
    <x v="43"/>
    <s v="INV-00599"/>
    <x v="4"/>
    <x v="4"/>
    <x v="4"/>
    <s v="Lagos"/>
    <s v="Ibrahim"/>
    <s v="Retail"/>
    <n v="19"/>
    <n v="3138.05"/>
    <n v="59622.950000000004"/>
    <n v="4700.43"/>
    <x v="201"/>
    <n v="32451.8"/>
    <n v="1389.87"/>
    <n v="3297.13"/>
    <n v="2588.29"/>
    <n v="1453.98"/>
    <n v="41181.07"/>
    <n v="22470.720000000005"/>
    <n v="13741.450000000004"/>
    <n v="0.25019700479876023"/>
    <s v="Pending"/>
    <x v="1"/>
    <x v="1"/>
    <x v="0"/>
  </r>
  <r>
    <x v="43"/>
    <s v="INV-00792"/>
    <x v="1"/>
    <x v="2"/>
    <x v="2"/>
    <s v="Lagos"/>
    <s v="Mary"/>
    <s v="Supermarket"/>
    <n v="65"/>
    <n v="4198.12"/>
    <n v="272877.8"/>
    <n v="23333.66"/>
    <x v="202"/>
    <n v="183587.3"/>
    <n v="6511.89"/>
    <n v="17878.16"/>
    <n v="13127.67"/>
    <n v="5130.24"/>
    <n v="226235.26"/>
    <n v="65956.84"/>
    <n v="23308.879999999976"/>
    <n v="9.3405839944788835E-2"/>
    <s v="Paid"/>
    <x v="1"/>
    <x v="1"/>
    <x v="0"/>
  </r>
  <r>
    <x v="44"/>
    <s v="INV-00520"/>
    <x v="11"/>
    <x v="2"/>
    <x v="2"/>
    <s v="Lagos"/>
    <s v="Emeka"/>
    <s v="Wholesale"/>
    <n v="64"/>
    <n v="4109.96"/>
    <n v="263037.44"/>
    <n v="23431.01"/>
    <x v="203"/>
    <n v="173657.7"/>
    <n v="6175.36"/>
    <n v="15959.81"/>
    <n v="9870.91"/>
    <n v="5816.91"/>
    <n v="211480.69"/>
    <n v="65948.729999999981"/>
    <n v="28125.739999999991"/>
    <n v="0.11738307690657547"/>
    <s v="Paid"/>
    <x v="1"/>
    <x v="1"/>
    <x v="0"/>
  </r>
  <r>
    <x v="44"/>
    <s v="INV-00942"/>
    <x v="2"/>
    <x v="11"/>
    <x v="1"/>
    <s v="Abuja"/>
    <s v="Mary"/>
    <s v="Supermarket"/>
    <n v="53"/>
    <n v="6336.15"/>
    <n v="335815.94999999995"/>
    <n v="23341.040000000001"/>
    <x v="204"/>
    <n v="186960.63"/>
    <n v="11477.04"/>
    <n v="20779.919999999998"/>
    <n v="12676.53"/>
    <n v="7480.71"/>
    <n v="239374.83000000002"/>
    <n v="125514.27999999997"/>
    <n v="73100.079999999958"/>
    <n v="0.23393903849752276"/>
    <s v="Paid"/>
    <x v="1"/>
    <x v="1"/>
    <x v="0"/>
  </r>
  <r>
    <x v="44"/>
    <s v="INV-00777"/>
    <x v="4"/>
    <x v="7"/>
    <x v="5"/>
    <s v="Abuja"/>
    <s v="Tunde"/>
    <s v="Wholesale"/>
    <n v="75"/>
    <n v="5416.93"/>
    <n v="406269.75"/>
    <n v="33667.46"/>
    <x v="205"/>
    <n v="271974.84000000003"/>
    <n v="14379.12"/>
    <n v="22261.02"/>
    <n v="18524.53"/>
    <n v="11659.99"/>
    <n v="338799.5"/>
    <n v="100627.44999999995"/>
    <n v="33802.789999999979"/>
    <n v="9.0720832660475551E-2"/>
    <s v="Paid"/>
    <x v="1"/>
    <x v="1"/>
    <x v="0"/>
  </r>
  <r>
    <x v="44"/>
    <s v="INV-00412"/>
    <x v="5"/>
    <x v="0"/>
    <x v="0"/>
    <s v="Lagos"/>
    <s v="Amina"/>
    <s v="Retail"/>
    <n v="168"/>
    <n v="1087.0999999999999"/>
    <n v="182632.8"/>
    <n v="13672.3"/>
    <x v="206"/>
    <n v="98288.36"/>
    <n v="4715.0200000000004"/>
    <n v="11027.88"/>
    <n v="6920.25"/>
    <n v="4267.34"/>
    <n v="125218.85"/>
    <n v="70672.14"/>
    <n v="43741.649999999994"/>
    <n v="0.25888684041536331"/>
    <s v="Paid"/>
    <x v="1"/>
    <x v="1"/>
    <x v="0"/>
  </r>
  <r>
    <x v="44"/>
    <s v="INV-00297"/>
    <x v="2"/>
    <x v="2"/>
    <x v="2"/>
    <s v="Port Harcourt"/>
    <s v="Emeka"/>
    <s v="Wholesale"/>
    <n v="72"/>
    <n v="4177.84"/>
    <n v="300804.47999999998"/>
    <n v="25427.31"/>
    <x v="207"/>
    <n v="191418.16"/>
    <n v="11934.26"/>
    <n v="19470.03"/>
    <n v="12599.09"/>
    <n v="7089.93"/>
    <n v="242511.47"/>
    <n v="83959.00999999998"/>
    <n v="32865.699999999983"/>
    <n v="0.11934794739883478"/>
    <s v="Paid"/>
    <x v="1"/>
    <x v="1"/>
    <x v="0"/>
  </r>
  <r>
    <x v="44"/>
    <s v="INV-00224"/>
    <x v="4"/>
    <x v="6"/>
    <x v="0"/>
    <s v="Lagos"/>
    <s v="Mary"/>
    <s v="Retail"/>
    <n v="132"/>
    <n v="354.49"/>
    <n v="46792.68"/>
    <n v="3007.55"/>
    <x v="208"/>
    <n v="34855.25"/>
    <n v="1086.0899999999999"/>
    <n v="2778.82"/>
    <n v="2206.86"/>
    <n v="1327.97"/>
    <n v="42254.99"/>
    <n v="8929.8799999999974"/>
    <n v="1530.1399999999994"/>
    <n v="3.4946567476218514E-2"/>
    <s v="Paid"/>
    <x v="1"/>
    <x v="1"/>
    <x v="0"/>
  </r>
  <r>
    <x v="44"/>
    <s v="INV-00385"/>
    <x v="7"/>
    <x v="1"/>
    <x v="1"/>
    <s v="Ibadan"/>
    <s v="Mary"/>
    <s v="Supermarket"/>
    <n v="102"/>
    <n v="4427.1099999999997"/>
    <n v="451565.22"/>
    <n v="34638.089999999997"/>
    <x v="209"/>
    <n v="308126.09999999998"/>
    <n v="12670.84"/>
    <n v="25463.15"/>
    <n v="15393.09"/>
    <n v="8891.7000000000007"/>
    <n v="370544.88000000006"/>
    <n v="108801.03000000003"/>
    <n v="46382.249999999942"/>
    <n v="0.11124785762922154"/>
    <s v="Pending"/>
    <x v="1"/>
    <x v="1"/>
    <x v="0"/>
  </r>
  <r>
    <x v="45"/>
    <s v="INV-00931"/>
    <x v="6"/>
    <x v="10"/>
    <x v="5"/>
    <s v="Port Harcourt"/>
    <s v="Mary"/>
    <s v="Wholesale"/>
    <n v="59"/>
    <n v="6665.3"/>
    <n v="393252.7"/>
    <n v="27357.25"/>
    <x v="210"/>
    <n v="216025.38"/>
    <n v="14039.58"/>
    <n v="26418.99"/>
    <n v="16402.38"/>
    <n v="10479.36"/>
    <n v="283365.68999999994"/>
    <n v="149870.07"/>
    <n v="82529.760000000068"/>
    <n v="0.22555557878623542"/>
    <s v="Paid"/>
    <x v="1"/>
    <x v="1"/>
    <x v="0"/>
  </r>
  <r>
    <x v="45"/>
    <s v="INV-00311"/>
    <x v="11"/>
    <x v="2"/>
    <x v="2"/>
    <s v="Lagos"/>
    <s v="Emeka"/>
    <s v="Distributor"/>
    <n v="61"/>
    <n v="4340.18"/>
    <n v="264750.98000000004"/>
    <n v="19870.87"/>
    <x v="211"/>
    <n v="177707.74"/>
    <n v="6497.43"/>
    <n v="18100.189999999999"/>
    <n v="11251.56"/>
    <n v="7521.71"/>
    <n v="221078.62999999998"/>
    <n v="67172.370000000054"/>
    <n v="23801.480000000069"/>
    <n v="9.7196460749711625E-2"/>
    <s v="Pending"/>
    <x v="1"/>
    <x v="1"/>
    <x v="0"/>
  </r>
  <r>
    <x v="45"/>
    <s v="INV-00074"/>
    <x v="9"/>
    <x v="0"/>
    <x v="0"/>
    <s v="Lagos"/>
    <s v="Fatima"/>
    <s v="Wholesale"/>
    <n v="95"/>
    <n v="1126.78"/>
    <n v="107044.09999999999"/>
    <n v="7095.06"/>
    <x v="212"/>
    <n v="58284.51"/>
    <n v="2575.3000000000002"/>
    <n v="6258.76"/>
    <n v="4652.24"/>
    <n v="2013.43"/>
    <n v="73784.240000000005"/>
    <n v="41664.529999999992"/>
    <n v="26164.799999999988"/>
    <n v="0.26178140380337811"/>
    <s v="Paid"/>
    <x v="1"/>
    <x v="1"/>
    <x v="0"/>
  </r>
  <r>
    <x v="45"/>
    <s v="INV-00377"/>
    <x v="4"/>
    <x v="2"/>
    <x v="2"/>
    <s v="Abuja"/>
    <s v="Samuel"/>
    <s v="Distributor"/>
    <n v="80"/>
    <n v="4107.92"/>
    <n v="328633.59999999998"/>
    <n v="32554.54"/>
    <x v="213"/>
    <n v="206142.95"/>
    <n v="9959.73"/>
    <n v="16745.490000000002"/>
    <n v="15829.41"/>
    <n v="7811.86"/>
    <n v="256489.44"/>
    <n v="89936.109999999986"/>
    <n v="39589.619999999995"/>
    <n v="0.1337130021961026"/>
    <s v="Paid"/>
    <x v="1"/>
    <x v="1"/>
    <x v="0"/>
  </r>
  <r>
    <x v="45"/>
    <s v="INV-00386"/>
    <x v="3"/>
    <x v="3"/>
    <x v="3"/>
    <s v="Abuja"/>
    <s v="Mary"/>
    <s v="Supermarket"/>
    <n v="107"/>
    <n v="785.08"/>
    <n v="84003.56"/>
    <n v="5727.11"/>
    <x v="214"/>
    <n v="54076.06"/>
    <n v="2568.83"/>
    <n v="4578.59"/>
    <n v="2839.76"/>
    <n v="2177.23"/>
    <n v="66240.47"/>
    <n v="24200.39"/>
    <n v="12035.979999999996"/>
    <n v="0.15376246623345843"/>
    <s v="Paid"/>
    <x v="1"/>
    <x v="1"/>
    <x v="0"/>
  </r>
  <r>
    <x v="45"/>
    <s v="INV-01013"/>
    <x v="6"/>
    <x v="2"/>
    <x v="2"/>
    <s v="Lagos"/>
    <s v="Samuel"/>
    <s v="Wholesale"/>
    <n v="64"/>
    <n v="4437.03"/>
    <n v="283969.91999999998"/>
    <n v="25603.3"/>
    <x v="215"/>
    <n v="189782.14"/>
    <n v="7071.7"/>
    <n v="14320.99"/>
    <n v="11751.69"/>
    <n v="8066.37"/>
    <n v="230992.89"/>
    <n v="68584.479999999981"/>
    <n v="27373.729999999981"/>
    <n v="0.105949174084485"/>
    <s v="Paid"/>
    <x v="1"/>
    <x v="1"/>
    <x v="0"/>
  </r>
  <r>
    <x v="45"/>
    <s v="INV-00077"/>
    <x v="3"/>
    <x v="1"/>
    <x v="1"/>
    <s v="Lagos"/>
    <s v="Amina"/>
    <s v="Retail"/>
    <n v="78"/>
    <n v="4411.72"/>
    <n v="344114.16000000003"/>
    <n v="24049.48"/>
    <x v="216"/>
    <n v="227335.14"/>
    <n v="8887.23"/>
    <n v="19620.560000000001"/>
    <n v="17486.18"/>
    <n v="9918.9599999999991"/>
    <n v="283248.07000000007"/>
    <n v="92729.540000000037"/>
    <n v="36816.609999999986"/>
    <n v="0.11502865608288919"/>
    <s v="Paid"/>
    <x v="1"/>
    <x v="1"/>
    <x v="0"/>
  </r>
  <r>
    <x v="46"/>
    <s v="INV-00863"/>
    <x v="5"/>
    <x v="8"/>
    <x v="2"/>
    <s v="Lagos"/>
    <s v="Samuel"/>
    <s v="Retail"/>
    <n v="56"/>
    <n v="6181.09"/>
    <n v="346141.04000000004"/>
    <n v="19514.669999999998"/>
    <x v="217"/>
    <n v="187412.1"/>
    <n v="8388.9"/>
    <n v="18555.07"/>
    <n v="12749.41"/>
    <n v="9985.19"/>
    <n v="237090.67"/>
    <n v="139214.27000000005"/>
    <n v="89535.700000000041"/>
    <n v="0.2741226925431649"/>
    <s v="Paid"/>
    <x v="1"/>
    <x v="1"/>
    <x v="0"/>
  </r>
  <r>
    <x v="46"/>
    <s v="INV-00248"/>
    <x v="8"/>
    <x v="6"/>
    <x v="0"/>
    <s v="Abuja"/>
    <s v="Emeka"/>
    <s v="Wholesale"/>
    <n v="127"/>
    <n v="351.53"/>
    <n v="44644.31"/>
    <n v="3387.1"/>
    <x v="218"/>
    <n v="31058.1"/>
    <n v="1386.94"/>
    <n v="2361"/>
    <n v="1819.01"/>
    <n v="1052.96"/>
    <n v="37678.009999999995"/>
    <n v="10199.11"/>
    <n v="3579.2000000000044"/>
    <n v="8.6753321419456242E-2"/>
    <s v="Paid"/>
    <x v="1"/>
    <x v="1"/>
    <x v="0"/>
  </r>
  <r>
    <x v="46"/>
    <s v="INV-00574"/>
    <x v="11"/>
    <x v="7"/>
    <x v="5"/>
    <s v="Abuja"/>
    <s v="Daniel"/>
    <s v="Supermarket"/>
    <n v="93"/>
    <n v="5107.28"/>
    <n v="474977.04"/>
    <n v="31417.07"/>
    <x v="219"/>
    <n v="333540.34999999998"/>
    <n v="16781.169999999998"/>
    <n v="29481.95"/>
    <n v="19278.240000000002"/>
    <n v="13287.33"/>
    <n v="412369.04"/>
    <n v="110019.62"/>
    <n v="31190.929999999993"/>
    <n v="7.0319533117472244E-2"/>
    <s v="Paid"/>
    <x v="1"/>
    <x v="1"/>
    <x v="0"/>
  </r>
  <r>
    <x v="47"/>
    <s v="INV-01115"/>
    <x v="8"/>
    <x v="9"/>
    <x v="4"/>
    <s v="Ibadan"/>
    <s v="Amina"/>
    <s v="Wholesale"/>
    <n v="76"/>
    <n v="1851.43"/>
    <n v="140708.68"/>
    <n v="12877.68"/>
    <x v="220"/>
    <n v="91002.49"/>
    <n v="4120.2"/>
    <n v="7813.56"/>
    <n v="6885.1"/>
    <n v="3221.54"/>
    <n v="113042.89"/>
    <n v="36828.509999999995"/>
    <n v="14788.11"/>
    <n v="0.11568484952789231"/>
    <s v="Pending"/>
    <x v="1"/>
    <x v="1"/>
    <x v="0"/>
  </r>
  <r>
    <x v="47"/>
    <s v="INV-00378"/>
    <x v="11"/>
    <x v="3"/>
    <x v="3"/>
    <s v="Lagos"/>
    <s v="Samuel"/>
    <s v="Supermarket"/>
    <n v="55"/>
    <n v="839.05"/>
    <n v="46147.75"/>
    <n v="3889.71"/>
    <x v="221"/>
    <n v="29131.4"/>
    <n v="1157.23"/>
    <n v="3008.66"/>
    <n v="1957"/>
    <n v="1272.8900000000001"/>
    <n v="36527.18"/>
    <n v="13126.64"/>
    <n v="5730.8600000000006"/>
    <n v="0.13561584967026394"/>
    <s v="Paid"/>
    <x v="1"/>
    <x v="1"/>
    <x v="0"/>
  </r>
  <r>
    <x v="47"/>
    <s v="INV-00939"/>
    <x v="9"/>
    <x v="1"/>
    <x v="1"/>
    <s v="Port Harcourt"/>
    <s v="Tunde"/>
    <s v="Retail"/>
    <n v="57"/>
    <n v="4095.26"/>
    <n v="233429.82"/>
    <n v="19091.52"/>
    <x v="222"/>
    <n v="151605.03"/>
    <n v="9385.2099999999991"/>
    <n v="12563.03"/>
    <n v="9261.34"/>
    <n v="4794.96"/>
    <n v="187609.56999999998"/>
    <n v="62733.270000000019"/>
    <n v="26728.73000000004"/>
    <n v="0.12470347110152519"/>
    <s v="Paid"/>
    <x v="1"/>
    <x v="1"/>
    <x v="0"/>
  </r>
  <r>
    <x v="47"/>
    <s v="INV-00533"/>
    <x v="0"/>
    <x v="1"/>
    <x v="1"/>
    <s v="Ibadan"/>
    <s v="Daniel"/>
    <s v="Supermarket"/>
    <n v="45"/>
    <n v="4344.5600000000004"/>
    <n v="195505.2"/>
    <n v="15645.05"/>
    <x v="223"/>
    <n v="134794.85"/>
    <n v="5334.58"/>
    <n v="11468.13"/>
    <n v="7866.7"/>
    <n v="4935.58"/>
    <n v="164399.84"/>
    <n v="45065.300000000017"/>
    <n v="15460.310000000027"/>
    <n v="8.5957395231795505E-2"/>
    <s v="Paid"/>
    <x v="1"/>
    <x v="1"/>
    <x v="0"/>
  </r>
  <r>
    <x v="48"/>
    <s v="INV-01152"/>
    <x v="6"/>
    <x v="7"/>
    <x v="5"/>
    <s v="Lagos"/>
    <s v="Emeka"/>
    <s v="Wholesale"/>
    <n v="60"/>
    <n v="5371.55"/>
    <n v="322293"/>
    <n v="23431.759999999998"/>
    <x v="224"/>
    <n v="233084.79999999999"/>
    <n v="7096.73"/>
    <n v="16737.13"/>
    <n v="12783.94"/>
    <n v="6752.92"/>
    <n v="276455.51999999996"/>
    <n v="65776.44"/>
    <n v="22405.72000000003"/>
    <n v="7.4970310636468057E-2"/>
    <s v="Pending"/>
    <x v="1"/>
    <x v="1"/>
    <x v="0"/>
  </r>
  <r>
    <x v="48"/>
    <s v="INV-01378"/>
    <x v="2"/>
    <x v="7"/>
    <x v="5"/>
    <s v="Abuja"/>
    <s v="Tunde"/>
    <s v="Distributor"/>
    <n v="77"/>
    <n v="5212.04"/>
    <n v="401327.08"/>
    <n v="38896.839999999997"/>
    <x v="225"/>
    <n v="281339.58"/>
    <n v="12922.42"/>
    <n v="22576.79"/>
    <n v="15361.18"/>
    <n v="9303.34"/>
    <n v="341503.31"/>
    <n v="81090.659999999974"/>
    <n v="20926.929999999993"/>
    <n v="5.7740573744619085E-2"/>
    <s v="Paid"/>
    <x v="1"/>
    <x v="1"/>
    <x v="0"/>
  </r>
  <r>
    <x v="48"/>
    <s v="INV-01293"/>
    <x v="11"/>
    <x v="4"/>
    <x v="4"/>
    <s v="Abuja"/>
    <s v="Tunde"/>
    <s v="Retail"/>
    <n v="54"/>
    <n v="3169.57"/>
    <n v="171156.78"/>
    <n v="10792.2"/>
    <x v="226"/>
    <n v="87881.38"/>
    <n v="6147.03"/>
    <n v="11820.69"/>
    <n v="7464.89"/>
    <n v="4082.78"/>
    <n v="117396.77"/>
    <n v="72483.199999999983"/>
    <n v="42967.809999999983"/>
    <n v="0.26793828163301386"/>
    <s v="Paid"/>
    <x v="1"/>
    <x v="1"/>
    <x v="0"/>
  </r>
  <r>
    <x v="49"/>
    <s v="INV-00656"/>
    <x v="2"/>
    <x v="2"/>
    <x v="2"/>
    <s v="Lagos"/>
    <s v="Emeka"/>
    <s v="Retail"/>
    <n v="79"/>
    <n v="4115.72"/>
    <n v="325141.88"/>
    <n v="22589.49"/>
    <x v="227"/>
    <n v="219511.3"/>
    <n v="7455.94"/>
    <n v="19877.599999999999"/>
    <n v="14539.55"/>
    <n v="7363.65"/>
    <n v="268748.03999999998"/>
    <n v="83041.090000000026"/>
    <n v="33804.350000000035"/>
    <n v="0.11173056672928623"/>
    <s v="Pending"/>
    <x v="1"/>
    <x v="1"/>
    <x v="0"/>
  </r>
  <r>
    <x v="49"/>
    <s v="INV-00488"/>
    <x v="4"/>
    <x v="8"/>
    <x v="2"/>
    <s v="Port Harcourt"/>
    <s v="Emeka"/>
    <s v="Retail"/>
    <n v="54"/>
    <n v="6144.02"/>
    <n v="331777.08"/>
    <n v="25077.06"/>
    <x v="228"/>
    <n v="182653.4"/>
    <n v="13994.59"/>
    <n v="21438.81"/>
    <n v="16601.45"/>
    <n v="7435.72"/>
    <n v="242123.97"/>
    <n v="124046.62000000002"/>
    <n v="64576.050000000017"/>
    <n v="0.21055117635792789"/>
    <s v="Paid"/>
    <x v="1"/>
    <x v="1"/>
    <x v="0"/>
  </r>
  <r>
    <x v="49"/>
    <s v="INV-01331"/>
    <x v="11"/>
    <x v="3"/>
    <x v="3"/>
    <s v="Lagos"/>
    <s v="Daniel"/>
    <s v="Supermarket"/>
    <n v="77"/>
    <n v="822.87"/>
    <n v="63360.99"/>
    <n v="5184.0600000000004"/>
    <x v="229"/>
    <n v="39781.69"/>
    <n v="1607.4"/>
    <n v="4323.1400000000003"/>
    <n v="2803.18"/>
    <n v="1633.06"/>
    <n v="50148.47"/>
    <n v="18395.239999999998"/>
    <n v="8028.4599999999991"/>
    <n v="0.13800075046930113"/>
    <s v="Paid"/>
    <x v="1"/>
    <x v="1"/>
    <x v="0"/>
  </r>
  <r>
    <x v="49"/>
    <s v="INV-00028"/>
    <x v="10"/>
    <x v="3"/>
    <x v="3"/>
    <s v="Abuja"/>
    <s v="Samuel"/>
    <s v="Distributor"/>
    <n v="79"/>
    <n v="795.95"/>
    <n v="62880.05"/>
    <n v="4775.93"/>
    <x v="230"/>
    <n v="39125.54"/>
    <n v="2027.38"/>
    <n v="3488.16"/>
    <n v="2585.4499999999998"/>
    <n v="1553.51"/>
    <n v="48780.04"/>
    <n v="18978.580000000002"/>
    <n v="9324.0800000000017"/>
    <n v="0.16047192522664488"/>
    <s v="Paid"/>
    <x v="1"/>
    <x v="1"/>
    <x v="0"/>
  </r>
  <r>
    <x v="49"/>
    <s v="INV-00548"/>
    <x v="5"/>
    <x v="8"/>
    <x v="2"/>
    <s v="Lagos"/>
    <s v="Mary"/>
    <s v="Wholesale"/>
    <n v="39"/>
    <n v="6599.14"/>
    <n v="257366.46000000002"/>
    <n v="23509.93"/>
    <x v="231"/>
    <n v="138554.43"/>
    <n v="6388.49"/>
    <n v="13523.66"/>
    <n v="11391.8"/>
    <n v="6129.64"/>
    <n v="175988.02"/>
    <n v="95302.100000000035"/>
    <n v="57868.510000000038"/>
    <n v="0.24745304311151811"/>
    <s v="Paid"/>
    <x v="1"/>
    <x v="1"/>
    <x v="0"/>
  </r>
  <r>
    <x v="49"/>
    <s v="INV-00733"/>
    <x v="9"/>
    <x v="11"/>
    <x v="1"/>
    <s v="Abuja"/>
    <s v="Mary"/>
    <s v="Wholesale"/>
    <n v="81"/>
    <n v="6519.34"/>
    <n v="528066.54"/>
    <n v="47423.85"/>
    <x v="232"/>
    <n v="292583.96000000002"/>
    <n v="17973.77"/>
    <n v="30723.63"/>
    <n v="25238.95"/>
    <n v="14713.76"/>
    <n v="381234.07000000007"/>
    <n v="188058.73000000004"/>
    <n v="99408.62"/>
    <n v="0.20682436676608976"/>
    <s v="Paid"/>
    <x v="1"/>
    <x v="1"/>
    <x v="0"/>
  </r>
  <r>
    <x v="49"/>
    <s v="INV-00743"/>
    <x v="3"/>
    <x v="7"/>
    <x v="5"/>
    <s v="Lagos"/>
    <s v="Amina"/>
    <s v="Retail"/>
    <n v="66"/>
    <n v="5195.51"/>
    <n v="342903.66000000003"/>
    <n v="25736.02"/>
    <x v="233"/>
    <n v="241822.88"/>
    <n v="8339.7800000000007"/>
    <n v="21713.27"/>
    <n v="16547.21"/>
    <n v="9114.82"/>
    <n v="297537.96000000002"/>
    <n v="75344.760000000009"/>
    <n v="19629.679999999993"/>
    <n v="6.1890551003248605E-2"/>
    <s v="Paid"/>
    <x v="1"/>
    <x v="1"/>
    <x v="0"/>
  </r>
  <r>
    <x v="50"/>
    <s v="INV-01258"/>
    <x v="11"/>
    <x v="2"/>
    <x v="2"/>
    <s v="Abuja"/>
    <s v="Emeka"/>
    <s v="Distributor"/>
    <n v="77"/>
    <n v="4232.38"/>
    <n v="325893.26"/>
    <n v="31068.13"/>
    <x v="234"/>
    <n v="205628.26"/>
    <n v="10368.59"/>
    <n v="16812.2"/>
    <n v="11565.76"/>
    <n v="7139.81"/>
    <n v="251514.62000000002"/>
    <n v="89196.87"/>
    <n v="43310.50999999998"/>
    <n v="0.14690236887201569"/>
    <s v="Paid"/>
    <x v="1"/>
    <x v="1"/>
    <x v="0"/>
  </r>
  <r>
    <x v="51"/>
    <s v="INV-00360"/>
    <x v="6"/>
    <x v="3"/>
    <x v="3"/>
    <s v="Lagos"/>
    <s v="Mary"/>
    <s v="Supermarket"/>
    <n v="57"/>
    <n v="813.29"/>
    <n v="46357.53"/>
    <n v="3278.12"/>
    <x v="235"/>
    <n v="27737.1"/>
    <n v="1019.62"/>
    <n v="2603.06"/>
    <n v="2353.9499999999998"/>
    <n v="1278.8599999999999"/>
    <n v="34992.589999999997"/>
    <n v="15342.309999999998"/>
    <n v="8086.82"/>
    <n v="0.18771891258492168"/>
    <s v="Paid"/>
    <x v="1"/>
    <x v="1"/>
    <x v="0"/>
  </r>
  <r>
    <x v="51"/>
    <s v="INV-00460"/>
    <x v="1"/>
    <x v="9"/>
    <x v="4"/>
    <s v="Lagos"/>
    <s v="Fatima"/>
    <s v="Wholesale"/>
    <n v="54"/>
    <n v="1817.62"/>
    <n v="98151.48"/>
    <n v="7997.26"/>
    <x v="236"/>
    <n v="62462.46"/>
    <n v="2279.89"/>
    <n v="6504.62"/>
    <n v="4384"/>
    <n v="1809.58"/>
    <n v="77440.55"/>
    <n v="27691.760000000002"/>
    <n v="12713.669999999998"/>
    <n v="0.14102135207869357"/>
    <s v="Paid"/>
    <x v="1"/>
    <x v="1"/>
    <x v="0"/>
  </r>
  <r>
    <x v="51"/>
    <s v="INV-00406"/>
    <x v="6"/>
    <x v="7"/>
    <x v="5"/>
    <s v="Lagos"/>
    <s v="Mary"/>
    <s v="Retail"/>
    <n v="70"/>
    <n v="5440.01"/>
    <n v="380800.7"/>
    <n v="26242.54"/>
    <x v="237"/>
    <n v="261945.89"/>
    <n v="9511.3700000000008"/>
    <n v="20781.25"/>
    <n v="13218.45"/>
    <n v="8370.68"/>
    <n v="313827.64"/>
    <n v="92612.270000000019"/>
    <n v="40730.520000000019"/>
    <n v="0.11487683713160068"/>
    <s v="Paid"/>
    <x v="1"/>
    <x v="1"/>
    <x v="0"/>
  </r>
  <r>
    <x v="51"/>
    <s v="INV-00198"/>
    <x v="6"/>
    <x v="9"/>
    <x v="4"/>
    <s v="Port Harcourt"/>
    <s v="Amina"/>
    <s v="Wholesale"/>
    <n v="104"/>
    <n v="1776"/>
    <n v="184704"/>
    <n v="17497.62"/>
    <x v="238"/>
    <n v="116592.68"/>
    <n v="7185.92"/>
    <n v="11607.96"/>
    <n v="5975.12"/>
    <n v="4526.6499999999996"/>
    <n v="145888.32999999999"/>
    <n v="50613.700000000012"/>
    <n v="21318.050000000017"/>
    <n v="0.12749543408570904"/>
    <s v="Pending"/>
    <x v="1"/>
    <x v="1"/>
    <x v="0"/>
  </r>
  <r>
    <x v="51"/>
    <s v="INV-00168"/>
    <x v="10"/>
    <x v="3"/>
    <x v="3"/>
    <s v="Lagos"/>
    <s v="Amina"/>
    <s v="Retail"/>
    <n v="55"/>
    <n v="790.09"/>
    <n v="43454.950000000004"/>
    <n v="2895.16"/>
    <x v="239"/>
    <n v="28247.06"/>
    <n v="975.56"/>
    <n v="2487.21"/>
    <n v="1587.05"/>
    <n v="952.82"/>
    <n v="34249.700000000004"/>
    <n v="12312.730000000007"/>
    <n v="6310.0900000000038"/>
    <n v="0.15557501653731448"/>
    <s v="Paid"/>
    <x v="1"/>
    <x v="1"/>
    <x v="0"/>
  </r>
  <r>
    <x v="52"/>
    <s v="INV-00655"/>
    <x v="6"/>
    <x v="3"/>
    <x v="3"/>
    <s v="Ibadan"/>
    <s v="Mary"/>
    <s v="Distributor"/>
    <n v="82"/>
    <n v="779.53"/>
    <n v="63921.46"/>
    <n v="5391.72"/>
    <x v="240"/>
    <n v="37703.61"/>
    <n v="1688.49"/>
    <n v="4329.3100000000004"/>
    <n v="2626.16"/>
    <n v="1549.91"/>
    <n v="47897.479999999996"/>
    <n v="20826.129999999997"/>
    <n v="10632.260000000002"/>
    <n v="0.18165568478520497"/>
    <s v="Paid"/>
    <x v="1"/>
    <x v="1"/>
    <x v="0"/>
  </r>
  <r>
    <x v="52"/>
    <s v="INV-00955"/>
    <x v="6"/>
    <x v="10"/>
    <x v="5"/>
    <s v="Lagos"/>
    <s v="Daniel"/>
    <s v="Wholesale"/>
    <n v="46"/>
    <n v="6349.34"/>
    <n v="292069.64"/>
    <n v="21110.2"/>
    <x v="241"/>
    <n v="170064.53"/>
    <n v="6358.28"/>
    <n v="20210.98"/>
    <n v="13189.52"/>
    <n v="7017.09"/>
    <n v="216840.4"/>
    <n v="100894.91"/>
    <n v="54119.040000000008"/>
    <n v="0.19973114795336161"/>
    <s v="Paid"/>
    <x v="1"/>
    <x v="1"/>
    <x v="0"/>
  </r>
  <r>
    <x v="53"/>
    <s v="INV-00392"/>
    <x v="11"/>
    <x v="10"/>
    <x v="5"/>
    <s v="Lagos"/>
    <s v="Mary"/>
    <s v="Wholesale"/>
    <n v="22"/>
    <n v="6343.46"/>
    <n v="139556.12"/>
    <n v="10673.89"/>
    <x v="242"/>
    <n v="79285.23"/>
    <n v="3407.34"/>
    <n v="7355.85"/>
    <n v="6018.67"/>
    <n v="3998.59"/>
    <n v="100065.68"/>
    <n v="49597"/>
    <n v="28816.550000000003"/>
    <n v="0.22358823245066448"/>
    <s v="Paid"/>
    <x v="1"/>
    <x v="1"/>
    <x v="0"/>
  </r>
  <r>
    <x v="53"/>
    <s v="INV-00890"/>
    <x v="1"/>
    <x v="3"/>
    <x v="3"/>
    <s v="Lagos"/>
    <s v="Daniel"/>
    <s v="Supermarket"/>
    <n v="81"/>
    <n v="806.82"/>
    <n v="65352.420000000006"/>
    <n v="5145.2299999999996"/>
    <x v="243"/>
    <n v="39742.699999999997"/>
    <n v="1643.72"/>
    <n v="4042.17"/>
    <n v="2923.6"/>
    <n v="1339.59"/>
    <n v="49691.779999999992"/>
    <n v="20464.490000000005"/>
    <n v="10515.410000000011"/>
    <n v="0.17465372491225734"/>
    <s v="Paid"/>
    <x v="1"/>
    <x v="1"/>
    <x v="0"/>
  </r>
  <r>
    <x v="53"/>
    <s v="INV-00319"/>
    <x v="10"/>
    <x v="3"/>
    <x v="3"/>
    <s v="Lagos"/>
    <s v="Mary"/>
    <s v="Wholesale"/>
    <n v="81"/>
    <n v="846.05"/>
    <n v="68530.05"/>
    <n v="6345.61"/>
    <x v="244"/>
    <n v="40683.82"/>
    <n v="1682.34"/>
    <n v="4020.28"/>
    <n v="3067.36"/>
    <n v="1757.4"/>
    <n v="51211.199999999997"/>
    <n v="21500.620000000003"/>
    <n v="10973.240000000005"/>
    <n v="0.17646279358630559"/>
    <s v="Paid"/>
    <x v="1"/>
    <x v="1"/>
    <x v="0"/>
  </r>
  <r>
    <x v="53"/>
    <s v="INV-00410"/>
    <x v="10"/>
    <x v="2"/>
    <x v="2"/>
    <s v="Lagos"/>
    <s v="Emeka"/>
    <s v="Retail"/>
    <n v="48"/>
    <n v="4256.5"/>
    <n v="204312"/>
    <n v="15865.79"/>
    <x v="245"/>
    <n v="135175.88"/>
    <n v="4697.74"/>
    <n v="10932.13"/>
    <n v="7901.73"/>
    <n v="5861.4"/>
    <n v="164568.88"/>
    <n v="53270.329999999987"/>
    <n v="23877.329999999987"/>
    <n v="0.12670634235626171"/>
    <s v="Paid"/>
    <x v="1"/>
    <x v="1"/>
    <x v="0"/>
  </r>
  <r>
    <x v="53"/>
    <s v="INV-00225"/>
    <x v="0"/>
    <x v="1"/>
    <x v="1"/>
    <s v="Lagos"/>
    <s v="Daniel"/>
    <s v="Retail"/>
    <n v="54"/>
    <n v="4343.3999999999996"/>
    <n v="234543.59999999998"/>
    <n v="18582.099999999999"/>
    <x v="246"/>
    <n v="162656.43"/>
    <n v="5176.75"/>
    <n v="12508.95"/>
    <n v="9104.4500000000007"/>
    <n v="5405.01"/>
    <n v="194851.59000000003"/>
    <n v="53305.069999999978"/>
    <n v="21109.909999999945"/>
    <n v="9.7748487577646703E-2"/>
    <s v="Paid"/>
    <x v="1"/>
    <x v="1"/>
    <x v="0"/>
  </r>
  <r>
    <x v="54"/>
    <s v="INV-00075"/>
    <x v="8"/>
    <x v="0"/>
    <x v="0"/>
    <s v="Abuja"/>
    <s v="Fatima"/>
    <s v="Wholesale"/>
    <n v="90"/>
    <n v="1091.28"/>
    <n v="98215.2"/>
    <n v="7278.56"/>
    <x v="247"/>
    <n v="54199.63"/>
    <n v="3337.09"/>
    <n v="5696.82"/>
    <n v="4554.09"/>
    <n v="2830.84"/>
    <n v="70618.47"/>
    <n v="36737.01"/>
    <n v="20318.169999999998"/>
    <n v="0.22343216111789482"/>
    <s v="Paid"/>
    <x v="1"/>
    <x v="1"/>
    <x v="0"/>
  </r>
  <r>
    <x v="54"/>
    <s v="INV-00177"/>
    <x v="9"/>
    <x v="7"/>
    <x v="5"/>
    <s v="Ibadan"/>
    <s v="Samuel"/>
    <s v="Wholesale"/>
    <n v="68"/>
    <n v="5474.91"/>
    <n v="372293.88"/>
    <n v="26643.3"/>
    <x v="248"/>
    <n v="251331.37"/>
    <n v="9737.3799999999992"/>
    <n v="19496.990000000002"/>
    <n v="13034.39"/>
    <n v="9493.32"/>
    <n v="303093.45"/>
    <n v="94319.210000000021"/>
    <n v="42557.130000000005"/>
    <n v="0.12312182435799761"/>
    <s v="Paid"/>
    <x v="1"/>
    <x v="1"/>
    <x v="0"/>
  </r>
  <r>
    <x v="54"/>
    <s v="INV-01107"/>
    <x v="6"/>
    <x v="9"/>
    <x v="4"/>
    <s v="Ibadan"/>
    <s v="Amina"/>
    <s v="Wholesale"/>
    <n v="50"/>
    <n v="1841.82"/>
    <n v="92091"/>
    <n v="8723.8700000000008"/>
    <x v="249"/>
    <n v="59125.67"/>
    <n v="2626.85"/>
    <n v="4786.4799999999996"/>
    <n v="3616.09"/>
    <n v="2370.89"/>
    <n v="72525.98"/>
    <n v="24241.460000000006"/>
    <n v="10841.150000000009"/>
    <n v="0.13004106054748446"/>
    <s v="Paid"/>
    <x v="1"/>
    <x v="1"/>
    <x v="0"/>
  </r>
  <r>
    <x v="54"/>
    <s v="INV-01405"/>
    <x v="2"/>
    <x v="8"/>
    <x v="2"/>
    <s v="Abuja"/>
    <s v="Tunde"/>
    <s v="Supermarket"/>
    <n v="70"/>
    <n v="6042.1"/>
    <n v="422947"/>
    <n v="35323.26"/>
    <x v="250"/>
    <n v="221069.12"/>
    <n v="14020.11"/>
    <n v="22937.599999999999"/>
    <n v="15839.47"/>
    <n v="9492.75"/>
    <n v="283359.05"/>
    <n v="166554.62"/>
    <n v="104264.69"/>
    <n v="0.26898427325426455"/>
    <s v="Pending"/>
    <x v="1"/>
    <x v="1"/>
    <x v="0"/>
  </r>
  <r>
    <x v="55"/>
    <s v="INV-00076"/>
    <x v="6"/>
    <x v="11"/>
    <x v="1"/>
    <s v="Lagos"/>
    <s v="Fatima"/>
    <s v="Wholesale"/>
    <n v="9"/>
    <n v="6587.2"/>
    <n v="59284.799999999996"/>
    <n v="4243.72"/>
    <x v="251"/>
    <n v="33241.15"/>
    <n v="1416.58"/>
    <n v="3263.14"/>
    <n v="2135.0500000000002"/>
    <n v="1484.96"/>
    <n v="41540.880000000005"/>
    <n v="21799.929999999993"/>
    <n v="13500.19999999999"/>
    <n v="0.24527498370308123"/>
    <s v="Paid"/>
    <x v="1"/>
    <x v="1"/>
    <x v="0"/>
  </r>
  <r>
    <x v="55"/>
    <s v="INV-00473"/>
    <x v="5"/>
    <x v="1"/>
    <x v="1"/>
    <s v="Abuja"/>
    <s v="Tunde"/>
    <s v="Wholesale"/>
    <n v="86"/>
    <n v="4235.12"/>
    <n v="364220.32"/>
    <n v="32250.29"/>
    <x v="252"/>
    <n v="241092.41"/>
    <n v="12145.71"/>
    <n v="20517.150000000001"/>
    <n v="17932.16"/>
    <n v="6922.44"/>
    <n v="298609.87"/>
    <n v="90877.620000000024"/>
    <n v="33360.160000000033"/>
    <n v="0.10049148111352109"/>
    <s v="Paid"/>
    <x v="1"/>
    <x v="1"/>
    <x v="0"/>
  </r>
  <r>
    <x v="55"/>
    <s v="INV-00131"/>
    <x v="11"/>
    <x v="2"/>
    <x v="2"/>
    <s v="Lagos"/>
    <s v="Tunde"/>
    <s v="Wholesale"/>
    <n v="71"/>
    <n v="4168.6400000000003"/>
    <n v="295973.44"/>
    <n v="21210.43"/>
    <x v="253"/>
    <n v="191596.63"/>
    <n v="6991.85"/>
    <n v="15870.25"/>
    <n v="14618.37"/>
    <n v="6082.41"/>
    <n v="235159.51"/>
    <n v="83166.38"/>
    <n v="39603.5"/>
    <n v="0.14413694186855791"/>
    <s v="Paid"/>
    <x v="1"/>
    <x v="1"/>
    <x v="0"/>
  </r>
  <r>
    <x v="55"/>
    <s v="INV-00528"/>
    <x v="5"/>
    <x v="6"/>
    <x v="0"/>
    <s v="Abuja"/>
    <s v="Ibrahim"/>
    <s v="Supermarket"/>
    <n v="138"/>
    <n v="372.41"/>
    <n v="51392.58"/>
    <n v="3558.79"/>
    <x v="254"/>
    <n v="37488.379999999997"/>
    <n v="1589.09"/>
    <n v="2774.21"/>
    <n v="2382.0500000000002"/>
    <n v="1022.79"/>
    <n v="45256.52"/>
    <n v="10345.410000000003"/>
    <n v="2577.2700000000041"/>
    <n v="5.3879694667723466E-2"/>
    <s v="Paid"/>
    <x v="1"/>
    <x v="1"/>
    <x v="0"/>
  </r>
  <r>
    <x v="56"/>
    <s v="INV-00770"/>
    <x v="1"/>
    <x v="8"/>
    <x v="2"/>
    <s v="Ibadan"/>
    <s v="Tunde"/>
    <s v="Supermarket"/>
    <n v="43"/>
    <n v="6145.68"/>
    <n v="264264.24"/>
    <n v="17694.54"/>
    <x v="255"/>
    <n v="144673.99"/>
    <n v="7661.36"/>
    <n v="15868.91"/>
    <n v="10070.08"/>
    <n v="7656.66"/>
    <n v="185930.99999999997"/>
    <n v="101895.70999999999"/>
    <n v="60638.700000000012"/>
    <n v="0.24592924434754154"/>
    <s v="Paid"/>
    <x v="2"/>
    <x v="2"/>
    <x v="0"/>
  </r>
  <r>
    <x v="56"/>
    <s v="INV-00209"/>
    <x v="7"/>
    <x v="0"/>
    <x v="0"/>
    <s v="Port Harcourt"/>
    <s v="Daniel"/>
    <s v="Wholesale"/>
    <n v="119"/>
    <n v="1164.74"/>
    <n v="138604.06"/>
    <n v="11815.28"/>
    <x v="256"/>
    <n v="79037.3"/>
    <n v="5282.7"/>
    <n v="8382.34"/>
    <n v="5452.41"/>
    <n v="2993.97"/>
    <n v="101148.72"/>
    <n v="47751.479999999996"/>
    <n v="25640.059999999998"/>
    <n v="0.20222656925951962"/>
    <s v="Paid"/>
    <x v="2"/>
    <x v="2"/>
    <x v="0"/>
  </r>
  <r>
    <x v="56"/>
    <s v="INV-00650"/>
    <x v="1"/>
    <x v="4"/>
    <x v="4"/>
    <s v="Abuja"/>
    <s v="Samuel"/>
    <s v="Wholesale"/>
    <n v="31"/>
    <n v="3103.91"/>
    <n v="96221.209999999992"/>
    <n v="9090.2199999999993"/>
    <x v="257"/>
    <n v="51111.06"/>
    <n v="3176.16"/>
    <n v="6030.32"/>
    <n v="4757.74"/>
    <n v="2531.23"/>
    <n v="67606.509999999995"/>
    <n v="36019.929999999993"/>
    <n v="19524.479999999996"/>
    <n v="0.22408192538613411"/>
    <s v="Paid"/>
    <x v="2"/>
    <x v="2"/>
    <x v="0"/>
  </r>
  <r>
    <x v="56"/>
    <s v="INV-00903"/>
    <x v="1"/>
    <x v="1"/>
    <x v="1"/>
    <s v="Lagos"/>
    <s v="Mary"/>
    <s v="Wholesale"/>
    <n v="52"/>
    <n v="4180.6899999999996"/>
    <n v="217395.87999999998"/>
    <n v="17607.16"/>
    <x v="258"/>
    <n v="144715.67000000001"/>
    <n v="5026.49"/>
    <n v="14150.18"/>
    <n v="7699.28"/>
    <n v="5613.11"/>
    <n v="177204.72999999998"/>
    <n v="55073.049999999959"/>
    <n v="22583.989999999991"/>
    <n v="0.1130393647849588"/>
    <s v="Paid"/>
    <x v="2"/>
    <x v="2"/>
    <x v="0"/>
  </r>
  <r>
    <x v="56"/>
    <s v="INV-00930"/>
    <x v="9"/>
    <x v="8"/>
    <x v="2"/>
    <s v="Abuja"/>
    <s v="Tunde"/>
    <s v="Retail"/>
    <n v="31"/>
    <n v="6301.46"/>
    <n v="195345.26"/>
    <n v="13229.95"/>
    <x v="259"/>
    <n v="108376.19"/>
    <n v="6607.1"/>
    <n v="13625.97"/>
    <n v="7929.54"/>
    <n v="5382.29"/>
    <n v="141921.09000000003"/>
    <n v="73739.12"/>
    <n v="40194.219999999972"/>
    <n v="0.22070752865313725"/>
    <s v="Paid"/>
    <x v="2"/>
    <x v="2"/>
    <x v="0"/>
  </r>
  <r>
    <x v="56"/>
    <s v="INV-01222"/>
    <x v="7"/>
    <x v="7"/>
    <x v="5"/>
    <s v="Lagos"/>
    <s v="Ibrahim"/>
    <s v="Supermarket"/>
    <n v="33"/>
    <n v="5470.84"/>
    <n v="180537.72"/>
    <n v="16133.15"/>
    <x v="260"/>
    <n v="119928.34"/>
    <n v="3899.16"/>
    <n v="10016.290000000001"/>
    <n v="7942.01"/>
    <n v="4759.12"/>
    <n v="146544.92000000001"/>
    <n v="44476.23000000001"/>
    <n v="17859.649999999994"/>
    <n v="0.10863232086553308"/>
    <s v="Paid"/>
    <x v="2"/>
    <x v="2"/>
    <x v="0"/>
  </r>
  <r>
    <x v="56"/>
    <s v="INV-01017"/>
    <x v="4"/>
    <x v="3"/>
    <x v="3"/>
    <s v="Abuja"/>
    <s v="Samuel"/>
    <s v="Wholesale"/>
    <n v="52"/>
    <n v="839.1"/>
    <n v="43633.200000000004"/>
    <n v="3697.46"/>
    <x v="261"/>
    <n v="26457"/>
    <n v="1449.87"/>
    <n v="2373.06"/>
    <n v="1814.38"/>
    <n v="801.69"/>
    <n v="32896"/>
    <n v="13478.740000000005"/>
    <n v="7039.7400000000052"/>
    <n v="0.17627668850007547"/>
    <s v="Paid"/>
    <x v="2"/>
    <x v="2"/>
    <x v="0"/>
  </r>
  <r>
    <x v="57"/>
    <s v="INV-00389"/>
    <x v="8"/>
    <x v="6"/>
    <x v="0"/>
    <s v="Lagos"/>
    <s v="Amina"/>
    <s v="Supermarket"/>
    <n v="133"/>
    <n v="375.17"/>
    <n v="49897.61"/>
    <n v="4151.09"/>
    <x v="262"/>
    <n v="34588.120000000003"/>
    <n v="1161.51"/>
    <n v="2523.86"/>
    <n v="2466.81"/>
    <n v="1023.82"/>
    <n v="41764.120000000003"/>
    <n v="11158.400000000001"/>
    <n v="3982.4000000000015"/>
    <n v="8.7053616318793228E-2"/>
    <s v="Paid"/>
    <x v="2"/>
    <x v="2"/>
    <x v="0"/>
  </r>
  <r>
    <x v="57"/>
    <s v="INV-01091"/>
    <x v="1"/>
    <x v="0"/>
    <x v="0"/>
    <s v="Ibadan"/>
    <s v="Daniel"/>
    <s v="Retail"/>
    <n v="46"/>
    <n v="1122.4100000000001"/>
    <n v="51630.86"/>
    <n v="3145.56"/>
    <x v="263"/>
    <n v="29041.26"/>
    <n v="1392.52"/>
    <n v="3261.99"/>
    <n v="2527.48"/>
    <n v="1054.49"/>
    <n v="37277.74"/>
    <n v="19444.040000000005"/>
    <n v="11207.560000000005"/>
    <n v="0.23115377238049478"/>
    <s v="Paid"/>
    <x v="2"/>
    <x v="2"/>
    <x v="0"/>
  </r>
  <r>
    <x v="57"/>
    <s v="INV-00491"/>
    <x v="6"/>
    <x v="6"/>
    <x v="0"/>
    <s v="Port Harcourt"/>
    <s v="Samuel"/>
    <s v="Wholesale"/>
    <n v="115"/>
    <n v="374.39"/>
    <n v="43054.85"/>
    <n v="3656.98"/>
    <x v="264"/>
    <n v="29844.15"/>
    <n v="1678.46"/>
    <n v="2191.34"/>
    <n v="2039.56"/>
    <n v="1247.82"/>
    <n v="37001.329999999994"/>
    <n v="9553.7199999999939"/>
    <n v="2396.5400000000009"/>
    <n v="6.0829176805751201E-2"/>
    <s v="Paid"/>
    <x v="2"/>
    <x v="2"/>
    <x v="0"/>
  </r>
  <r>
    <x v="57"/>
    <s v="INV-00685"/>
    <x v="7"/>
    <x v="2"/>
    <x v="2"/>
    <s v="Ibadan"/>
    <s v="Mary"/>
    <s v="Retail"/>
    <n v="57"/>
    <n v="4430.5"/>
    <n v="252538.5"/>
    <n v="13948.21"/>
    <x v="265"/>
    <n v="173596.51"/>
    <n v="7716.41"/>
    <n v="15020.03"/>
    <n v="9464.7099999999991"/>
    <n v="6649.48"/>
    <n v="212447.14"/>
    <n v="64993.78"/>
    <n v="26143.149999999994"/>
    <n v="0.10957340300814418"/>
    <s v="Paid"/>
    <x v="2"/>
    <x v="2"/>
    <x v="0"/>
  </r>
  <r>
    <x v="58"/>
    <s v="INV-00083"/>
    <x v="2"/>
    <x v="6"/>
    <x v="0"/>
    <s v="Port Harcourt"/>
    <s v="Emeka"/>
    <s v="Supermarket"/>
    <n v="144"/>
    <n v="371.39"/>
    <n v="53480.159999999996"/>
    <n v="4169.7"/>
    <x v="266"/>
    <n v="39108.53"/>
    <n v="1902.82"/>
    <n v="3594.33"/>
    <n v="1735.47"/>
    <n v="1271.96"/>
    <n v="47613.11"/>
    <n v="10201.93"/>
    <n v="1697.3499999999985"/>
    <n v="3.4421702819239543E-2"/>
    <s v="Pending"/>
    <x v="2"/>
    <x v="2"/>
    <x v="0"/>
  </r>
  <r>
    <x v="58"/>
    <s v="INV-00445"/>
    <x v="10"/>
    <x v="8"/>
    <x v="2"/>
    <s v="Abuja"/>
    <s v="Tunde"/>
    <s v="Wholesale"/>
    <n v="58"/>
    <n v="6446.66"/>
    <n v="373906.27999999997"/>
    <n v="32957.120000000003"/>
    <x v="267"/>
    <n v="193803.96"/>
    <n v="11626.51"/>
    <n v="22913.73"/>
    <n v="17349.2"/>
    <n v="9474.75"/>
    <n v="255168.15000000002"/>
    <n v="147145.19999999998"/>
    <n v="85781.009999999951"/>
    <n v="0.25159472456245369"/>
    <s v="Paid"/>
    <x v="2"/>
    <x v="2"/>
    <x v="0"/>
  </r>
  <r>
    <x v="59"/>
    <s v="INV-00751"/>
    <x v="7"/>
    <x v="0"/>
    <x v="0"/>
    <s v="Port Harcourt"/>
    <s v="Daniel"/>
    <s v="Supermarket"/>
    <n v="65"/>
    <n v="1087.82"/>
    <n v="70708.3"/>
    <n v="6141.34"/>
    <x v="268"/>
    <n v="37339.26"/>
    <n v="2622.84"/>
    <n v="4391.0200000000004"/>
    <n v="2626.98"/>
    <n v="1549.96"/>
    <n v="48530.060000000012"/>
    <n v="27227.700000000004"/>
    <n v="16036.899999999994"/>
    <n v="0.24837625931281251"/>
    <s v="Pending"/>
    <x v="2"/>
    <x v="2"/>
    <x v="0"/>
  </r>
  <r>
    <x v="59"/>
    <s v="INV-01117"/>
    <x v="11"/>
    <x v="5"/>
    <x v="3"/>
    <s v="Lagos"/>
    <s v="Amina"/>
    <s v="Wholesale"/>
    <n v="59"/>
    <n v="1459.88"/>
    <n v="86132.920000000013"/>
    <n v="7549.94"/>
    <x v="269"/>
    <n v="42907.58"/>
    <n v="1969.11"/>
    <n v="5518.06"/>
    <n v="3615.12"/>
    <n v="2386.9499999999998"/>
    <n v="56396.82"/>
    <n v="35675.400000000009"/>
    <n v="22186.160000000011"/>
    <n v="0.28232780177081612"/>
    <s v="Paid"/>
    <x v="2"/>
    <x v="2"/>
    <x v="0"/>
  </r>
  <r>
    <x v="59"/>
    <s v="INV-00694"/>
    <x v="5"/>
    <x v="1"/>
    <x v="1"/>
    <s v="Port Harcourt"/>
    <s v="Tunde"/>
    <s v="Distributor"/>
    <n v="67"/>
    <n v="4178.4799999999996"/>
    <n v="279958.15999999997"/>
    <n v="24344.65"/>
    <x v="270"/>
    <n v="179916.85"/>
    <n v="10772.72"/>
    <n v="17302.64"/>
    <n v="9859.94"/>
    <n v="6042.06"/>
    <n v="223894.21000000002"/>
    <n v="75696.659999999974"/>
    <n v="31719.299999999959"/>
    <n v="0.12409085889083078"/>
    <s v="Pending"/>
    <x v="2"/>
    <x v="2"/>
    <x v="0"/>
  </r>
  <r>
    <x v="59"/>
    <s v="INV-00775"/>
    <x v="0"/>
    <x v="2"/>
    <x v="2"/>
    <s v="Abuja"/>
    <s v="Ibrahim"/>
    <s v="Wholesale"/>
    <n v="95"/>
    <n v="4428.42"/>
    <n v="420699.9"/>
    <n v="39062.97"/>
    <x v="271"/>
    <n v="270253.71000000002"/>
    <n v="13871.52"/>
    <n v="27664.51"/>
    <n v="20778.93"/>
    <n v="9415.89"/>
    <n v="341984.56000000006"/>
    <n v="111383.22000000003"/>
    <n v="39652.369999999995"/>
    <n v="0.10390076767465871"/>
    <s v="Pending"/>
    <x v="2"/>
    <x v="2"/>
    <x v="0"/>
  </r>
  <r>
    <x v="60"/>
    <s v="INV-00132"/>
    <x v="3"/>
    <x v="2"/>
    <x v="2"/>
    <s v="Lagos"/>
    <s v="Mary"/>
    <s v="Wholesale"/>
    <n v="52"/>
    <n v="4475.6000000000004"/>
    <n v="232731.2"/>
    <n v="20816.25"/>
    <x v="272"/>
    <n v="150617.91"/>
    <n v="5463.03"/>
    <n v="13408.92"/>
    <n v="11174.82"/>
    <n v="6516.45"/>
    <n v="187181.13000000003"/>
    <n v="61297.040000000008"/>
    <n v="24733.819999999978"/>
    <n v="0.11671578621517725"/>
    <s v="Paid"/>
    <x v="2"/>
    <x v="2"/>
    <x v="0"/>
  </r>
  <r>
    <x v="60"/>
    <s v="INV-00240"/>
    <x v="10"/>
    <x v="7"/>
    <x v="5"/>
    <s v="Lagos"/>
    <s v="Ibrahim"/>
    <s v="Distributor"/>
    <n v="75"/>
    <n v="5225.6099999999997"/>
    <n v="391920.75"/>
    <n v="36875.32"/>
    <x v="273"/>
    <n v="260787.42"/>
    <n v="9360.9500000000007"/>
    <n v="19585.95"/>
    <n v="15248.8"/>
    <n v="10547.06"/>
    <n v="315530.18"/>
    <n v="94258.00999999998"/>
    <n v="39515.25"/>
    <n v="0.11129632058635426"/>
    <s v="Paid"/>
    <x v="2"/>
    <x v="2"/>
    <x v="0"/>
  </r>
  <r>
    <x v="60"/>
    <s v="INV-00915"/>
    <x v="2"/>
    <x v="6"/>
    <x v="0"/>
    <s v="Port Harcourt"/>
    <s v="Emeka"/>
    <s v="Retail"/>
    <n v="101"/>
    <n v="356.21"/>
    <n v="35977.21"/>
    <n v="2219.8000000000002"/>
    <x v="274"/>
    <n v="27365.39"/>
    <n v="1355.77"/>
    <n v="2009.99"/>
    <n v="1440.85"/>
    <n v="850.64"/>
    <n v="33022.639999999999"/>
    <n v="6392.0199999999968"/>
    <n v="734.7699999999968"/>
    <n v="2.1766184076325669E-2"/>
    <s v="Paid"/>
    <x v="2"/>
    <x v="2"/>
    <x v="0"/>
  </r>
  <r>
    <x v="60"/>
    <s v="INV-01380"/>
    <x v="3"/>
    <x v="7"/>
    <x v="5"/>
    <s v="Abuja"/>
    <s v="Tunde"/>
    <s v="Wholesale"/>
    <n v="66"/>
    <n v="5258.68"/>
    <n v="347072.88"/>
    <n v="28316.89"/>
    <x v="275"/>
    <n v="242957.7"/>
    <n v="11316.64"/>
    <n v="23715.64"/>
    <n v="17373.22"/>
    <n v="7435.72"/>
    <n v="302798.92000000004"/>
    <n v="75798.289999999979"/>
    <n v="15957.069999999949"/>
    <n v="5.0060455334501944E-2"/>
    <s v="Paid"/>
    <x v="2"/>
    <x v="2"/>
    <x v="0"/>
  </r>
  <r>
    <x v="60"/>
    <s v="INV-00331"/>
    <x v="4"/>
    <x v="0"/>
    <x v="0"/>
    <s v="Abuja"/>
    <s v="Tunde"/>
    <s v="Wholesale"/>
    <n v="50"/>
    <n v="1109.1199999999999"/>
    <n v="55455.999999999993"/>
    <n v="4573.28"/>
    <x v="276"/>
    <n v="29761.39"/>
    <n v="1957.47"/>
    <n v="3022.26"/>
    <n v="2253.3000000000002"/>
    <n v="1213.78"/>
    <n v="38208.200000000004"/>
    <n v="21121.329999999994"/>
    <n v="12674.51999999999"/>
    <n v="0.24909281579286624"/>
    <s v="Paid"/>
    <x v="2"/>
    <x v="2"/>
    <x v="0"/>
  </r>
  <r>
    <x v="60"/>
    <s v="INV-01004"/>
    <x v="1"/>
    <x v="6"/>
    <x v="0"/>
    <s v="Abuja"/>
    <s v="Daniel"/>
    <s v="Distributor"/>
    <n v="98"/>
    <n v="351.35"/>
    <n v="34432.300000000003"/>
    <n v="3118.56"/>
    <x v="277"/>
    <n v="25278.12"/>
    <n v="1149.44"/>
    <n v="2235.54"/>
    <n v="1465.48"/>
    <n v="885.9"/>
    <n v="31014.48"/>
    <n v="6035.6200000000026"/>
    <n v="299.26000000000204"/>
    <n v="9.5568271308378375E-3"/>
    <s v="Paid"/>
    <x v="2"/>
    <x v="2"/>
    <x v="0"/>
  </r>
  <r>
    <x v="60"/>
    <s v="INV-00480"/>
    <x v="11"/>
    <x v="0"/>
    <x v="0"/>
    <s v="Lagos"/>
    <s v="Amina"/>
    <s v="Distributor"/>
    <n v="103"/>
    <n v="1169.32"/>
    <n v="120439.95999999999"/>
    <n v="8602.6"/>
    <x v="278"/>
    <n v="65988.600000000006"/>
    <n v="2672.24"/>
    <n v="8161.48"/>
    <n v="5272.64"/>
    <n v="3026.81"/>
    <n v="85121.77"/>
    <n v="45848.75999999998"/>
    <n v="26715.589999999982"/>
    <n v="0.23887893991775186"/>
    <s v="Paid"/>
    <x v="2"/>
    <x v="2"/>
    <x v="0"/>
  </r>
  <r>
    <x v="61"/>
    <s v="INV-01271"/>
    <x v="3"/>
    <x v="6"/>
    <x v="0"/>
    <s v="Port Harcourt"/>
    <s v="Ibrahim"/>
    <s v="Distributor"/>
    <n v="93"/>
    <n v="370.01"/>
    <n v="34410.93"/>
    <n v="3401.79"/>
    <x v="279"/>
    <n v="24787.81"/>
    <n v="1396.81"/>
    <n v="2138.4"/>
    <n v="1231.72"/>
    <n v="751.13"/>
    <n v="30305.870000000006"/>
    <n v="6221.3299999999981"/>
    <n v="703.26999999999316"/>
    <n v="2.2679442254767247E-2"/>
    <s v="Paid"/>
    <x v="2"/>
    <x v="2"/>
    <x v="0"/>
  </r>
  <r>
    <x v="61"/>
    <s v="INV-01179"/>
    <x v="10"/>
    <x v="10"/>
    <x v="5"/>
    <s v="Lagos"/>
    <s v="Tunde"/>
    <s v="Retail"/>
    <n v="60"/>
    <n v="6887.76"/>
    <n v="413265.60000000003"/>
    <n v="28764.36"/>
    <x v="280"/>
    <n v="232054.5"/>
    <n v="10884.27"/>
    <n v="24065.62"/>
    <n v="17913.3"/>
    <n v="8820.9699999999993"/>
    <n v="293738.65999999997"/>
    <n v="152446.74000000005"/>
    <n v="90762.580000000075"/>
    <n v="0.23605276279473134"/>
    <s v="Paid"/>
    <x v="2"/>
    <x v="2"/>
    <x v="0"/>
  </r>
  <r>
    <x v="61"/>
    <s v="INV-00779"/>
    <x v="7"/>
    <x v="7"/>
    <x v="5"/>
    <s v="Lagos"/>
    <s v="Amina"/>
    <s v="Wholesale"/>
    <n v="58"/>
    <n v="5163.1099999999997"/>
    <n v="299460.38"/>
    <n v="25953.68"/>
    <x v="281"/>
    <n v="202769.66"/>
    <n v="7047.5"/>
    <n v="16145.55"/>
    <n v="13873.91"/>
    <n v="5554.81"/>
    <n v="245391.43"/>
    <n v="70737.040000000008"/>
    <n v="28115.270000000019"/>
    <n v="0.10279554394828359"/>
    <s v="Paid"/>
    <x v="2"/>
    <x v="2"/>
    <x v="0"/>
  </r>
  <r>
    <x v="61"/>
    <s v="INV-00591"/>
    <x v="0"/>
    <x v="7"/>
    <x v="5"/>
    <s v="Port Harcourt"/>
    <s v="Mary"/>
    <s v="Supermarket"/>
    <n v="26"/>
    <n v="5215.88"/>
    <n v="135612.88"/>
    <n v="8833.8799999999992"/>
    <x v="282"/>
    <n v="97936.43"/>
    <n v="5801.19"/>
    <n v="8469.5"/>
    <n v="6094.88"/>
    <n v="3911.3"/>
    <n v="122213.3"/>
    <n v="28842.570000000007"/>
    <n v="4565.6999999999971"/>
    <n v="3.601306210019007E-2"/>
    <s v="Paid"/>
    <x v="2"/>
    <x v="2"/>
    <x v="0"/>
  </r>
  <r>
    <x v="61"/>
    <s v="INV-00474"/>
    <x v="11"/>
    <x v="6"/>
    <x v="0"/>
    <s v="Ibadan"/>
    <s v="Mary"/>
    <s v="Retail"/>
    <n v="88"/>
    <n v="368.26"/>
    <n v="32406.879999999997"/>
    <n v="2678.22"/>
    <x v="283"/>
    <n v="22373.57"/>
    <n v="909.41"/>
    <n v="1953.41"/>
    <n v="1102.52"/>
    <n v="710.27"/>
    <n v="27049.18"/>
    <n v="7355.0899999999965"/>
    <n v="2679.4799999999959"/>
    <n v="9.0131206721056262E-2"/>
    <s v="Paid"/>
    <x v="2"/>
    <x v="2"/>
    <x v="0"/>
  </r>
  <r>
    <x v="61"/>
    <s v="INV-01216"/>
    <x v="7"/>
    <x v="2"/>
    <x v="2"/>
    <s v="Lagos"/>
    <s v="Daniel"/>
    <s v="Retail"/>
    <n v="58"/>
    <n v="4365.21"/>
    <n v="253182.18"/>
    <n v="18446.45"/>
    <x v="284"/>
    <n v="171837.15"/>
    <n v="5910.68"/>
    <n v="14612.18"/>
    <n v="11749.04"/>
    <n v="7360.05"/>
    <n v="211469.09999999998"/>
    <n v="62898.579999999987"/>
    <n v="23266.630000000005"/>
    <n v="9.9118400083361854E-2"/>
    <s v="Paid"/>
    <x v="2"/>
    <x v="2"/>
    <x v="0"/>
  </r>
  <r>
    <x v="62"/>
    <s v="INV-00666"/>
    <x v="6"/>
    <x v="5"/>
    <x v="3"/>
    <s v="Lagos"/>
    <s v="Fatima"/>
    <s v="Supermarket"/>
    <n v="86"/>
    <n v="1482.37"/>
    <n v="127483.81999999999"/>
    <n v="9575.02"/>
    <x v="285"/>
    <n v="62845.97"/>
    <n v="3118.5"/>
    <n v="7695.44"/>
    <n v="6473.09"/>
    <n v="2513.7600000000002"/>
    <n v="82646.759999999995"/>
    <n v="55062.829999999987"/>
    <n v="35262.039999999994"/>
    <n v="0.2990619868915636"/>
    <s v="Paid"/>
    <x v="2"/>
    <x v="2"/>
    <x v="0"/>
  </r>
  <r>
    <x v="62"/>
    <s v="INV-01270"/>
    <x v="0"/>
    <x v="6"/>
    <x v="0"/>
    <s v="Ibadan"/>
    <s v="Fatima"/>
    <s v="Wholesale"/>
    <n v="79"/>
    <n v="372.1"/>
    <n v="29395.9"/>
    <n v="1971.68"/>
    <x v="286"/>
    <n v="21134.33"/>
    <n v="859.46"/>
    <n v="1547.4"/>
    <n v="1463.4"/>
    <n v="661.72"/>
    <n v="25666.310000000005"/>
    <n v="6289.8899999999994"/>
    <n v="1757.9099999999962"/>
    <n v="6.410063804914036E-2"/>
    <s v="Paid"/>
    <x v="2"/>
    <x v="2"/>
    <x v="0"/>
  </r>
  <r>
    <x v="62"/>
    <s v="INV-00122"/>
    <x v="11"/>
    <x v="5"/>
    <x v="3"/>
    <s v="Port Harcourt"/>
    <s v="Fatima"/>
    <s v="Supermarket"/>
    <n v="73"/>
    <n v="1473.39"/>
    <n v="107557.47"/>
    <n v="8815.44"/>
    <x v="287"/>
    <n v="55994.49"/>
    <n v="4251.46"/>
    <n v="6745.34"/>
    <n v="5259.44"/>
    <n v="2477.67"/>
    <n v="74728.399999999994"/>
    <n v="42747.54"/>
    <n v="24013.630000000005"/>
    <n v="0.243195628042081"/>
    <s v="Paid"/>
    <x v="2"/>
    <x v="2"/>
    <x v="0"/>
  </r>
  <r>
    <x v="63"/>
    <s v="INV-00510"/>
    <x v="1"/>
    <x v="9"/>
    <x v="4"/>
    <s v="Lagos"/>
    <s v="Fatima"/>
    <s v="Retail"/>
    <n v="60"/>
    <n v="1784.41"/>
    <n v="107064.6"/>
    <n v="9080.92"/>
    <x v="288"/>
    <n v="66475.55"/>
    <n v="2321.3000000000002"/>
    <n v="6883.8"/>
    <n v="4150.66"/>
    <n v="2997.18"/>
    <n v="82828.490000000005"/>
    <n v="31508.130000000005"/>
    <n v="15155.190000000002"/>
    <n v="0.15467055330030471"/>
    <s v="Paid"/>
    <x v="2"/>
    <x v="2"/>
    <x v="0"/>
  </r>
  <r>
    <x v="64"/>
    <s v="INV-01398"/>
    <x v="11"/>
    <x v="4"/>
    <x v="4"/>
    <s v="Port Harcourt"/>
    <s v="Emeka"/>
    <s v="Retail"/>
    <n v="92"/>
    <n v="3030.26"/>
    <n v="278783.92000000004"/>
    <n v="18230.97"/>
    <x v="289"/>
    <n v="144823.79"/>
    <n v="10443.6"/>
    <n v="16046.42"/>
    <n v="13246.16"/>
    <n v="6611"/>
    <n v="191170.97000000003"/>
    <n v="115729.16000000003"/>
    <n v="69381.98000000001"/>
    <n v="0.26628744752266287"/>
    <s v="Paid"/>
    <x v="2"/>
    <x v="2"/>
    <x v="0"/>
  </r>
  <r>
    <x v="65"/>
    <s v="INV-00223"/>
    <x v="7"/>
    <x v="1"/>
    <x v="1"/>
    <s v="Ibadan"/>
    <s v="Daniel"/>
    <s v="Wholesale"/>
    <n v="66"/>
    <n v="4341.51"/>
    <n v="286539.66000000003"/>
    <n v="27208.799999999999"/>
    <x v="290"/>
    <n v="191114.1"/>
    <n v="7842.93"/>
    <n v="18928.349999999999"/>
    <n v="12257.51"/>
    <n v="5283.07"/>
    <n v="235425.96000000002"/>
    <n v="68216.760000000038"/>
    <n v="23904.900000000023"/>
    <n v="9.2179156772934853E-2"/>
    <s v="Paid"/>
    <x v="2"/>
    <x v="2"/>
    <x v="0"/>
  </r>
  <r>
    <x v="65"/>
    <s v="INV-00141"/>
    <x v="3"/>
    <x v="2"/>
    <x v="2"/>
    <s v="Ibadan"/>
    <s v="Samuel"/>
    <s v="Retail"/>
    <n v="68"/>
    <n v="4414.2299999999996"/>
    <n v="300167.63999999996"/>
    <n v="19725.62"/>
    <x v="291"/>
    <n v="203490.76"/>
    <n v="7993.37"/>
    <n v="15452.41"/>
    <n v="9878.33"/>
    <n v="6028.5"/>
    <n v="242843.37"/>
    <n v="76951.259999999951"/>
    <n v="37598.649999999965"/>
    <n v="0.13406924540052867"/>
    <s v="Paid"/>
    <x v="2"/>
    <x v="2"/>
    <x v="0"/>
  </r>
  <r>
    <x v="65"/>
    <s v="INV-01195"/>
    <x v="10"/>
    <x v="0"/>
    <x v="0"/>
    <s v="Ibadan"/>
    <s v="Ibrahim"/>
    <s v="Wholesale"/>
    <n v="56"/>
    <n v="1156.02"/>
    <n v="64737.119999999995"/>
    <n v="5269.87"/>
    <x v="292"/>
    <n v="36691.43"/>
    <n v="1919.09"/>
    <n v="3455.23"/>
    <n v="2496.88"/>
    <n v="1324.18"/>
    <n v="45886.81"/>
    <n v="22775.819999999992"/>
    <n v="13580.439999999995"/>
    <n v="0.22836838764193731"/>
    <s v="Paid"/>
    <x v="2"/>
    <x v="2"/>
    <x v="0"/>
  </r>
  <r>
    <x v="65"/>
    <s v="INV-00910"/>
    <x v="3"/>
    <x v="2"/>
    <x v="2"/>
    <s v="Lagos"/>
    <s v="Daniel"/>
    <s v="Distributor"/>
    <n v="67"/>
    <n v="4308.8500000000004"/>
    <n v="288692.95"/>
    <n v="21522.45"/>
    <x v="293"/>
    <n v="189372.63"/>
    <n v="7286.59"/>
    <n v="19305.79"/>
    <n v="9489.61"/>
    <n v="8334.48"/>
    <n v="233789.1"/>
    <n v="77797.87"/>
    <n v="33381.399999999994"/>
    <n v="0.12494418358314258"/>
    <s v="Pending"/>
    <x v="2"/>
    <x v="2"/>
    <x v="0"/>
  </r>
  <r>
    <x v="66"/>
    <s v="INV-00182"/>
    <x v="9"/>
    <x v="6"/>
    <x v="0"/>
    <s v="Abuja"/>
    <s v="Emeka"/>
    <s v="Wholesale"/>
    <n v="115"/>
    <n v="349.83"/>
    <n v="40230.449999999997"/>
    <n v="3299.74"/>
    <x v="294"/>
    <n v="28162.639999999999"/>
    <n v="1211.9100000000001"/>
    <n v="2554.23"/>
    <n v="1361.13"/>
    <n v="937.25"/>
    <n v="34227.159999999996"/>
    <n v="8768.07"/>
    <n v="2703.5500000000029"/>
    <n v="7.320601201547447E-2"/>
    <s v="Paid"/>
    <x v="2"/>
    <x v="2"/>
    <x v="0"/>
  </r>
  <r>
    <x v="66"/>
    <s v="INV-00898"/>
    <x v="1"/>
    <x v="1"/>
    <x v="1"/>
    <s v="Lagos"/>
    <s v="Fatima"/>
    <s v="Supermarket"/>
    <n v="76"/>
    <n v="4423.66"/>
    <n v="336198.16"/>
    <n v="26900.76"/>
    <x v="295"/>
    <n v="227279.3"/>
    <n v="8641.94"/>
    <n v="22583.8"/>
    <n v="16017.22"/>
    <n v="9536.5300000000007"/>
    <n v="284058.78999999998"/>
    <n v="82018.099999999977"/>
    <n v="25238.609999999986"/>
    <n v="8.1599812995518189E-2"/>
    <s v="Pending"/>
    <x v="2"/>
    <x v="2"/>
    <x v="0"/>
  </r>
  <r>
    <x v="67"/>
    <s v="INV-00068"/>
    <x v="2"/>
    <x v="2"/>
    <x v="2"/>
    <s v="Ibadan"/>
    <s v="Samuel"/>
    <s v="Supermarket"/>
    <n v="56"/>
    <n v="4272.62"/>
    <n v="239266.72"/>
    <n v="19103.18"/>
    <x v="296"/>
    <n v="153163.84"/>
    <n v="6463.61"/>
    <n v="14276.21"/>
    <n v="9006.49"/>
    <n v="5397.74"/>
    <n v="188307.88999999996"/>
    <n v="66999.700000000012"/>
    <n v="31855.650000000052"/>
    <n v="0.14469085117363234"/>
    <s v="Paid"/>
    <x v="2"/>
    <x v="2"/>
    <x v="0"/>
  </r>
  <r>
    <x v="67"/>
    <s v="INV-00550"/>
    <x v="10"/>
    <x v="7"/>
    <x v="5"/>
    <s v="Port Harcourt"/>
    <s v="Mary"/>
    <s v="Supermarket"/>
    <n v="82"/>
    <n v="5221.5600000000004"/>
    <n v="428167.92000000004"/>
    <n v="26200.81"/>
    <x v="297"/>
    <n v="297263.73"/>
    <n v="15597.37"/>
    <n v="28781.58"/>
    <n v="16293"/>
    <n v="10324.24"/>
    <n v="368259.92"/>
    <n v="104703.38000000006"/>
    <n v="33707.190000000061"/>
    <n v="8.3855592065729095E-2"/>
    <s v="Paid"/>
    <x v="2"/>
    <x v="2"/>
    <x v="0"/>
  </r>
  <r>
    <x v="67"/>
    <s v="INV-00387"/>
    <x v="6"/>
    <x v="6"/>
    <x v="0"/>
    <s v="Lagos"/>
    <s v="Tunde"/>
    <s v="Wholesale"/>
    <n v="132"/>
    <n v="371.21"/>
    <n v="48999.719999999994"/>
    <n v="3692.74"/>
    <x v="298"/>
    <n v="35662.06"/>
    <n v="1261.22"/>
    <n v="3183.82"/>
    <n v="1905.93"/>
    <n v="972.35"/>
    <n v="42985.38"/>
    <n v="9644.9199999999983"/>
    <n v="2321.5999999999985"/>
    <n v="5.1241552626107474E-2"/>
    <s v="Paid"/>
    <x v="2"/>
    <x v="2"/>
    <x v="0"/>
  </r>
  <r>
    <x v="67"/>
    <s v="INV-01356"/>
    <x v="0"/>
    <x v="6"/>
    <x v="0"/>
    <s v="Lagos"/>
    <s v="Tunde"/>
    <s v="Supermarket"/>
    <n v="146"/>
    <n v="373.25"/>
    <n v="54494.5"/>
    <n v="4576.7700000000004"/>
    <x v="299"/>
    <n v="38142.82"/>
    <n v="1305.29"/>
    <n v="3564.67"/>
    <n v="2659.1"/>
    <n v="1331.34"/>
    <n v="47003.219999999994"/>
    <n v="11774.909999999996"/>
    <n v="2914.510000000002"/>
    <n v="5.8386268766628655E-2"/>
    <s v="Pending"/>
    <x v="2"/>
    <x v="2"/>
    <x v="0"/>
  </r>
  <r>
    <x v="68"/>
    <s v="INV-01323"/>
    <x v="10"/>
    <x v="0"/>
    <x v="0"/>
    <s v="Lagos"/>
    <s v="Samuel"/>
    <s v="Wholesale"/>
    <n v="80"/>
    <n v="1173.48"/>
    <n v="93878.399999999994"/>
    <n v="7984.23"/>
    <x v="300"/>
    <n v="51118.36"/>
    <n v="2128.98"/>
    <n v="4998.24"/>
    <n v="3701.33"/>
    <n v="2432.89"/>
    <n v="64379.8"/>
    <n v="34775.81"/>
    <n v="21514.369999999995"/>
    <n v="0.25047532329609795"/>
    <s v="Paid"/>
    <x v="2"/>
    <x v="2"/>
    <x v="0"/>
  </r>
  <r>
    <x v="69"/>
    <s v="INV-01202"/>
    <x v="4"/>
    <x v="9"/>
    <x v="4"/>
    <s v="Ibadan"/>
    <s v="Daniel"/>
    <s v="Distributor"/>
    <n v="60"/>
    <n v="1793.51"/>
    <n v="107610.6"/>
    <n v="8961.69"/>
    <x v="301"/>
    <n v="68597.67"/>
    <n v="2841.86"/>
    <n v="7158.96"/>
    <n v="3769.37"/>
    <n v="3136.07"/>
    <n v="85503.930000000008"/>
    <n v="30051.240000000005"/>
    <n v="13144.979999999996"/>
    <n v="0.13325012917020568"/>
    <s v="Paid"/>
    <x v="2"/>
    <x v="2"/>
    <x v="0"/>
  </r>
  <r>
    <x v="69"/>
    <s v="INV-00457"/>
    <x v="1"/>
    <x v="7"/>
    <x v="5"/>
    <s v="Lagos"/>
    <s v="Ibrahim"/>
    <s v="Supermarket"/>
    <n v="84"/>
    <n v="5176.68"/>
    <n v="434841.12"/>
    <n v="34492.06"/>
    <x v="302"/>
    <n v="311426.5"/>
    <n v="11185.97"/>
    <n v="24670.720000000001"/>
    <n v="17606.259999999998"/>
    <n v="10544.89"/>
    <n v="375434.33999999997"/>
    <n v="88922.559999999998"/>
    <n v="24914.72000000003"/>
    <n v="6.2232492815144938E-2"/>
    <s v="Paid"/>
    <x v="2"/>
    <x v="2"/>
    <x v="0"/>
  </r>
  <r>
    <x v="69"/>
    <s v="INV-01092"/>
    <x v="11"/>
    <x v="2"/>
    <x v="2"/>
    <s v="Lagos"/>
    <s v="Daniel"/>
    <s v="Retail"/>
    <n v="20"/>
    <n v="4161.88"/>
    <n v="83237.600000000006"/>
    <n v="6076.13"/>
    <x v="303"/>
    <n v="56875.48"/>
    <n v="2197.84"/>
    <n v="4578.88"/>
    <n v="3613.96"/>
    <n v="1577.41"/>
    <n v="68843.570000000007"/>
    <n v="20285.989999999998"/>
    <n v="8317.8999999999942"/>
    <n v="0.10779862021809582"/>
    <s v="Pending"/>
    <x v="2"/>
    <x v="2"/>
    <x v="0"/>
  </r>
  <r>
    <x v="69"/>
    <s v="INV-01097"/>
    <x v="11"/>
    <x v="5"/>
    <x v="3"/>
    <s v="Abuja"/>
    <s v="Mary"/>
    <s v="Distributor"/>
    <n v="66"/>
    <n v="1476.56"/>
    <n v="97452.959999999992"/>
    <n v="6973.51"/>
    <x v="304"/>
    <n v="50579.08"/>
    <n v="2993.95"/>
    <n v="6396.78"/>
    <n v="3974.03"/>
    <n v="2157.8000000000002"/>
    <n v="66101.64"/>
    <n v="39900.369999999995"/>
    <n v="24377.809999999998"/>
    <n v="0.2694292460884764"/>
    <s v="Paid"/>
    <x v="2"/>
    <x v="2"/>
    <x v="0"/>
  </r>
  <r>
    <x v="69"/>
    <s v="INV-00376"/>
    <x v="6"/>
    <x v="7"/>
    <x v="5"/>
    <s v="Lagos"/>
    <s v="Emeka"/>
    <s v="Retail"/>
    <n v="61"/>
    <n v="5463.73"/>
    <n v="333287.52999999997"/>
    <n v="20542.689999999999"/>
    <x v="305"/>
    <n v="231610.11"/>
    <n v="7376.67"/>
    <n v="22504.81"/>
    <n v="15710.32"/>
    <n v="6760.15"/>
    <n v="283962.06"/>
    <n v="81134.729999999981"/>
    <n v="28782.77999999997"/>
    <n v="9.2032789413887608E-2"/>
    <s v="Paid"/>
    <x v="2"/>
    <x v="2"/>
    <x v="0"/>
  </r>
  <r>
    <x v="70"/>
    <s v="INV-00390"/>
    <x v="6"/>
    <x v="10"/>
    <x v="5"/>
    <s v="Abuja"/>
    <s v="Amina"/>
    <s v="Retail"/>
    <n v="49"/>
    <n v="6572.56"/>
    <n v="322055.44"/>
    <n v="25095.57"/>
    <x v="306"/>
    <n v="175781.03"/>
    <n v="10470.030000000001"/>
    <n v="16810.77"/>
    <n v="15544.83"/>
    <n v="9360.02"/>
    <n v="227966.67999999996"/>
    <n v="121178.84"/>
    <n v="68993.190000000031"/>
    <n v="0.23233169518830957"/>
    <s v="Paid"/>
    <x v="2"/>
    <x v="2"/>
    <x v="0"/>
  </r>
  <r>
    <x v="70"/>
    <s v="INV-00717"/>
    <x v="8"/>
    <x v="3"/>
    <x v="3"/>
    <s v="Lagos"/>
    <s v="Mary"/>
    <s v="Supermarket"/>
    <n v="21"/>
    <n v="793.24"/>
    <n v="16658.04"/>
    <n v="1214.0899999999999"/>
    <x v="307"/>
    <n v="10159.09"/>
    <n v="420.26"/>
    <n v="1038.06"/>
    <n v="776.96"/>
    <n v="382.34"/>
    <n v="12776.71"/>
    <n v="5284.8600000000006"/>
    <n v="2667.2400000000016"/>
    <n v="0.17270452183541138"/>
    <s v="Paid"/>
    <x v="2"/>
    <x v="2"/>
    <x v="0"/>
  </r>
  <r>
    <x v="70"/>
    <s v="INV-00349"/>
    <x v="0"/>
    <x v="0"/>
    <x v="0"/>
    <s v="Lagos"/>
    <s v="Tunde"/>
    <s v="Supermarket"/>
    <n v="59"/>
    <n v="1161.23"/>
    <n v="68512.570000000007"/>
    <n v="5226.7299999999996"/>
    <x v="308"/>
    <n v="37538.239999999998"/>
    <n v="1679.75"/>
    <n v="4331.3900000000003"/>
    <n v="2646.25"/>
    <n v="1793.79"/>
    <n v="47989.42"/>
    <n v="25747.600000000013"/>
    <n v="15296.420000000013"/>
    <n v="0.24170367336516368"/>
    <s v="Pending"/>
    <x v="2"/>
    <x v="2"/>
    <x v="0"/>
  </r>
  <r>
    <x v="70"/>
    <s v="INV-00895"/>
    <x v="8"/>
    <x v="10"/>
    <x v="5"/>
    <s v="Port Harcourt"/>
    <s v="Samuel"/>
    <s v="Retail"/>
    <n v="21"/>
    <n v="6762.52"/>
    <n v="142012.92000000001"/>
    <n v="10573.27"/>
    <x v="309"/>
    <n v="82341.56"/>
    <n v="5919.21"/>
    <n v="8990.57"/>
    <n v="4711.37"/>
    <n v="4000.36"/>
    <n v="105963.06999999999"/>
    <n v="49098.090000000026"/>
    <n v="25476.580000000031"/>
    <n v="0.19382720510896084"/>
    <s v="Paid"/>
    <x v="2"/>
    <x v="2"/>
    <x v="0"/>
  </r>
  <r>
    <x v="70"/>
    <s v="INV-00003"/>
    <x v="11"/>
    <x v="3"/>
    <x v="3"/>
    <s v="Abuja"/>
    <s v="Daniel"/>
    <s v="Wholesale"/>
    <n v="88"/>
    <n v="855.69"/>
    <n v="75300.72"/>
    <n v="5529.4"/>
    <x v="310"/>
    <n v="45458.54"/>
    <n v="2756.61"/>
    <n v="5037.1000000000004"/>
    <n v="2550.69"/>
    <n v="1732.05"/>
    <n v="57534.990000000005"/>
    <n v="24312.780000000006"/>
    <n v="12236.330000000002"/>
    <n v="0.17537764800780609"/>
    <s v="Paid"/>
    <x v="2"/>
    <x v="2"/>
    <x v="0"/>
  </r>
  <r>
    <x v="71"/>
    <s v="INV-01147"/>
    <x v="2"/>
    <x v="4"/>
    <x v="4"/>
    <s v="Lagos"/>
    <s v="Ibrahim"/>
    <s v="Wholesale"/>
    <n v="71"/>
    <n v="3013.32"/>
    <n v="213945.72"/>
    <n v="17562.28"/>
    <x v="311"/>
    <n v="109186.81"/>
    <n v="4690.67"/>
    <n v="13505.19"/>
    <n v="10412.86"/>
    <n v="5559.9"/>
    <n v="143355.43"/>
    <n v="87196.63"/>
    <n v="53028.010000000009"/>
    <n v="0.2700228186246254"/>
    <s v="Paid"/>
    <x v="2"/>
    <x v="2"/>
    <x v="0"/>
  </r>
  <r>
    <x v="71"/>
    <s v="INV-00335"/>
    <x v="11"/>
    <x v="10"/>
    <x v="5"/>
    <s v="Abuja"/>
    <s v="Daniel"/>
    <s v="Retail"/>
    <n v="71"/>
    <n v="6893.99"/>
    <n v="489473.29"/>
    <n v="32732.91"/>
    <x v="312"/>
    <n v="287962.62"/>
    <n v="15728.59"/>
    <n v="25259.46"/>
    <n v="21134.77"/>
    <n v="11072.11"/>
    <n v="361157.55000000005"/>
    <n v="168777.76"/>
    <n v="95582.829999999958"/>
    <n v="0.20927168734238027"/>
    <s v="Paid"/>
    <x v="2"/>
    <x v="2"/>
    <x v="0"/>
  </r>
  <r>
    <x v="72"/>
    <s v="INV-01182"/>
    <x v="6"/>
    <x v="6"/>
    <x v="0"/>
    <s v="Abuja"/>
    <s v="Daniel"/>
    <s v="Wholesale"/>
    <n v="148"/>
    <n v="371.93"/>
    <n v="55045.64"/>
    <n v="4187.72"/>
    <x v="313"/>
    <n v="40177.68"/>
    <n v="1700.56"/>
    <n v="3490.64"/>
    <n v="2593.2399999999998"/>
    <n v="1474.37"/>
    <n v="49436.49"/>
    <n v="10680.239999999998"/>
    <n v="1421.4300000000003"/>
    <n v="2.7949039205693044E-2"/>
    <s v="Paid"/>
    <x v="2"/>
    <x v="2"/>
    <x v="0"/>
  </r>
  <r>
    <x v="72"/>
    <s v="INV-01432"/>
    <x v="7"/>
    <x v="7"/>
    <x v="5"/>
    <s v="Abuja"/>
    <s v="Amina"/>
    <s v="Retail"/>
    <n v="41"/>
    <n v="5485.52"/>
    <n v="224906.32"/>
    <n v="13691.02"/>
    <x v="314"/>
    <n v="156450.01"/>
    <n v="7896.42"/>
    <n v="14802.53"/>
    <n v="8916.0300000000007"/>
    <n v="4614.96"/>
    <n v="192679.95"/>
    <n v="54765.290000000008"/>
    <n v="18535.350000000006"/>
    <n v="8.7755716560306021E-2"/>
    <s v="Paid"/>
    <x v="2"/>
    <x v="2"/>
    <x v="0"/>
  </r>
  <r>
    <x v="72"/>
    <s v="INV-00050"/>
    <x v="6"/>
    <x v="11"/>
    <x v="1"/>
    <s v="Lagos"/>
    <s v="Mary"/>
    <s v="Distributor"/>
    <n v="53"/>
    <n v="6538.32"/>
    <n v="346530.95999999996"/>
    <n v="32952.94"/>
    <x v="315"/>
    <n v="183456.07"/>
    <n v="8924.34"/>
    <n v="21075.56"/>
    <n v="13570.62"/>
    <n v="8734.8799999999992"/>
    <n v="235761.47"/>
    <n v="130121.94999999995"/>
    <n v="77816.549999999959"/>
    <n v="0.24815690206858237"/>
    <s v="Paid"/>
    <x v="2"/>
    <x v="2"/>
    <x v="0"/>
  </r>
  <r>
    <x v="73"/>
    <s v="INV-01243"/>
    <x v="6"/>
    <x v="3"/>
    <x v="3"/>
    <s v="Lagos"/>
    <s v="Amina"/>
    <s v="Wholesale"/>
    <n v="76"/>
    <n v="799.23"/>
    <n v="60741.48"/>
    <n v="4560.43"/>
    <x v="316"/>
    <n v="36203.74"/>
    <n v="1512.51"/>
    <n v="3860.26"/>
    <n v="2391.25"/>
    <n v="1665.96"/>
    <n v="45633.72"/>
    <n v="19977.310000000005"/>
    <n v="10547.330000000002"/>
    <n v="0.18773821421991937"/>
    <s v="Paid"/>
    <x v="2"/>
    <x v="2"/>
    <x v="0"/>
  </r>
  <r>
    <x v="73"/>
    <s v="INV-00195"/>
    <x v="8"/>
    <x v="6"/>
    <x v="0"/>
    <s v="Abuja"/>
    <s v="Amina"/>
    <s v="Supermarket"/>
    <n v="120"/>
    <n v="351.66"/>
    <n v="42199.200000000004"/>
    <n v="3590.5"/>
    <x v="317"/>
    <n v="30486.09"/>
    <n v="1352.63"/>
    <n v="2883.55"/>
    <n v="1706.06"/>
    <n v="1036.56"/>
    <n v="37464.89"/>
    <n v="8122.6100000000042"/>
    <n v="1143.8100000000049"/>
    <n v="2.9625706123231416E-2"/>
    <s v="Paid"/>
    <x v="2"/>
    <x v="2"/>
    <x v="0"/>
  </r>
  <r>
    <x v="73"/>
    <s v="INV-01007"/>
    <x v="4"/>
    <x v="4"/>
    <x v="4"/>
    <s v="Port Harcourt"/>
    <s v="Samuel"/>
    <s v="Supermarket"/>
    <n v="24"/>
    <n v="3085.42"/>
    <n v="74050.080000000002"/>
    <n v="5016.7700000000004"/>
    <x v="318"/>
    <n v="37993.660000000003"/>
    <n v="2982.11"/>
    <n v="4081.31"/>
    <n v="3304.13"/>
    <n v="1769.18"/>
    <n v="50130.39"/>
    <n v="31039.649999999994"/>
    <n v="18902.919999999998"/>
    <n v="0.27382317318987021"/>
    <s v="Paid"/>
    <x v="2"/>
    <x v="2"/>
    <x v="0"/>
  </r>
  <r>
    <x v="73"/>
    <s v="INV-00504"/>
    <x v="0"/>
    <x v="8"/>
    <x v="2"/>
    <s v="Ibadan"/>
    <s v="Mary"/>
    <s v="Retail"/>
    <n v="51"/>
    <n v="6586.22"/>
    <n v="335897.22000000003"/>
    <n v="19446.240000000002"/>
    <x v="319"/>
    <n v="178686.8"/>
    <n v="10035.82"/>
    <n v="18270.36"/>
    <n v="15194.32"/>
    <n v="9750.33"/>
    <n v="231937.62999999998"/>
    <n v="137764.18000000005"/>
    <n v="84513.350000000064"/>
    <n v="0.26706616614048739"/>
    <s v="Paid"/>
    <x v="2"/>
    <x v="2"/>
    <x v="0"/>
  </r>
  <r>
    <x v="73"/>
    <s v="INV-01268"/>
    <x v="9"/>
    <x v="7"/>
    <x v="5"/>
    <s v="Abuja"/>
    <s v="Fatima"/>
    <s v="Wholesale"/>
    <n v="88"/>
    <n v="5516.81"/>
    <n v="485479.28"/>
    <n v="44993.48"/>
    <x v="320"/>
    <n v="325521.36"/>
    <n v="16116.37"/>
    <n v="27863.37"/>
    <n v="16977.64"/>
    <n v="9797.9599999999991"/>
    <n v="396276.7"/>
    <n v="114964.44000000006"/>
    <n v="44209.100000000035"/>
    <n v="0.10036441583360924"/>
    <s v="Pending"/>
    <x v="2"/>
    <x v="2"/>
    <x v="0"/>
  </r>
  <r>
    <x v="74"/>
    <s v="INV-00305"/>
    <x v="3"/>
    <x v="11"/>
    <x v="1"/>
    <s v="Lagos"/>
    <s v="Mary"/>
    <s v="Retail"/>
    <n v="25"/>
    <n v="6647.41"/>
    <n v="166185.25"/>
    <n v="10933.33"/>
    <x v="321"/>
    <n v="92493.34"/>
    <n v="3996.34"/>
    <n v="10239.99"/>
    <n v="7357.7"/>
    <n v="4282.97"/>
    <n v="118370.34"/>
    <n v="62758.580000000016"/>
    <n v="36881.580000000016"/>
    <n v="0.23755957414246479"/>
    <s v="Paid"/>
    <x v="2"/>
    <x v="2"/>
    <x v="0"/>
  </r>
  <r>
    <x v="74"/>
    <s v="INV-00664"/>
    <x v="9"/>
    <x v="6"/>
    <x v="0"/>
    <s v="Port Harcourt"/>
    <s v="Daniel"/>
    <s v="Supermarket"/>
    <n v="114"/>
    <n v="375.15"/>
    <n v="42767.1"/>
    <n v="3112.09"/>
    <x v="322"/>
    <n v="30132.799999999999"/>
    <n v="1650.94"/>
    <n v="2275.75"/>
    <n v="1753.15"/>
    <n v="857.24"/>
    <n v="36669.879999999997"/>
    <n v="9522.2099999999955"/>
    <n v="2985.1299999999974"/>
    <n v="7.527749961480272E-2"/>
    <s v="Paid"/>
    <x v="2"/>
    <x v="2"/>
    <x v="0"/>
  </r>
  <r>
    <x v="74"/>
    <s v="INV-00416"/>
    <x v="2"/>
    <x v="2"/>
    <x v="2"/>
    <s v="Port Harcourt"/>
    <s v="Mary"/>
    <s v="Wholesale"/>
    <n v="68"/>
    <n v="4390.24"/>
    <n v="298536.32000000001"/>
    <n v="24120.17"/>
    <x v="323"/>
    <n v="191578.79"/>
    <n v="11663.14"/>
    <n v="16338.42"/>
    <n v="13958.31"/>
    <n v="8530.84"/>
    <n v="242069.5"/>
    <n v="82837.360000000015"/>
    <n v="32346.650000000023"/>
    <n v="0.11787443997009658"/>
    <s v="Paid"/>
    <x v="2"/>
    <x v="2"/>
    <x v="0"/>
  </r>
  <r>
    <x v="74"/>
    <s v="INV-00706"/>
    <x v="1"/>
    <x v="6"/>
    <x v="0"/>
    <s v="Lagos"/>
    <s v="Ibrahim"/>
    <s v="Distributor"/>
    <n v="76"/>
    <n v="360.43"/>
    <n v="27392.68"/>
    <n v="2364.6999999999998"/>
    <x v="324"/>
    <n v="19412.66"/>
    <n v="699.96"/>
    <n v="1508.45"/>
    <n v="1213.6500000000001"/>
    <n v="665.82"/>
    <n v="23500.54"/>
    <n v="5615.32"/>
    <n v="1527.4399999999987"/>
    <n v="6.1029296011903426E-2"/>
    <s v="Pending"/>
    <x v="2"/>
    <x v="2"/>
    <x v="0"/>
  </r>
  <r>
    <x v="75"/>
    <s v="INV-00855"/>
    <x v="4"/>
    <x v="10"/>
    <x v="5"/>
    <s v="Lagos"/>
    <s v="Amina"/>
    <s v="Distributor"/>
    <n v="33"/>
    <n v="6807.96"/>
    <n v="224662.68"/>
    <n v="20379.27"/>
    <x v="325"/>
    <n v="122145.37"/>
    <n v="5684.8"/>
    <n v="13936.22"/>
    <n v="10278.43"/>
    <n v="6368.97"/>
    <n v="158413.78999999998"/>
    <n v="82138.040000000008"/>
    <n v="45869.620000000024"/>
    <n v="0.22453913413722643"/>
    <s v="Paid"/>
    <x v="2"/>
    <x v="2"/>
    <x v="0"/>
  </r>
  <r>
    <x v="75"/>
    <s v="INV-00871"/>
    <x v="3"/>
    <x v="1"/>
    <x v="1"/>
    <s v="Port Harcourt"/>
    <s v="Tunde"/>
    <s v="Wholesale"/>
    <n v="40"/>
    <n v="4439.2299999999996"/>
    <n v="177569.19999999998"/>
    <n v="15417.13"/>
    <x v="326"/>
    <n v="121567.36"/>
    <n v="6303.47"/>
    <n v="9434.93"/>
    <n v="7858.3"/>
    <n v="4869.6499999999996"/>
    <n v="150033.71"/>
    <n v="40584.709999999977"/>
    <n v="12118.359999999986"/>
    <n v="7.4734537770624748E-2"/>
    <s v="Paid"/>
    <x v="2"/>
    <x v="2"/>
    <x v="0"/>
  </r>
  <r>
    <x v="76"/>
    <s v="INV-01372"/>
    <x v="9"/>
    <x v="9"/>
    <x v="4"/>
    <s v="Abuja"/>
    <s v="Emeka"/>
    <s v="Wholesale"/>
    <n v="76"/>
    <n v="1852.76"/>
    <n v="140809.76"/>
    <n v="9755.84"/>
    <x v="327"/>
    <n v="94702.35"/>
    <n v="4586.1499999999996"/>
    <n v="9041.7800000000007"/>
    <n v="6829.86"/>
    <n v="2974.33"/>
    <n v="118134.47"/>
    <n v="36351.570000000007"/>
    <n v="12919.450000000012"/>
    <n v="9.8581179410734229E-2"/>
    <s v="Pending"/>
    <x v="2"/>
    <x v="2"/>
    <x v="0"/>
  </r>
  <r>
    <x v="76"/>
    <s v="INV-00620"/>
    <x v="7"/>
    <x v="3"/>
    <x v="3"/>
    <s v="Ibadan"/>
    <s v="Fatima"/>
    <s v="Distributor"/>
    <n v="46"/>
    <n v="802.73"/>
    <n v="36925.58"/>
    <n v="3217.74"/>
    <x v="328"/>
    <n v="22938.3"/>
    <n v="1076.07"/>
    <n v="2183.06"/>
    <n v="1556.32"/>
    <n v="1030.31"/>
    <n v="28784.06"/>
    <n v="10769.540000000005"/>
    <n v="4923.7800000000025"/>
    <n v="0.14607224906727936"/>
    <s v="Paid"/>
    <x v="2"/>
    <x v="2"/>
    <x v="0"/>
  </r>
  <r>
    <x v="76"/>
    <s v="INV-00019"/>
    <x v="3"/>
    <x v="10"/>
    <x v="5"/>
    <s v="Lagos"/>
    <s v="Emeka"/>
    <s v="Supermarket"/>
    <n v="82"/>
    <n v="6548.11"/>
    <n v="536945.02"/>
    <n v="44296.51"/>
    <x v="329"/>
    <n v="292077.39"/>
    <n v="11864.48"/>
    <n v="34905.35"/>
    <n v="18273.23"/>
    <n v="12115.67"/>
    <n v="369236.11999999994"/>
    <n v="200571.12"/>
    <n v="123412.39000000007"/>
    <n v="0.2505079940260046"/>
    <s v="Paid"/>
    <x v="2"/>
    <x v="2"/>
    <x v="0"/>
  </r>
  <r>
    <x v="76"/>
    <s v="INV-01145"/>
    <x v="7"/>
    <x v="3"/>
    <x v="3"/>
    <s v="Lagos"/>
    <s v="Ibrahim"/>
    <s v="Retail"/>
    <n v="56"/>
    <n v="793.69"/>
    <n v="44446.64"/>
    <n v="3339.38"/>
    <x v="330"/>
    <n v="28502.92"/>
    <n v="967.02"/>
    <n v="2636.14"/>
    <n v="2046.53"/>
    <n v="1239.19"/>
    <n v="35391.800000000003"/>
    <n v="12604.340000000004"/>
    <n v="5715.4599999999991"/>
    <n v="0.13903772715573839"/>
    <s v="Paid"/>
    <x v="2"/>
    <x v="2"/>
    <x v="0"/>
  </r>
  <r>
    <x v="77"/>
    <s v="INV-00451"/>
    <x v="8"/>
    <x v="2"/>
    <x v="2"/>
    <s v="Abuja"/>
    <s v="Daniel"/>
    <s v="Supermarket"/>
    <n v="89"/>
    <n v="4306.26"/>
    <n v="383257.14"/>
    <n v="26484.62"/>
    <x v="331"/>
    <n v="251188.89"/>
    <n v="11667.78"/>
    <n v="20346.419999999998"/>
    <n v="19344.240000000002"/>
    <n v="8895.5400000000009"/>
    <n v="311442.87"/>
    <n v="105583.63"/>
    <n v="45329.650000000023"/>
    <n v="0.12705476868005422"/>
    <s v="Paid"/>
    <x v="2"/>
    <x v="2"/>
    <x v="0"/>
  </r>
  <r>
    <x v="77"/>
    <s v="INV-01434"/>
    <x v="0"/>
    <x v="0"/>
    <x v="0"/>
    <s v="Lagos"/>
    <s v="Fatima"/>
    <s v="Retail"/>
    <n v="90"/>
    <n v="1174.8"/>
    <n v="105732"/>
    <n v="6726.31"/>
    <x v="332"/>
    <n v="60359.75"/>
    <n v="2756.46"/>
    <n v="7234.62"/>
    <n v="4635.53"/>
    <n v="2560.5300000000002"/>
    <n v="77546.89"/>
    <n v="38645.94"/>
    <n v="21458.800000000003"/>
    <n v="0.21674309830071387"/>
    <s v="Paid"/>
    <x v="2"/>
    <x v="2"/>
    <x v="0"/>
  </r>
  <r>
    <x v="77"/>
    <s v="INV-00835"/>
    <x v="9"/>
    <x v="2"/>
    <x v="2"/>
    <s v="Lagos"/>
    <s v="Tunde"/>
    <s v="Retail"/>
    <n v="90"/>
    <n v="4457.04"/>
    <n v="401133.6"/>
    <n v="26603.56"/>
    <x v="333"/>
    <n v="271604.25"/>
    <n v="10482.9"/>
    <n v="23508.33"/>
    <n v="16494.59"/>
    <n v="8978.58"/>
    <n v="331068.65000000008"/>
    <n v="102925.78999999998"/>
    <n v="43461.389999999898"/>
    <n v="0.11604246751475503"/>
    <s v="Paid"/>
    <x v="2"/>
    <x v="2"/>
    <x v="0"/>
  </r>
  <r>
    <x v="77"/>
    <s v="INV-00945"/>
    <x v="0"/>
    <x v="3"/>
    <x v="3"/>
    <s v="Ibadan"/>
    <s v="Daniel"/>
    <s v="Retail"/>
    <n v="78"/>
    <n v="813.31"/>
    <n v="63438.179999999993"/>
    <n v="4364.78"/>
    <x v="334"/>
    <n v="40985.35"/>
    <n v="1846.38"/>
    <n v="4095.52"/>
    <n v="2773.06"/>
    <n v="1858.78"/>
    <n v="51559.089999999989"/>
    <n v="18088.049999999996"/>
    <n v="7514.3100000000049"/>
    <n v="0.12720293736267094"/>
    <s v="Paid"/>
    <x v="2"/>
    <x v="2"/>
    <x v="0"/>
  </r>
  <r>
    <x v="78"/>
    <s v="INV-00082"/>
    <x v="0"/>
    <x v="8"/>
    <x v="2"/>
    <s v="Lagos"/>
    <s v="Daniel"/>
    <s v="Wholesale"/>
    <n v="61"/>
    <n v="6409.21"/>
    <n v="390961.81"/>
    <n v="27659.77"/>
    <x v="335"/>
    <n v="206216.53"/>
    <n v="9747.24"/>
    <n v="22162.639999999999"/>
    <n v="15892.52"/>
    <n v="11438.46"/>
    <n v="265457.38999999996"/>
    <n v="157085.50999999998"/>
    <n v="97844.650000000023"/>
    <n v="0.26932039798069957"/>
    <s v="Paid"/>
    <x v="2"/>
    <x v="2"/>
    <x v="0"/>
  </r>
  <r>
    <x v="78"/>
    <s v="INV-00646"/>
    <x v="6"/>
    <x v="2"/>
    <x v="2"/>
    <s v="Ibadan"/>
    <s v="Amina"/>
    <s v="Retail"/>
    <n v="85"/>
    <n v="4230.99"/>
    <n v="359634.14999999997"/>
    <n v="24078.84"/>
    <x v="336"/>
    <n v="242881.09"/>
    <n v="9442.82"/>
    <n v="20752.46"/>
    <n v="17113.400000000001"/>
    <n v="9431.81"/>
    <n v="299621.58"/>
    <n v="92674.219999999943"/>
    <n v="35933.729999999923"/>
    <n v="0.1070873531996854"/>
    <s v="Paid"/>
    <x v="2"/>
    <x v="2"/>
    <x v="0"/>
  </r>
  <r>
    <x v="78"/>
    <s v="INV-00803"/>
    <x v="8"/>
    <x v="6"/>
    <x v="0"/>
    <s v="Port Harcourt"/>
    <s v="Samuel"/>
    <s v="Wholesale"/>
    <n v="168"/>
    <n v="358.2"/>
    <n v="60177.599999999999"/>
    <n v="4329.5"/>
    <x v="337"/>
    <n v="42830.559999999998"/>
    <n v="2309.5300000000002"/>
    <n v="3600.73"/>
    <n v="2792.78"/>
    <n v="1430.67"/>
    <n v="52964.27"/>
    <n v="13017.54"/>
    <n v="2883.8300000000017"/>
    <n v="5.1637029728853832E-2"/>
    <s v="Pending"/>
    <x v="2"/>
    <x v="2"/>
    <x v="0"/>
  </r>
  <r>
    <x v="78"/>
    <s v="INV-00088"/>
    <x v="4"/>
    <x v="9"/>
    <x v="4"/>
    <s v="Ibadan"/>
    <s v="Mary"/>
    <s v="Retail"/>
    <n v="102"/>
    <n v="1781.11"/>
    <n v="181673.22"/>
    <n v="10085.719999999999"/>
    <x v="338"/>
    <n v="121835.22"/>
    <n v="4697.8599999999997"/>
    <n v="10411.73"/>
    <n v="7670.52"/>
    <n v="3944.02"/>
    <n v="148559.34999999998"/>
    <n v="49752.28"/>
    <n v="23028.150000000023"/>
    <n v="0.13420645443286966"/>
    <s v="Paid"/>
    <x v="2"/>
    <x v="2"/>
    <x v="0"/>
  </r>
  <r>
    <x v="78"/>
    <s v="INV-00449"/>
    <x v="5"/>
    <x v="1"/>
    <x v="1"/>
    <s v="Ibadan"/>
    <s v="Emeka"/>
    <s v="Supermarket"/>
    <n v="74"/>
    <n v="4533.62"/>
    <n v="335487.88"/>
    <n v="23939.439999999999"/>
    <x v="339"/>
    <n v="234896.31"/>
    <n v="9667.76"/>
    <n v="18848.61"/>
    <n v="16164.78"/>
    <n v="8213.3700000000008"/>
    <n v="287790.83"/>
    <n v="76652.13"/>
    <n v="23757.609999999986"/>
    <n v="7.6256552592591981E-2"/>
    <s v="Paid"/>
    <x v="2"/>
    <x v="2"/>
    <x v="0"/>
  </r>
  <r>
    <x v="78"/>
    <s v="INV-01301"/>
    <x v="7"/>
    <x v="1"/>
    <x v="1"/>
    <s v="Abuja"/>
    <s v="Fatima"/>
    <s v="Retail"/>
    <n v="54"/>
    <n v="4198.7299999999996"/>
    <n v="226731.41999999998"/>
    <n v="15819.72"/>
    <x v="340"/>
    <n v="151014.39999999999"/>
    <n v="7659.52"/>
    <n v="13657.12"/>
    <n v="9462"/>
    <n v="4704.12"/>
    <n v="186497.15999999997"/>
    <n v="59897.299999999988"/>
    <n v="24414.540000000008"/>
    <n v="0.1157571628316495"/>
    <s v="Paid"/>
    <x v="2"/>
    <x v="2"/>
    <x v="0"/>
  </r>
  <r>
    <x v="79"/>
    <s v="INV-00200"/>
    <x v="11"/>
    <x v="9"/>
    <x v="4"/>
    <s v="Ibadan"/>
    <s v="Ibrahim"/>
    <s v="Retail"/>
    <n v="79"/>
    <n v="1804.44"/>
    <n v="142550.76"/>
    <n v="9792.26"/>
    <x v="341"/>
    <n v="89402.7"/>
    <n v="3712.81"/>
    <n v="9243.09"/>
    <n v="5746.53"/>
    <n v="4087.11"/>
    <n v="112192.23999999999"/>
    <n v="43355.8"/>
    <n v="20566.260000000009"/>
    <n v="0.15491482654594629"/>
    <s v="Paid"/>
    <x v="2"/>
    <x v="2"/>
    <x v="0"/>
  </r>
  <r>
    <x v="80"/>
    <s v="INV-00851"/>
    <x v="7"/>
    <x v="0"/>
    <x v="0"/>
    <s v="Lagos"/>
    <s v="Fatima"/>
    <s v="Wholesale"/>
    <n v="109"/>
    <n v="1171.81"/>
    <n v="127727.29"/>
    <n v="9673.24"/>
    <x v="342"/>
    <n v="69284.69"/>
    <n v="2988.86"/>
    <n v="8302.69"/>
    <n v="4649.6899999999996"/>
    <n v="3758.21"/>
    <n v="88984.140000000014"/>
    <n v="48769.359999999986"/>
    <n v="29069.909999999974"/>
    <n v="0.24624237796161993"/>
    <s v="Paid"/>
    <x v="2"/>
    <x v="2"/>
    <x v="0"/>
  </r>
  <r>
    <x v="80"/>
    <s v="INV-00071"/>
    <x v="5"/>
    <x v="7"/>
    <x v="5"/>
    <s v="Ibadan"/>
    <s v="Tunde"/>
    <s v="Supermarket"/>
    <n v="57"/>
    <n v="5267.34"/>
    <n v="300238.38"/>
    <n v="21891.1"/>
    <x v="343"/>
    <n v="203164.6"/>
    <n v="8838.61"/>
    <n v="20551.849999999999"/>
    <n v="12368.11"/>
    <n v="6230.51"/>
    <n v="251153.68000000005"/>
    <n v="75182.680000000022"/>
    <n v="27193.599999999977"/>
    <n v="9.7696661522972211E-2"/>
    <s v="Paid"/>
    <x v="2"/>
    <x v="2"/>
    <x v="0"/>
  </r>
  <r>
    <x v="81"/>
    <s v="INV-00525"/>
    <x v="10"/>
    <x v="3"/>
    <x v="3"/>
    <s v="Port Harcourt"/>
    <s v="Fatima"/>
    <s v="Supermarket"/>
    <n v="95"/>
    <n v="813.72"/>
    <n v="77303.400000000009"/>
    <n v="5808.21"/>
    <x v="344"/>
    <n v="48363.48"/>
    <n v="2774.2"/>
    <n v="5022.3500000000004"/>
    <n v="2555.36"/>
    <n v="2234.13"/>
    <n v="60949.52"/>
    <n v="23131.71"/>
    <n v="10545.670000000006"/>
    <n v="0.14750181096098919"/>
    <s v="Paid"/>
    <x v="2"/>
    <x v="2"/>
    <x v="0"/>
  </r>
  <r>
    <x v="81"/>
    <s v="INV-01274"/>
    <x v="10"/>
    <x v="11"/>
    <x v="1"/>
    <s v="Lagos"/>
    <s v="Samuel"/>
    <s v="Wholesale"/>
    <n v="83"/>
    <n v="6506.02"/>
    <n v="539999.66"/>
    <n v="38726.910000000003"/>
    <x v="345"/>
    <n v="287473.87"/>
    <n v="14067.07"/>
    <n v="29444"/>
    <n v="21151.119999999999"/>
    <n v="14637.45"/>
    <n v="366773.51"/>
    <n v="213798.88"/>
    <n v="134499.24"/>
    <n v="0.26831548293818086"/>
    <s v="Paid"/>
    <x v="2"/>
    <x v="2"/>
    <x v="0"/>
  </r>
  <r>
    <x v="81"/>
    <s v="INV-00570"/>
    <x v="9"/>
    <x v="2"/>
    <x v="2"/>
    <s v="Abuja"/>
    <s v="Ibrahim"/>
    <s v="Wholesale"/>
    <n v="32"/>
    <n v="4457.33"/>
    <n v="142634.56"/>
    <n v="9793.51"/>
    <x v="346"/>
    <n v="96277.11"/>
    <n v="4414.6099999999997"/>
    <n v="9040.06"/>
    <n v="7035.54"/>
    <n v="2729.49"/>
    <n v="119496.81"/>
    <n v="36563.939999999988"/>
    <n v="13344.239999999991"/>
    <n v="0.10045268386541654"/>
    <s v="Paid"/>
    <x v="2"/>
    <x v="2"/>
    <x v="0"/>
  </r>
  <r>
    <x v="82"/>
    <s v="INV-00813"/>
    <x v="6"/>
    <x v="3"/>
    <x v="3"/>
    <s v="Port Harcourt"/>
    <s v="Tunde"/>
    <s v="Wholesale"/>
    <n v="70"/>
    <n v="802.98"/>
    <n v="56208.6"/>
    <n v="4224.05"/>
    <x v="347"/>
    <n v="35318.03"/>
    <n v="2100.94"/>
    <n v="3498.55"/>
    <n v="2504.5100000000002"/>
    <n v="1434.92"/>
    <n v="44856.950000000004"/>
    <n v="16666.519999999997"/>
    <n v="7127.5999999999913"/>
    <n v="0.13710996825018187"/>
    <s v="Paid"/>
    <x v="2"/>
    <x v="2"/>
    <x v="0"/>
  </r>
  <r>
    <x v="82"/>
    <s v="INV-00007"/>
    <x v="10"/>
    <x v="6"/>
    <x v="0"/>
    <s v="Lagos"/>
    <s v="Mary"/>
    <s v="Wholesale"/>
    <n v="174"/>
    <n v="360.22"/>
    <n v="62678.280000000006"/>
    <n v="5681.89"/>
    <x v="348"/>
    <n v="45248.01"/>
    <n v="1359.52"/>
    <n v="3321.73"/>
    <n v="2773.21"/>
    <n v="1720.02"/>
    <n v="54422.49"/>
    <n v="11748.380000000005"/>
    <n v="2573.9000000000087"/>
    <n v="4.5159000420903997E-2"/>
    <s v="Paid"/>
    <x v="2"/>
    <x v="2"/>
    <x v="0"/>
  </r>
  <r>
    <x v="82"/>
    <s v="INV-01061"/>
    <x v="1"/>
    <x v="7"/>
    <x v="5"/>
    <s v="Abuja"/>
    <s v="Samuel"/>
    <s v="Wholesale"/>
    <n v="53"/>
    <n v="5372.38"/>
    <n v="284736.14"/>
    <n v="21334.04"/>
    <x v="349"/>
    <n v="196907.08"/>
    <n v="8718.07"/>
    <n v="17738.150000000001"/>
    <n v="14174.54"/>
    <n v="5732.87"/>
    <n v="243270.71"/>
    <n v="66495.020000000048"/>
    <n v="20131.390000000043"/>
    <n v="7.6428358012331873E-2"/>
    <s v="Paid"/>
    <x v="2"/>
    <x v="2"/>
    <x v="0"/>
  </r>
  <r>
    <x v="82"/>
    <s v="INV-01280"/>
    <x v="2"/>
    <x v="9"/>
    <x v="4"/>
    <s v="Port Harcourt"/>
    <s v="Ibrahim"/>
    <s v="Supermarket"/>
    <n v="86"/>
    <n v="1882.4"/>
    <n v="161886.39999999999"/>
    <n v="10678.49"/>
    <x v="350"/>
    <n v="108954.92"/>
    <n v="6759.8"/>
    <n v="9136.33"/>
    <n v="8227.19"/>
    <n v="3181.93"/>
    <n v="136260.16999999998"/>
    <n v="42252.990000000005"/>
    <n v="14947.74000000002"/>
    <n v="9.8855542676305891E-2"/>
    <s v="Paid"/>
    <x v="2"/>
    <x v="2"/>
    <x v="0"/>
  </r>
  <r>
    <x v="82"/>
    <s v="INV-01326"/>
    <x v="1"/>
    <x v="0"/>
    <x v="0"/>
    <s v="Abuja"/>
    <s v="Fatima"/>
    <s v="Retail"/>
    <n v="43"/>
    <n v="1107.81"/>
    <n v="47635.829999999994"/>
    <n v="3823.87"/>
    <x v="351"/>
    <n v="26487.01"/>
    <n v="1607.35"/>
    <n v="3100.04"/>
    <n v="2397.9499999999998"/>
    <n v="1293.52"/>
    <n v="34885.869999999995"/>
    <n v="17324.949999999993"/>
    <n v="8926.0899999999965"/>
    <n v="0.20373637700755681"/>
    <s v="Pending"/>
    <x v="2"/>
    <x v="2"/>
    <x v="0"/>
  </r>
  <r>
    <x v="83"/>
    <s v="INV-00962"/>
    <x v="1"/>
    <x v="10"/>
    <x v="5"/>
    <s v="Port Harcourt"/>
    <s v="Fatima"/>
    <s v="Wholesale"/>
    <n v="70"/>
    <n v="6985.12"/>
    <n v="488958.39999999997"/>
    <n v="45553.23"/>
    <x v="352"/>
    <n v="277554.21000000002"/>
    <n v="20090.560000000001"/>
    <n v="30412.880000000001"/>
    <n v="21615.58"/>
    <n v="9489.9"/>
    <n v="359163.13000000006"/>
    <n v="165850.95999999996"/>
    <n v="84242.039999999921"/>
    <n v="0.18998885376099681"/>
    <s v="Paid"/>
    <x v="2"/>
    <x v="2"/>
    <x v="0"/>
  </r>
  <r>
    <x v="83"/>
    <s v="INV-01164"/>
    <x v="9"/>
    <x v="2"/>
    <x v="2"/>
    <s v="Lagos"/>
    <s v="Samuel"/>
    <s v="Retail"/>
    <n v="75"/>
    <n v="4253.16"/>
    <n v="318987"/>
    <n v="26748.87"/>
    <x v="353"/>
    <n v="213931.58"/>
    <n v="8181.07"/>
    <n v="20337.2"/>
    <n v="16003.67"/>
    <n v="5926.52"/>
    <n v="264380.04000000004"/>
    <n v="78306.550000000017"/>
    <n v="27858.089999999967"/>
    <n v="9.5326677596793988E-2"/>
    <s v="Paid"/>
    <x v="2"/>
    <x v="2"/>
    <x v="0"/>
  </r>
  <r>
    <x v="84"/>
    <s v="INV-00054"/>
    <x v="5"/>
    <x v="7"/>
    <x v="5"/>
    <s v="Abuja"/>
    <s v="Tunde"/>
    <s v="Wholesale"/>
    <n v="59"/>
    <n v="5478.02"/>
    <n v="323203.18000000005"/>
    <n v="24515.68"/>
    <x v="354"/>
    <n v="222755.3"/>
    <n v="10553.14"/>
    <n v="22139.93"/>
    <n v="13289.09"/>
    <n v="5974.63"/>
    <n v="274712.09000000003"/>
    <n v="75932.20000000007"/>
    <n v="23975.410000000033"/>
    <n v="8.0269211132036083E-2"/>
    <s v="Paid"/>
    <x v="2"/>
    <x v="2"/>
    <x v="0"/>
  </r>
  <r>
    <x v="84"/>
    <s v="INV-01294"/>
    <x v="6"/>
    <x v="1"/>
    <x v="1"/>
    <s v="Port Harcourt"/>
    <s v="Ibrahim"/>
    <s v="Wholesale"/>
    <n v="54"/>
    <n v="4295.12"/>
    <n v="231936.47999999998"/>
    <n v="17391.04"/>
    <x v="355"/>
    <n v="155948.24"/>
    <n v="8523.7999999999993"/>
    <n v="13847.55"/>
    <n v="10215.19"/>
    <n v="6630.21"/>
    <n v="195164.98999999996"/>
    <n v="58597.199999999983"/>
    <n v="19380.450000000012"/>
    <n v="9.0332612056448339E-2"/>
    <s v="Paid"/>
    <x v="2"/>
    <x v="2"/>
    <x v="0"/>
  </r>
  <r>
    <x v="84"/>
    <s v="INV-00748"/>
    <x v="10"/>
    <x v="8"/>
    <x v="2"/>
    <s v="Lagos"/>
    <s v="Tunde"/>
    <s v="Wholesale"/>
    <n v="72"/>
    <n v="6533.31"/>
    <n v="470398.32"/>
    <n v="35628.15"/>
    <x v="356"/>
    <n v="251047.93"/>
    <n v="12036.87"/>
    <n v="29207.97"/>
    <n v="19936.669999999998"/>
    <n v="12001.83"/>
    <n v="324231.27"/>
    <n v="183722.23999999999"/>
    <n v="110538.89999999997"/>
    <n v="0.25424674374509171"/>
    <s v="Paid"/>
    <x v="2"/>
    <x v="2"/>
    <x v="0"/>
  </r>
  <r>
    <x v="85"/>
    <s v="INV-01052"/>
    <x v="1"/>
    <x v="6"/>
    <x v="0"/>
    <s v="Lagos"/>
    <s v="Samuel"/>
    <s v="Supermarket"/>
    <n v="160"/>
    <n v="368.26"/>
    <n v="58921.599999999999"/>
    <n v="3984.45"/>
    <x v="357"/>
    <n v="42213.06"/>
    <n v="1552.73"/>
    <n v="3121.66"/>
    <n v="2967.53"/>
    <n v="1660.94"/>
    <n v="51515.92"/>
    <n v="12724.090000000004"/>
    <n v="3421.2300000000032"/>
    <n v="6.2275345553964905E-2"/>
    <s v="Paid"/>
    <x v="2"/>
    <x v="2"/>
    <x v="0"/>
  </r>
  <r>
    <x v="85"/>
    <s v="INV-00683"/>
    <x v="2"/>
    <x v="6"/>
    <x v="0"/>
    <s v="Lagos"/>
    <s v="Daniel"/>
    <s v="Wholesale"/>
    <n v="82"/>
    <n v="358.14"/>
    <n v="29367.48"/>
    <n v="2478.31"/>
    <x v="358"/>
    <n v="20750.96"/>
    <n v="749.2"/>
    <n v="1488.22"/>
    <n v="1448.71"/>
    <n v="653.88"/>
    <n v="25090.97"/>
    <n v="6138.2099999999991"/>
    <n v="1798.1999999999971"/>
    <n v="6.6874507468992053E-2"/>
    <s v="Paid"/>
    <x v="2"/>
    <x v="2"/>
    <x v="0"/>
  </r>
  <r>
    <x v="86"/>
    <s v="INV-01189"/>
    <x v="10"/>
    <x v="1"/>
    <x v="1"/>
    <s v="Port Harcourt"/>
    <s v="Fatima"/>
    <s v="Wholesale"/>
    <n v="75"/>
    <n v="4358.82"/>
    <n v="326911.5"/>
    <n v="24645.119999999999"/>
    <x v="359"/>
    <n v="226693.11"/>
    <n v="13432.18"/>
    <n v="20825.72"/>
    <n v="16305.4"/>
    <n v="8634.9"/>
    <n v="285891.31"/>
    <n v="75573.270000000019"/>
    <n v="16375.070000000007"/>
    <n v="5.4174301488640608E-2"/>
    <s v="Pending"/>
    <x v="2"/>
    <x v="2"/>
    <x v="0"/>
  </r>
  <r>
    <x v="86"/>
    <s v="INV-00633"/>
    <x v="11"/>
    <x v="3"/>
    <x v="3"/>
    <s v="Lagos"/>
    <s v="Emeka"/>
    <s v="Wholesale"/>
    <n v="78"/>
    <n v="792.67"/>
    <n v="61828.259999999995"/>
    <n v="4515.6899999999996"/>
    <x v="360"/>
    <n v="39573.949999999997"/>
    <n v="1432.66"/>
    <n v="3649.14"/>
    <n v="2565.14"/>
    <n v="1358.15"/>
    <n v="48579.040000000001"/>
    <n v="17738.619999999995"/>
    <n v="8733.5299999999916"/>
    <n v="0.15238419774231016"/>
    <s v="Paid"/>
    <x v="2"/>
    <x v="2"/>
    <x v="0"/>
  </r>
  <r>
    <x v="86"/>
    <s v="INV-00587"/>
    <x v="9"/>
    <x v="11"/>
    <x v="1"/>
    <s v="Ibadan"/>
    <s v="Amina"/>
    <s v="Wholesale"/>
    <n v="81"/>
    <n v="6560.22"/>
    <n v="531377.82000000007"/>
    <n v="44679.95"/>
    <x v="361"/>
    <n v="281088.96000000002"/>
    <n v="15171.23"/>
    <n v="28371.64"/>
    <n v="25640.799999999999"/>
    <n v="11724.6"/>
    <n v="361997.23"/>
    <n v="205608.91000000003"/>
    <n v="124700.64000000007"/>
    <n v="0.25621776401035012"/>
    <s v="Paid"/>
    <x v="2"/>
    <x v="2"/>
    <x v="0"/>
  </r>
  <r>
    <x v="86"/>
    <s v="INV-00265"/>
    <x v="5"/>
    <x v="0"/>
    <x v="0"/>
    <s v="Lagos"/>
    <s v="Daniel"/>
    <s v="Supermarket"/>
    <n v="63"/>
    <n v="1185.76"/>
    <n v="74702.880000000005"/>
    <n v="4672.82"/>
    <x v="362"/>
    <n v="40503"/>
    <n v="1777.02"/>
    <n v="4081.46"/>
    <n v="3809.15"/>
    <n v="1541.05"/>
    <n v="51711.68"/>
    <n v="29527.059999999998"/>
    <n v="18318.379999999997"/>
    <n v="0.26157881344097089"/>
    <s v="Paid"/>
    <x v="2"/>
    <x v="2"/>
    <x v="0"/>
  </r>
  <r>
    <x v="86"/>
    <s v="INV-00688"/>
    <x v="2"/>
    <x v="3"/>
    <x v="3"/>
    <s v="Lagos"/>
    <s v="Daniel"/>
    <s v="Wholesale"/>
    <n v="90"/>
    <n v="813.32"/>
    <n v="73198.8"/>
    <n v="6182.57"/>
    <x v="363"/>
    <n v="44445"/>
    <n v="1853.33"/>
    <n v="5016.43"/>
    <n v="3048.8"/>
    <n v="1558.38"/>
    <n v="55921.94"/>
    <n v="22571.23000000001"/>
    <n v="11094.290000000008"/>
    <n v="0.16554631616848645"/>
    <s v="Pending"/>
    <x v="2"/>
    <x v="2"/>
    <x v="0"/>
  </r>
  <r>
    <x v="86"/>
    <s v="INV-00326"/>
    <x v="6"/>
    <x v="0"/>
    <x v="0"/>
    <s v="Abuja"/>
    <s v="Daniel"/>
    <s v="Retail"/>
    <n v="114"/>
    <n v="1145.07"/>
    <n v="130537.98"/>
    <n v="9880.6"/>
    <x v="364"/>
    <n v="72750.48"/>
    <n v="4318.47"/>
    <n v="7240.55"/>
    <n v="4462.3500000000004"/>
    <n v="3763.87"/>
    <n v="92535.72"/>
    <n v="47906.899999999994"/>
    <n v="28121.659999999989"/>
    <n v="0.23307036834381778"/>
    <s v="Paid"/>
    <x v="2"/>
    <x v="2"/>
    <x v="0"/>
  </r>
  <r>
    <x v="87"/>
    <s v="INV-01156"/>
    <x v="10"/>
    <x v="1"/>
    <x v="1"/>
    <s v="Abuja"/>
    <s v="Emeka"/>
    <s v="Distributor"/>
    <n v="40"/>
    <n v="4220.7"/>
    <n v="168828"/>
    <n v="16640.25"/>
    <x v="365"/>
    <n v="114548.48"/>
    <n v="5082.04"/>
    <n v="10599.83"/>
    <n v="7068.11"/>
    <n v="4138.24"/>
    <n v="141436.69999999998"/>
    <n v="37639.270000000004"/>
    <n v="10751.050000000017"/>
    <n v="7.064333364544792E-2"/>
    <s v="Paid"/>
    <x v="3"/>
    <x v="3"/>
    <x v="0"/>
  </r>
  <r>
    <x v="87"/>
    <s v="INV-00963"/>
    <x v="10"/>
    <x v="9"/>
    <x v="4"/>
    <s v="Lagos"/>
    <s v="Daniel"/>
    <s v="Wholesale"/>
    <n v="76"/>
    <n v="1921.72"/>
    <n v="146050.72"/>
    <n v="11911.04"/>
    <x v="366"/>
    <n v="91792.74"/>
    <n v="3640.87"/>
    <n v="8742.1299999999992"/>
    <n v="6250.26"/>
    <n v="2930.97"/>
    <n v="113356.97"/>
    <n v="42346.939999999988"/>
    <n v="20782.709999999992"/>
    <n v="0.1549333500721039"/>
    <s v="Paid"/>
    <x v="3"/>
    <x v="3"/>
    <x v="0"/>
  </r>
  <r>
    <x v="87"/>
    <s v="INV-01305"/>
    <x v="0"/>
    <x v="2"/>
    <x v="2"/>
    <s v="Lagos"/>
    <s v="Amina"/>
    <s v="Distributor"/>
    <n v="85"/>
    <n v="4327.7299999999996"/>
    <n v="367857.05"/>
    <n v="32009.94"/>
    <x v="367"/>
    <n v="246342.31"/>
    <n v="8106.02"/>
    <n v="20148.34"/>
    <n v="16669.59"/>
    <n v="8378.23"/>
    <n v="299644.49"/>
    <n v="89504.799999999988"/>
    <n v="36202.619999999995"/>
    <n v="0.10779494276428342"/>
    <s v="Paid"/>
    <x v="3"/>
    <x v="3"/>
    <x v="0"/>
  </r>
  <r>
    <x v="87"/>
    <s v="INV-01210"/>
    <x v="0"/>
    <x v="6"/>
    <x v="0"/>
    <s v="Lagos"/>
    <s v="Fatima"/>
    <s v="Supermarket"/>
    <n v="106"/>
    <n v="357.04"/>
    <n v="37846.240000000005"/>
    <n v="2708.75"/>
    <x v="368"/>
    <n v="27475.87"/>
    <n v="911.66"/>
    <n v="2313.34"/>
    <n v="1522.2"/>
    <n v="712.6"/>
    <n v="32935.67"/>
    <n v="7661.6200000000063"/>
    <n v="2201.820000000007"/>
    <n v="6.2662984749337722E-2"/>
    <s v="Paid"/>
    <x v="3"/>
    <x v="3"/>
    <x v="0"/>
  </r>
  <r>
    <x v="87"/>
    <s v="INV-01367"/>
    <x v="5"/>
    <x v="6"/>
    <x v="0"/>
    <s v="Lagos"/>
    <s v="Amina"/>
    <s v="Wholesale"/>
    <n v="114"/>
    <n v="375.28"/>
    <n v="42781.919999999998"/>
    <n v="3637.03"/>
    <x v="369"/>
    <n v="31282.12"/>
    <n v="1097.47"/>
    <n v="2809.65"/>
    <n v="1548.59"/>
    <n v="882.65"/>
    <n v="37620.479999999996"/>
    <n v="7862.77"/>
    <n v="1524.4100000000035"/>
    <n v="3.8942758556736359E-2"/>
    <s v="Paid"/>
    <x v="3"/>
    <x v="3"/>
    <x v="0"/>
  </r>
  <r>
    <x v="88"/>
    <s v="INV-01000"/>
    <x v="10"/>
    <x v="0"/>
    <x v="0"/>
    <s v="Abuja"/>
    <s v="Mary"/>
    <s v="Retail"/>
    <n v="60"/>
    <n v="1137.47"/>
    <n v="68248.2"/>
    <n v="5527.11"/>
    <x v="370"/>
    <n v="37076.769999999997"/>
    <n v="2368.96"/>
    <n v="4057.64"/>
    <n v="2410.64"/>
    <n v="1652.47"/>
    <n v="47566.479999999996"/>
    <n v="25644.32"/>
    <n v="15154.61"/>
    <n v="0.24161904711796306"/>
    <s v="Paid"/>
    <x v="3"/>
    <x v="3"/>
    <x v="0"/>
  </r>
  <r>
    <x v="88"/>
    <s v="INV-00323"/>
    <x v="5"/>
    <x v="2"/>
    <x v="2"/>
    <s v="Port Harcourt"/>
    <s v="Amina"/>
    <s v="Supermarket"/>
    <n v="56"/>
    <n v="4522.26"/>
    <n v="253246.56"/>
    <n v="20372.13"/>
    <x v="371"/>
    <n v="161381.07999999999"/>
    <n v="10544.45"/>
    <n v="15683.59"/>
    <n v="10849.96"/>
    <n v="6050.66"/>
    <n v="204509.74"/>
    <n v="71493.350000000006"/>
    <n v="28364.690000000002"/>
    <n v="0.12180250961859575"/>
    <s v="Pending"/>
    <x v="3"/>
    <x v="3"/>
    <x v="0"/>
  </r>
  <r>
    <x v="89"/>
    <s v="INV-00913"/>
    <x v="4"/>
    <x v="7"/>
    <x v="5"/>
    <s v="Port Harcourt"/>
    <s v="Tunde"/>
    <s v="Retail"/>
    <n v="30"/>
    <n v="5615.04"/>
    <n v="168451.20000000001"/>
    <n v="9975.5499999999993"/>
    <x v="372"/>
    <n v="119336.4"/>
    <n v="7230.91"/>
    <n v="8752.8700000000008"/>
    <n v="8007.69"/>
    <n v="4907.8500000000004"/>
    <n v="148235.72"/>
    <n v="39139.250000000029"/>
    <n v="10239.930000000022"/>
    <n v="6.4615163275872481E-2"/>
    <s v="Paid"/>
    <x v="3"/>
    <x v="3"/>
    <x v="0"/>
  </r>
  <r>
    <x v="90"/>
    <s v="INV-01313"/>
    <x v="8"/>
    <x v="6"/>
    <x v="0"/>
    <s v="Lagos"/>
    <s v="Ibrahim"/>
    <s v="Wholesale"/>
    <n v="72"/>
    <n v="359.81"/>
    <n v="25906.32"/>
    <n v="1705.85"/>
    <x v="373"/>
    <n v="18722.54"/>
    <n v="594.9"/>
    <n v="1474"/>
    <n v="861.91"/>
    <n v="694.65"/>
    <n v="22348.000000000004"/>
    <n v="5477.93"/>
    <n v="1852.4699999999975"/>
    <n v="7.6546860453536536E-2"/>
    <s v="Paid"/>
    <x v="3"/>
    <x v="3"/>
    <x v="0"/>
  </r>
  <r>
    <x v="90"/>
    <s v="INV-00668"/>
    <x v="11"/>
    <x v="10"/>
    <x v="5"/>
    <s v="Lagos"/>
    <s v="Emeka"/>
    <s v="Wholesale"/>
    <n v="58"/>
    <n v="6967.5"/>
    <n v="404115"/>
    <n v="37394.94"/>
    <x v="374"/>
    <n v="230004.81"/>
    <n v="10004.200000000001"/>
    <n v="22161.47"/>
    <n v="13916.04"/>
    <n v="7560.96"/>
    <n v="283647.48"/>
    <n v="136715.25"/>
    <n v="83072.580000000016"/>
    <n v="0.22652859513602833"/>
    <s v="Paid"/>
    <x v="3"/>
    <x v="3"/>
    <x v="0"/>
  </r>
  <r>
    <x v="90"/>
    <s v="INV-00966"/>
    <x v="1"/>
    <x v="5"/>
    <x v="3"/>
    <s v="Lagos"/>
    <s v="Ibrahim"/>
    <s v="Wholesale"/>
    <n v="52"/>
    <n v="1511.67"/>
    <n v="78606.84"/>
    <n v="6274.64"/>
    <x v="375"/>
    <n v="38495.65"/>
    <n v="1778.46"/>
    <n v="4201.63"/>
    <n v="3684.31"/>
    <n v="1468.55"/>
    <n v="49628.6"/>
    <n v="33836.549999999996"/>
    <n v="22703.599999999999"/>
    <n v="0.31387957230666286"/>
    <s v="Paid"/>
    <x v="3"/>
    <x v="3"/>
    <x v="0"/>
  </r>
  <r>
    <x v="91"/>
    <s v="INV-01168"/>
    <x v="4"/>
    <x v="1"/>
    <x v="1"/>
    <s v="Abuja"/>
    <s v="Emeka"/>
    <s v="Wholesale"/>
    <n v="61"/>
    <n v="4274.57"/>
    <n v="260748.77"/>
    <n v="24052.18"/>
    <x v="376"/>
    <n v="169956.75"/>
    <n v="7730.76"/>
    <n v="17210.349999999999"/>
    <n v="8611.77"/>
    <n v="6412.5"/>
    <n v="209922.13"/>
    <n v="66739.839999999997"/>
    <n v="26774.459999999992"/>
    <n v="0.11311721896796229"/>
    <s v="Pending"/>
    <x v="3"/>
    <x v="3"/>
    <x v="0"/>
  </r>
  <r>
    <x v="91"/>
    <s v="INV-01402"/>
    <x v="0"/>
    <x v="6"/>
    <x v="0"/>
    <s v="Lagos"/>
    <s v="Emeka"/>
    <s v="Distributor"/>
    <n v="108"/>
    <n v="364.7"/>
    <n v="39387.599999999999"/>
    <n v="2960.5"/>
    <x v="377"/>
    <n v="29439.71"/>
    <n v="864.66"/>
    <n v="2043.28"/>
    <n v="1980.86"/>
    <n v="802.82"/>
    <n v="35131.329999999994"/>
    <n v="6987.3899999999994"/>
    <n v="1295.7700000000041"/>
    <n v="3.5571593676136833E-2"/>
    <s v="Paid"/>
    <x v="3"/>
    <x v="3"/>
    <x v="0"/>
  </r>
  <r>
    <x v="92"/>
    <s v="INV-00681"/>
    <x v="6"/>
    <x v="9"/>
    <x v="4"/>
    <s v="Ibadan"/>
    <s v="Daniel"/>
    <s v="Retail"/>
    <n v="106"/>
    <n v="1961.88"/>
    <n v="207959.28"/>
    <n v="15071.68"/>
    <x v="378"/>
    <n v="137724.60999999999"/>
    <n v="6158.22"/>
    <n v="12279.21"/>
    <n v="8016.31"/>
    <n v="5436.37"/>
    <n v="169614.71999999997"/>
    <n v="55162.99000000002"/>
    <n v="23272.880000000034"/>
    <n v="0.12065513801820352"/>
    <s v="Paid"/>
    <x v="3"/>
    <x v="3"/>
    <x v="0"/>
  </r>
  <r>
    <x v="93"/>
    <s v="INV-01387"/>
    <x v="7"/>
    <x v="6"/>
    <x v="0"/>
    <s v="Ibadan"/>
    <s v="Ibrahim"/>
    <s v="Retail"/>
    <n v="126"/>
    <n v="373.7"/>
    <n v="47086.2"/>
    <n v="3890.37"/>
    <x v="379"/>
    <n v="34970.65"/>
    <n v="1187.51"/>
    <n v="2857.94"/>
    <n v="1832.31"/>
    <n v="1298.49"/>
    <n v="42146.9"/>
    <n v="8225.179999999993"/>
    <n v="1048.929999999993"/>
    <n v="2.4283131033713049E-2"/>
    <s v="Paid"/>
    <x v="3"/>
    <x v="3"/>
    <x v="0"/>
  </r>
  <r>
    <x v="93"/>
    <s v="INV-00391"/>
    <x v="4"/>
    <x v="6"/>
    <x v="0"/>
    <s v="Ibadan"/>
    <s v="Mary"/>
    <s v="Retail"/>
    <n v="160"/>
    <n v="352.56"/>
    <n v="56409.599999999999"/>
    <n v="4275.7"/>
    <x v="380"/>
    <n v="41294.949999999997"/>
    <n v="1612.89"/>
    <n v="3780.17"/>
    <n v="2742.17"/>
    <n v="1615.75"/>
    <n v="51045.929999999993"/>
    <n v="10838.950000000004"/>
    <n v="1087.9700000000084"/>
    <n v="2.08687629354414E-2"/>
    <s v="Paid"/>
    <x v="3"/>
    <x v="3"/>
    <x v="0"/>
  </r>
  <r>
    <x v="93"/>
    <s v="INV-00001"/>
    <x v="3"/>
    <x v="10"/>
    <x v="5"/>
    <s v="Ibadan"/>
    <s v="Ibrahim"/>
    <s v="Distributor"/>
    <n v="70"/>
    <n v="7106.97"/>
    <n v="497487.9"/>
    <n v="44997.99"/>
    <x v="381"/>
    <n v="280203.11"/>
    <n v="13558.38"/>
    <n v="28258.880000000001"/>
    <n v="20057.8"/>
    <n v="13429.71"/>
    <n v="355507.88"/>
    <n v="172286.80000000005"/>
    <n v="96982.030000000028"/>
    <n v="0.21432970737402746"/>
    <s v="Paid"/>
    <x v="3"/>
    <x v="3"/>
    <x v="0"/>
  </r>
  <r>
    <x v="93"/>
    <s v="INV-00710"/>
    <x v="4"/>
    <x v="9"/>
    <x v="4"/>
    <s v="Lagos"/>
    <s v="Daniel"/>
    <s v="Distributor"/>
    <n v="40"/>
    <n v="1817.36"/>
    <n v="72694.399999999994"/>
    <n v="6067.27"/>
    <x v="382"/>
    <n v="47240.45"/>
    <n v="1630"/>
    <n v="3738.42"/>
    <n v="3089.07"/>
    <n v="1874.08"/>
    <n v="57572.02"/>
    <n v="19386.679999999993"/>
    <n v="9055.1099999999933"/>
    <n v="0.13590724979449054"/>
    <s v="Paid"/>
    <x v="3"/>
    <x v="3"/>
    <x v="0"/>
  </r>
  <r>
    <x v="93"/>
    <s v="INV-01127"/>
    <x v="9"/>
    <x v="9"/>
    <x v="4"/>
    <s v="Lagos"/>
    <s v="Samuel"/>
    <s v="Wholesale"/>
    <n v="81"/>
    <n v="1885.08"/>
    <n v="152691.47999999998"/>
    <n v="11166.02"/>
    <x v="383"/>
    <n v="101600.37"/>
    <n v="3784.43"/>
    <n v="8505.3799999999992"/>
    <n v="7241.62"/>
    <n v="3826.91"/>
    <n v="124958.70999999999"/>
    <n v="39925.089999999997"/>
    <n v="16566.75"/>
    <n v="0.11705844305328526"/>
    <s v="Paid"/>
    <x v="3"/>
    <x v="3"/>
    <x v="0"/>
  </r>
  <r>
    <x v="93"/>
    <s v="INV-00949"/>
    <x v="1"/>
    <x v="0"/>
    <x v="0"/>
    <s v="Lagos"/>
    <s v="Emeka"/>
    <s v="Wholesale"/>
    <n v="100"/>
    <n v="1176.42"/>
    <n v="117642"/>
    <n v="10000.89"/>
    <x v="384"/>
    <n v="63919.5"/>
    <n v="3049.18"/>
    <n v="7102.54"/>
    <n v="5890.68"/>
    <n v="2674.69"/>
    <n v="82636.59"/>
    <n v="43721.61"/>
    <n v="25004.520000000004"/>
    <n v="0.23229526339890033"/>
    <s v="Paid"/>
    <x v="3"/>
    <x v="3"/>
    <x v="0"/>
  </r>
  <r>
    <x v="94"/>
    <s v="INV-01139"/>
    <x v="8"/>
    <x v="7"/>
    <x v="5"/>
    <s v="Lagos"/>
    <s v="Amina"/>
    <s v="Distributor"/>
    <n v="67"/>
    <n v="5654.84"/>
    <n v="378874.28"/>
    <n v="28183.37"/>
    <x v="385"/>
    <n v="257138.73"/>
    <n v="8212.0300000000007"/>
    <n v="25291.02"/>
    <n v="14423.93"/>
    <n v="10009.31"/>
    <n v="315075.02"/>
    <n v="93552.180000000022"/>
    <n v="35615.890000000014"/>
    <n v="0.10155920494203859"/>
    <s v="Paid"/>
    <x v="3"/>
    <x v="3"/>
    <x v="0"/>
  </r>
  <r>
    <x v="94"/>
    <s v="INV-01259"/>
    <x v="7"/>
    <x v="3"/>
    <x v="3"/>
    <s v="Lagos"/>
    <s v="Fatima"/>
    <s v="Retail"/>
    <n v="57"/>
    <n v="808.24"/>
    <n v="46069.68"/>
    <n v="3508.1"/>
    <x v="386"/>
    <n v="28777.24"/>
    <n v="1135.68"/>
    <n v="3138.71"/>
    <n v="1857.82"/>
    <n v="1018.7"/>
    <n v="35928.15"/>
    <n v="13784.34"/>
    <n v="6633.43"/>
    <n v="0.15585488132724395"/>
    <s v="Pending"/>
    <x v="3"/>
    <x v="3"/>
    <x v="0"/>
  </r>
  <r>
    <x v="94"/>
    <s v="INV-00364"/>
    <x v="11"/>
    <x v="6"/>
    <x v="0"/>
    <s v="Abuja"/>
    <s v="Tunde"/>
    <s v="Retail"/>
    <n v="75"/>
    <n v="358.5"/>
    <n v="26887.5"/>
    <n v="1755.32"/>
    <x v="387"/>
    <n v="20075.95"/>
    <n v="924.36"/>
    <n v="1873.3"/>
    <n v="1257.18"/>
    <n v="597.91999999999996"/>
    <n v="24728.71"/>
    <n v="5056.2299999999996"/>
    <n v="403.47000000000116"/>
    <n v="1.6053919715679307E-2"/>
    <s v="Paid"/>
    <x v="3"/>
    <x v="3"/>
    <x v="0"/>
  </r>
  <r>
    <x v="94"/>
    <s v="INV-00143"/>
    <x v="2"/>
    <x v="6"/>
    <x v="0"/>
    <s v="Lagos"/>
    <s v="Emeka"/>
    <s v="Retail"/>
    <n v="184"/>
    <n v="357.09"/>
    <n v="65704.56"/>
    <n v="5533.73"/>
    <x v="388"/>
    <n v="47574.26"/>
    <n v="1517.4"/>
    <n v="3592.95"/>
    <n v="2181.2800000000002"/>
    <n v="1528.76"/>
    <n v="56394.65"/>
    <n v="12596.57"/>
    <n v="3776.1800000000003"/>
    <n v="6.2757651838939235E-2"/>
    <s v="Paid"/>
    <x v="3"/>
    <x v="3"/>
    <x v="0"/>
  </r>
  <r>
    <x v="94"/>
    <s v="INV-00268"/>
    <x v="9"/>
    <x v="11"/>
    <x v="1"/>
    <s v="Port Harcourt"/>
    <s v="Daniel"/>
    <s v="Distributor"/>
    <n v="52"/>
    <n v="6349.15"/>
    <n v="330155.8"/>
    <n v="30399.11"/>
    <x v="389"/>
    <n v="174096.3"/>
    <n v="12490.05"/>
    <n v="20544.3"/>
    <n v="14932.3"/>
    <n v="7937.49"/>
    <n v="230000.43999999994"/>
    <n v="125660.39000000001"/>
    <n v="69756.250000000058"/>
    <n v="0.23270956855041353"/>
    <s v="Paid"/>
    <x v="3"/>
    <x v="3"/>
    <x v="0"/>
  </r>
  <r>
    <x v="95"/>
    <s v="INV-00793"/>
    <x v="1"/>
    <x v="1"/>
    <x v="1"/>
    <s v="Abuja"/>
    <s v="Emeka"/>
    <s v="Wholesale"/>
    <n v="73"/>
    <n v="4331.1400000000003"/>
    <n v="316173.22000000003"/>
    <n v="25131.99"/>
    <x v="390"/>
    <n v="206806.16"/>
    <n v="9430.9500000000007"/>
    <n v="19784.91"/>
    <n v="11016"/>
    <n v="8151.43"/>
    <n v="255189.45"/>
    <n v="84235.070000000036"/>
    <n v="35851.780000000028"/>
    <n v="0.12318453986742711"/>
    <s v="Pending"/>
    <x v="3"/>
    <x v="3"/>
    <x v="0"/>
  </r>
  <r>
    <x v="95"/>
    <s v="INV-00691"/>
    <x v="9"/>
    <x v="0"/>
    <x v="0"/>
    <s v="Lagos"/>
    <s v="Daniel"/>
    <s v="Supermarket"/>
    <n v="52"/>
    <n v="1103.6300000000001"/>
    <n v="57388.760000000009"/>
    <n v="4052.79"/>
    <x v="391"/>
    <n v="32410.240000000002"/>
    <n v="1433.3"/>
    <n v="3294.52"/>
    <n v="2010.8"/>
    <n v="1458.47"/>
    <n v="40607.33"/>
    <n v="20925.730000000007"/>
    <n v="12728.640000000007"/>
    <n v="0.23865020173065202"/>
    <s v="Pending"/>
    <x v="3"/>
    <x v="3"/>
    <x v="0"/>
  </r>
  <r>
    <x v="95"/>
    <s v="INV-01082"/>
    <x v="2"/>
    <x v="7"/>
    <x v="5"/>
    <s v="Lagos"/>
    <s v="Emeka"/>
    <s v="Distributor"/>
    <n v="66"/>
    <n v="5482.7"/>
    <n v="361858.2"/>
    <n v="30543.61"/>
    <x v="392"/>
    <n v="248273.91"/>
    <n v="8708.15"/>
    <n v="21811.22"/>
    <n v="14889.44"/>
    <n v="7244.02"/>
    <n v="300926.74000000005"/>
    <n v="83040.680000000022"/>
    <n v="30387.849999999977"/>
    <n v="9.171902148951537E-2"/>
    <s v="Paid"/>
    <x v="3"/>
    <x v="3"/>
    <x v="0"/>
  </r>
  <r>
    <x v="95"/>
    <s v="INV-00512"/>
    <x v="8"/>
    <x v="3"/>
    <x v="3"/>
    <s v="Lagos"/>
    <s v="Mary"/>
    <s v="Wholesale"/>
    <n v="82"/>
    <n v="830.55"/>
    <n v="68105.099999999991"/>
    <n v="5219.21"/>
    <x v="393"/>
    <n v="40952"/>
    <n v="1516.68"/>
    <n v="3826.09"/>
    <n v="2353.2399999999998"/>
    <n v="1915.87"/>
    <n v="50563.880000000005"/>
    <n v="21933.889999999992"/>
    <n v="12322.009999999987"/>
    <n v="0.19594236481347388"/>
    <s v="Paid"/>
    <x v="3"/>
    <x v="3"/>
    <x v="0"/>
  </r>
  <r>
    <x v="96"/>
    <s v="INV-01016"/>
    <x v="4"/>
    <x v="5"/>
    <x v="3"/>
    <s v="Port Harcourt"/>
    <s v="Mary"/>
    <s v="Supermarket"/>
    <n v="75"/>
    <n v="1412.43"/>
    <n v="105932.25"/>
    <n v="7784.22"/>
    <x v="394"/>
    <n v="55457.56"/>
    <n v="3913.39"/>
    <n v="7310.77"/>
    <n v="4281.0200000000004"/>
    <n v="2368.15"/>
    <n v="73330.89"/>
    <n v="42690.47"/>
    <n v="24817.14"/>
    <n v="0.2528541836244701"/>
    <s v="Paid"/>
    <x v="3"/>
    <x v="3"/>
    <x v="0"/>
  </r>
  <r>
    <x v="97"/>
    <s v="INV-00380"/>
    <x v="1"/>
    <x v="10"/>
    <x v="5"/>
    <s v="Port Harcourt"/>
    <s v="Mary"/>
    <s v="Supermarket"/>
    <n v="40"/>
    <n v="6967.04"/>
    <n v="278681.59999999998"/>
    <n v="20078.22"/>
    <x v="395"/>
    <n v="154047.94"/>
    <n v="10209.700000000001"/>
    <n v="19146.169999999998"/>
    <n v="9893.68"/>
    <n v="6686.52"/>
    <n v="199984.00999999998"/>
    <n v="104555.43999999997"/>
    <n v="58619.369999999995"/>
    <n v="0.22667673562503321"/>
    <s v="Paid"/>
    <x v="3"/>
    <x v="3"/>
    <x v="0"/>
  </r>
  <r>
    <x v="97"/>
    <s v="INV-00325"/>
    <x v="10"/>
    <x v="3"/>
    <x v="3"/>
    <s v="Lagos"/>
    <s v="Mary"/>
    <s v="Supermarket"/>
    <n v="59"/>
    <n v="841.8"/>
    <n v="49666.2"/>
    <n v="3374.73"/>
    <x v="396"/>
    <n v="30479.119999999999"/>
    <n v="1205.8399999999999"/>
    <n v="2916.87"/>
    <n v="1673.06"/>
    <n v="979.41"/>
    <n v="37254.300000000003"/>
    <n v="15812.349999999995"/>
    <n v="9037.169999999991"/>
    <n v="0.19522322363061687"/>
    <s v="Paid"/>
    <x v="3"/>
    <x v="3"/>
    <x v="0"/>
  </r>
  <r>
    <x v="97"/>
    <s v="INV-00857"/>
    <x v="5"/>
    <x v="6"/>
    <x v="0"/>
    <s v="Lagos"/>
    <s v="Daniel"/>
    <s v="Supermarket"/>
    <n v="96"/>
    <n v="381.17"/>
    <n v="36592.32"/>
    <n v="3039.26"/>
    <x v="397"/>
    <n v="25424.78"/>
    <n v="802.14"/>
    <n v="2367.17"/>
    <n v="1566.53"/>
    <n v="845.03"/>
    <n v="31005.649999999994"/>
    <n v="8128.2799999999988"/>
    <n v="2547.4100000000035"/>
    <n v="7.5921838425467111E-2"/>
    <s v="Paid"/>
    <x v="3"/>
    <x v="3"/>
    <x v="0"/>
  </r>
  <r>
    <x v="97"/>
    <s v="INV-00608"/>
    <x v="11"/>
    <x v="10"/>
    <x v="5"/>
    <s v="Ibadan"/>
    <s v="Tunde"/>
    <s v="Retail"/>
    <n v="30"/>
    <n v="6795.48"/>
    <n v="203864.4"/>
    <n v="11888.51"/>
    <x v="398"/>
    <n v="117667.9"/>
    <n v="5943.56"/>
    <n v="11350.47"/>
    <n v="8876.2999999999993"/>
    <n v="4661.47"/>
    <n v="148499.69999999998"/>
    <n v="74307.989999999991"/>
    <n v="43476.19"/>
    <n v="0.22646692769597268"/>
    <s v="Paid"/>
    <x v="3"/>
    <x v="3"/>
    <x v="0"/>
  </r>
  <r>
    <x v="97"/>
    <s v="INV-00640"/>
    <x v="9"/>
    <x v="7"/>
    <x v="5"/>
    <s v="Lagos"/>
    <s v="Tunde"/>
    <s v="Retail"/>
    <n v="76"/>
    <n v="5325.54"/>
    <n v="404741.04"/>
    <n v="28754.19"/>
    <x v="399"/>
    <n v="272387.87"/>
    <n v="10319.77"/>
    <n v="26450.38"/>
    <n v="19471.509999999998"/>
    <n v="10113.01"/>
    <n v="338742.54000000004"/>
    <n v="103598.97999999998"/>
    <n v="37244.309999999939"/>
    <n v="9.9057480334750911E-2"/>
    <s v="Paid"/>
    <x v="3"/>
    <x v="3"/>
    <x v="0"/>
  </r>
  <r>
    <x v="98"/>
    <s v="INV-00818"/>
    <x v="8"/>
    <x v="2"/>
    <x v="2"/>
    <s v="Abuja"/>
    <s v="Ibrahim"/>
    <s v="Wholesale"/>
    <n v="49"/>
    <n v="4541.13"/>
    <n v="222515.37"/>
    <n v="14772.73"/>
    <x v="400"/>
    <n v="149112.5"/>
    <n v="7158.36"/>
    <n v="15519.95"/>
    <n v="9692.66"/>
    <n v="4675.9799999999996"/>
    <n v="186159.45"/>
    <n v="58630.139999999985"/>
    <n v="21583.189999999973"/>
    <n v="0.1038938852418549"/>
    <s v="Pending"/>
    <x v="3"/>
    <x v="3"/>
    <x v="0"/>
  </r>
  <r>
    <x v="98"/>
    <s v="INV-00976"/>
    <x v="2"/>
    <x v="5"/>
    <x v="3"/>
    <s v="Lagos"/>
    <s v="Mary"/>
    <s v="Supermarket"/>
    <n v="65"/>
    <n v="1534.64"/>
    <n v="99751.6"/>
    <n v="7598.79"/>
    <x v="401"/>
    <n v="52591.38"/>
    <n v="2173.21"/>
    <n v="5887.23"/>
    <n v="3249.84"/>
    <n v="2431.59"/>
    <n v="66333.249999999985"/>
    <n v="39561.430000000015"/>
    <n v="25819.560000000027"/>
    <n v="0.28018201506823309"/>
    <s v="Paid"/>
    <x v="3"/>
    <x v="3"/>
    <x v="0"/>
  </r>
  <r>
    <x v="99"/>
    <s v="INV-01337"/>
    <x v="6"/>
    <x v="2"/>
    <x v="2"/>
    <s v="Lagos"/>
    <s v="Daniel"/>
    <s v="Wholesale"/>
    <n v="93"/>
    <n v="4548.1899999999996"/>
    <n v="422981.67"/>
    <n v="39120.49"/>
    <x v="402"/>
    <n v="276106.84999999998"/>
    <n v="10470.89"/>
    <n v="23631.599999999999"/>
    <n v="15078.29"/>
    <n v="9792.57"/>
    <n v="335080.19999999995"/>
    <n v="107754.33000000002"/>
    <n v="48780.98000000004"/>
    <n v="0.12707974273407913"/>
    <s v="Paid"/>
    <x v="3"/>
    <x v="3"/>
    <x v="0"/>
  </r>
  <r>
    <x v="99"/>
    <s v="INV-00373"/>
    <x v="3"/>
    <x v="11"/>
    <x v="1"/>
    <s v="Lagos"/>
    <s v="Tunde"/>
    <s v="Wholesale"/>
    <n v="75"/>
    <n v="6461.79"/>
    <n v="484634.25"/>
    <n v="31840.82"/>
    <x v="403"/>
    <n v="268898.26"/>
    <n v="11935.89"/>
    <n v="30923.75"/>
    <n v="24177.25"/>
    <n v="9768.7099999999991"/>
    <n v="345703.86000000004"/>
    <n v="183895.16999999998"/>
    <n v="107089.56999999995"/>
    <n v="0.23650866577282262"/>
    <s v="Paid"/>
    <x v="3"/>
    <x v="3"/>
    <x v="0"/>
  </r>
  <r>
    <x v="99"/>
    <s v="INV-00123"/>
    <x v="9"/>
    <x v="2"/>
    <x v="2"/>
    <s v="Ibadan"/>
    <s v="Fatima"/>
    <s v="Supermarket"/>
    <n v="83"/>
    <n v="4554.18"/>
    <n v="377996.94"/>
    <n v="28393.94"/>
    <x v="404"/>
    <n v="258851.26"/>
    <n v="11266.82"/>
    <n v="26051.75"/>
    <n v="15993.98"/>
    <n v="9064.02"/>
    <n v="321227.83"/>
    <n v="90751.739999999991"/>
    <n v="28375.169999999984"/>
    <n v="8.1163977425822958E-2"/>
    <s v="Paid"/>
    <x v="3"/>
    <x v="3"/>
    <x v="0"/>
  </r>
  <r>
    <x v="99"/>
    <s v="INV-00098"/>
    <x v="7"/>
    <x v="7"/>
    <x v="5"/>
    <s v="Port Harcourt"/>
    <s v="Mary"/>
    <s v="Retail"/>
    <n v="56"/>
    <n v="5433.53"/>
    <n v="304277.68"/>
    <n v="24174.77"/>
    <x v="405"/>
    <n v="203489.72"/>
    <n v="10761.39"/>
    <n v="16582.72"/>
    <n v="12113.04"/>
    <n v="7421.54"/>
    <n v="250368.41"/>
    <n v="76613.189999999973"/>
    <n v="29734.499999999971"/>
    <n v="0.10615562687299455"/>
    <s v="Paid"/>
    <x v="3"/>
    <x v="3"/>
    <x v="0"/>
  </r>
  <r>
    <x v="99"/>
    <s v="INV-01343"/>
    <x v="7"/>
    <x v="0"/>
    <x v="0"/>
    <s v="Lagos"/>
    <s v="Ibrahim"/>
    <s v="Distributor"/>
    <n v="56"/>
    <n v="1178.83"/>
    <n v="66014.48"/>
    <n v="5997.61"/>
    <x v="406"/>
    <n v="36975.18"/>
    <n v="1672.05"/>
    <n v="3472.56"/>
    <n v="2639.05"/>
    <n v="1838.29"/>
    <n v="46597.130000000005"/>
    <n v="23041.689999999995"/>
    <n v="13419.739999999991"/>
    <n v="0.22359946461719832"/>
    <s v="Pending"/>
    <x v="3"/>
    <x v="3"/>
    <x v="0"/>
  </r>
  <r>
    <x v="99"/>
    <s v="INV-01024"/>
    <x v="2"/>
    <x v="6"/>
    <x v="0"/>
    <s v="Lagos"/>
    <s v="Samuel"/>
    <s v="Wholesale"/>
    <n v="117"/>
    <n v="382.44"/>
    <n v="44745.48"/>
    <n v="3203.99"/>
    <x v="407"/>
    <n v="31329.66"/>
    <n v="1141.96"/>
    <n v="3046.21"/>
    <n v="2235.1799999999998"/>
    <n v="1023.22"/>
    <n v="38776.230000000003"/>
    <n v="10211.830000000005"/>
    <n v="2765.260000000002"/>
    <n v="6.6566220903487128E-2"/>
    <s v="Paid"/>
    <x v="3"/>
    <x v="3"/>
    <x v="0"/>
  </r>
  <r>
    <x v="100"/>
    <s v="INV-00916"/>
    <x v="11"/>
    <x v="2"/>
    <x v="2"/>
    <s v="Port Harcourt"/>
    <s v="Tunde"/>
    <s v="Wholesale"/>
    <n v="100"/>
    <n v="4259.66"/>
    <n v="425966"/>
    <n v="36447.870000000003"/>
    <x v="408"/>
    <n v="275435.07"/>
    <n v="17823.8"/>
    <n v="22933.57"/>
    <n v="19637.759999999998"/>
    <n v="9449.2900000000009"/>
    <n v="345279.49"/>
    <n v="114083.06"/>
    <n v="44238.640000000014"/>
    <n v="0.11357273665284852"/>
    <s v="Pending"/>
    <x v="3"/>
    <x v="3"/>
    <x v="0"/>
  </r>
  <r>
    <x v="100"/>
    <s v="INV-00590"/>
    <x v="7"/>
    <x v="1"/>
    <x v="1"/>
    <s v="Ibadan"/>
    <s v="Amina"/>
    <s v="Retail"/>
    <n v="94"/>
    <n v="4570.47"/>
    <n v="429624.18000000005"/>
    <n v="28978.89"/>
    <x v="409"/>
    <n v="299567.75"/>
    <n v="12529.8"/>
    <n v="22263.07"/>
    <n v="20906.169999999998"/>
    <n v="11417.17"/>
    <n v="366683.95999999996"/>
    <n v="101077.54000000004"/>
    <n v="33961.330000000075"/>
    <n v="8.4766577438112584E-2"/>
    <s v="Paid"/>
    <x v="3"/>
    <x v="3"/>
    <x v="0"/>
  </r>
  <r>
    <x v="100"/>
    <s v="INV-01128"/>
    <x v="9"/>
    <x v="8"/>
    <x v="2"/>
    <s v="Port Harcourt"/>
    <s v="Mary"/>
    <s v="Supermarket"/>
    <n v="46"/>
    <n v="6549.87"/>
    <n v="301294.02"/>
    <n v="22812.25"/>
    <x v="410"/>
    <n v="162012.62"/>
    <n v="12350.01"/>
    <n v="18145.59"/>
    <n v="13844.41"/>
    <n v="7638.92"/>
    <n v="213991.55000000002"/>
    <n v="116469.15000000002"/>
    <n v="64490.22"/>
    <n v="0.23157788748613597"/>
    <s v="Paid"/>
    <x v="3"/>
    <x v="3"/>
    <x v="0"/>
  </r>
  <r>
    <x v="101"/>
    <s v="INV-00978"/>
    <x v="11"/>
    <x v="7"/>
    <x v="5"/>
    <s v="Lagos"/>
    <s v="Tunde"/>
    <s v="Wholesale"/>
    <n v="79"/>
    <n v="5643.76"/>
    <n v="445857.04000000004"/>
    <n v="37161.339999999997"/>
    <x v="411"/>
    <n v="317959.38"/>
    <n v="10907.62"/>
    <n v="22701.75"/>
    <n v="22151.66"/>
    <n v="12163.45"/>
    <n v="385883.86"/>
    <n v="90736.320000000065"/>
    <n v="22811.840000000084"/>
    <n v="5.5816197723636635E-2"/>
    <s v="Paid"/>
    <x v="3"/>
    <x v="3"/>
    <x v="0"/>
  </r>
  <r>
    <x v="101"/>
    <s v="INV-00138"/>
    <x v="5"/>
    <x v="3"/>
    <x v="3"/>
    <s v="Lagos"/>
    <s v="Tunde"/>
    <s v="Wholesale"/>
    <n v="41"/>
    <n v="821.54"/>
    <n v="33683.14"/>
    <n v="2673.62"/>
    <x v="412"/>
    <n v="20975.200000000001"/>
    <n v="833.51"/>
    <n v="1717.91"/>
    <n v="1266.8499999999999"/>
    <n v="765.37"/>
    <n v="25558.839999999997"/>
    <n v="10034.32"/>
    <n v="5450.6800000000039"/>
    <n v="0.17577440734329342"/>
    <s v="Paid"/>
    <x v="3"/>
    <x v="3"/>
    <x v="0"/>
  </r>
  <r>
    <x v="101"/>
    <s v="INV-00697"/>
    <x v="5"/>
    <x v="6"/>
    <x v="0"/>
    <s v="Lagos"/>
    <s v="Tunde"/>
    <s v="Supermarket"/>
    <n v="122"/>
    <n v="370.19"/>
    <n v="45163.18"/>
    <n v="3210.38"/>
    <x v="413"/>
    <n v="31820.54"/>
    <n v="1130.9000000000001"/>
    <n v="2870.23"/>
    <n v="1763.98"/>
    <n v="942.4"/>
    <n v="38528.05000000001"/>
    <n v="10132.260000000002"/>
    <n v="3424.7499999999927"/>
    <n v="8.1633407066989391E-2"/>
    <s v="Paid"/>
    <x v="3"/>
    <x v="3"/>
    <x v="0"/>
  </r>
  <r>
    <x v="101"/>
    <s v="INV-01261"/>
    <x v="0"/>
    <x v="9"/>
    <x v="4"/>
    <s v="Abuja"/>
    <s v="Daniel"/>
    <s v="Supermarket"/>
    <n v="85"/>
    <n v="1896.41"/>
    <n v="161194.85"/>
    <n v="10553.64"/>
    <x v="414"/>
    <n v="104302.47"/>
    <n v="5336.01"/>
    <n v="10430.41"/>
    <n v="5378"/>
    <n v="4106.24"/>
    <n v="129553.13"/>
    <n v="46338.74000000002"/>
    <n v="21088.080000000016"/>
    <n v="0.13998878527329947"/>
    <s v="Paid"/>
    <x v="3"/>
    <x v="3"/>
    <x v="0"/>
  </r>
  <r>
    <x v="101"/>
    <s v="INV-00259"/>
    <x v="0"/>
    <x v="2"/>
    <x v="2"/>
    <s v="Abuja"/>
    <s v="Mary"/>
    <s v="Distributor"/>
    <n v="94"/>
    <n v="4413.75"/>
    <n v="414892.5"/>
    <n v="36817.050000000003"/>
    <x v="415"/>
    <n v="277326.90999999997"/>
    <n v="13340.51"/>
    <n v="20804.2"/>
    <n v="19609.990000000002"/>
    <n v="7856.91"/>
    <n v="338938.51999999996"/>
    <n v="100748.54000000004"/>
    <n v="39136.930000000051"/>
    <n v="0.10351618969176668"/>
    <s v="Paid"/>
    <x v="3"/>
    <x v="3"/>
    <x v="0"/>
  </r>
  <r>
    <x v="101"/>
    <s v="INV-01277"/>
    <x v="1"/>
    <x v="0"/>
    <x v="0"/>
    <s v="Lagos"/>
    <s v="Samuel"/>
    <s v="Distributor"/>
    <n v="73"/>
    <n v="1171.78"/>
    <n v="85539.94"/>
    <n v="7832.67"/>
    <x v="416"/>
    <n v="46216.13"/>
    <n v="1823.58"/>
    <n v="5754.53"/>
    <n v="3410.03"/>
    <n v="1918.68"/>
    <n v="59122.95"/>
    <n v="31491.140000000007"/>
    <n v="18584.320000000007"/>
    <n v="0.23915806075802182"/>
    <s v="Paid"/>
    <x v="3"/>
    <x v="3"/>
    <x v="0"/>
  </r>
  <r>
    <x v="102"/>
    <s v="INV-00310"/>
    <x v="3"/>
    <x v="7"/>
    <x v="5"/>
    <s v="Lagos"/>
    <s v="Fatima"/>
    <s v="Retail"/>
    <n v="97"/>
    <n v="5624.1"/>
    <n v="545537.70000000007"/>
    <n v="32891.83"/>
    <x v="417"/>
    <n v="381642.65"/>
    <n v="13299.26"/>
    <n v="29019.48"/>
    <n v="19627.09"/>
    <n v="16403.02"/>
    <n v="459991.50000000006"/>
    <n v="131003.22000000003"/>
    <n v="52654.369999999995"/>
    <n v="0.10271100009056933"/>
    <s v="Paid"/>
    <x v="3"/>
    <x v="3"/>
    <x v="0"/>
  </r>
  <r>
    <x v="102"/>
    <s v="INV-00742"/>
    <x v="11"/>
    <x v="9"/>
    <x v="4"/>
    <s v="Ibadan"/>
    <s v="Ibrahim"/>
    <s v="Supermarket"/>
    <n v="62"/>
    <n v="1875.33"/>
    <n v="116270.45999999999"/>
    <n v="9418.8799999999992"/>
    <x v="418"/>
    <n v="77472.41"/>
    <n v="3413.87"/>
    <n v="7777.73"/>
    <n v="5719.93"/>
    <n v="2413.3200000000002"/>
    <n v="96797.260000000009"/>
    <n v="29379.169999999984"/>
    <n v="10054.319999999978"/>
    <n v="9.4096128480271227E-2"/>
    <s v="Pending"/>
    <x v="3"/>
    <x v="3"/>
    <x v="0"/>
  </r>
  <r>
    <x v="103"/>
    <s v="INV-01177"/>
    <x v="3"/>
    <x v="3"/>
    <x v="3"/>
    <s v="Lagos"/>
    <s v="Tunde"/>
    <s v="Wholesale"/>
    <n v="74"/>
    <n v="804.6"/>
    <n v="59540.4"/>
    <n v="4807.95"/>
    <x v="419"/>
    <n v="35863.56"/>
    <n v="1354.66"/>
    <n v="4031.61"/>
    <n v="2703.21"/>
    <n v="1251.19"/>
    <n v="45204.23"/>
    <n v="18868.890000000007"/>
    <n v="9528.2200000000012"/>
    <n v="0.17408721882539518"/>
    <s v="Paid"/>
    <x v="3"/>
    <x v="3"/>
    <x v="0"/>
  </r>
  <r>
    <x v="103"/>
    <s v="INV-01214"/>
    <x v="1"/>
    <x v="9"/>
    <x v="4"/>
    <s v="Lagos"/>
    <s v="Fatima"/>
    <s v="Retail"/>
    <n v="67"/>
    <n v="1846.89"/>
    <n v="123741.63"/>
    <n v="8436.4699999999993"/>
    <x v="420"/>
    <n v="77958.92"/>
    <n v="3183.56"/>
    <n v="7592.29"/>
    <n v="6112.73"/>
    <n v="3089.75"/>
    <n v="97937.249999999985"/>
    <n v="37346.240000000005"/>
    <n v="17367.910000000018"/>
    <n v="0.15062560946968911"/>
    <s v="Paid"/>
    <x v="3"/>
    <x v="3"/>
    <x v="0"/>
  </r>
  <r>
    <x v="103"/>
    <s v="INV-00246"/>
    <x v="10"/>
    <x v="2"/>
    <x v="2"/>
    <s v="Lagos"/>
    <s v="Emeka"/>
    <s v="Retail"/>
    <n v="69"/>
    <n v="4296.6899999999996"/>
    <n v="296471.61"/>
    <n v="21245.16"/>
    <x v="421"/>
    <n v="195408.47"/>
    <n v="7393.15"/>
    <n v="19846.23"/>
    <n v="10351.51"/>
    <n v="7012.33"/>
    <n v="240011.69"/>
    <n v="79817.98000000001"/>
    <n v="35214.760000000009"/>
    <n v="0.12794831310726135"/>
    <s v="Paid"/>
    <x v="3"/>
    <x v="3"/>
    <x v="0"/>
  </r>
  <r>
    <x v="104"/>
    <s v="INV-00823"/>
    <x v="5"/>
    <x v="0"/>
    <x v="0"/>
    <s v="Abuja"/>
    <s v="Emeka"/>
    <s v="Supermarket"/>
    <n v="97"/>
    <n v="1158.48"/>
    <n v="112372.56"/>
    <n v="8651.1299999999992"/>
    <x v="422"/>
    <n v="59791.49"/>
    <n v="3479.8"/>
    <n v="6035.57"/>
    <n v="3807.33"/>
    <n v="2333.25"/>
    <n v="75447.44"/>
    <n v="43929.939999999995"/>
    <n v="28273.989999999991"/>
    <n v="0.27259545110398103"/>
    <s v="Paid"/>
    <x v="3"/>
    <x v="3"/>
    <x v="0"/>
  </r>
  <r>
    <x v="104"/>
    <s v="INV-00313"/>
    <x v="8"/>
    <x v="9"/>
    <x v="4"/>
    <s v="Lagos"/>
    <s v="Mary"/>
    <s v="Retail"/>
    <n v="113"/>
    <n v="1941.83"/>
    <n v="219426.78999999998"/>
    <n v="12668.56"/>
    <x v="423"/>
    <n v="142072.53"/>
    <n v="5520.1"/>
    <n v="14728.56"/>
    <n v="11074.16"/>
    <n v="5882.95"/>
    <n v="179278.30000000002"/>
    <n v="64685.699999999983"/>
    <n v="27479.929999999964"/>
    <n v="0.13290851832113268"/>
    <s v="Paid"/>
    <x v="3"/>
    <x v="3"/>
    <x v="0"/>
  </r>
  <r>
    <x v="105"/>
    <s v="INV-00433"/>
    <x v="7"/>
    <x v="6"/>
    <x v="0"/>
    <s v="Lagos"/>
    <s v="Fatima"/>
    <s v="Retail"/>
    <n v="126"/>
    <n v="360.74"/>
    <n v="45453.24"/>
    <n v="2726.98"/>
    <x v="424"/>
    <n v="33897.64"/>
    <n v="1182.3"/>
    <n v="2625.87"/>
    <n v="1591.75"/>
    <n v="871.75"/>
    <n v="40169.310000000005"/>
    <n v="8828.6199999999953"/>
    <n v="2556.9499999999898"/>
    <n v="5.9844929090446725E-2"/>
    <s v="Paid"/>
    <x v="3"/>
    <x v="3"/>
    <x v="0"/>
  </r>
  <r>
    <x v="106"/>
    <s v="INV-00137"/>
    <x v="11"/>
    <x v="8"/>
    <x v="2"/>
    <s v="Lagos"/>
    <s v="Fatima"/>
    <s v="Retail"/>
    <n v="72"/>
    <n v="6563.96"/>
    <n v="472605.12"/>
    <n v="35644.89"/>
    <x v="425"/>
    <n v="261785.14"/>
    <n v="11624.34"/>
    <n v="31741.360000000001"/>
    <n v="19005.23"/>
    <n v="10109.629999999999"/>
    <n v="334265.7"/>
    <n v="175175.08999999997"/>
    <n v="102694.52999999997"/>
    <n v="0.23502031294701572"/>
    <s v="Paid"/>
    <x v="3"/>
    <x v="3"/>
    <x v="0"/>
  </r>
  <r>
    <x v="106"/>
    <s v="INV-00237"/>
    <x v="1"/>
    <x v="3"/>
    <x v="3"/>
    <s v="Abuja"/>
    <s v="Ibrahim"/>
    <s v="Supermarket"/>
    <n v="64"/>
    <n v="875.78"/>
    <n v="56049.919999999998"/>
    <n v="3772.99"/>
    <x v="426"/>
    <n v="34085.99"/>
    <n v="1876.04"/>
    <n v="3417.06"/>
    <n v="2147.48"/>
    <n v="1070.0999999999999"/>
    <n v="42596.67"/>
    <n v="18190.940000000002"/>
    <n v="9680.260000000002"/>
    <n v="0.18517269472403988"/>
    <s v="Pending"/>
    <x v="3"/>
    <x v="3"/>
    <x v="0"/>
  </r>
  <r>
    <x v="106"/>
    <s v="INV-01240"/>
    <x v="6"/>
    <x v="2"/>
    <x v="2"/>
    <s v="Port Harcourt"/>
    <s v="Emeka"/>
    <s v="Supermarket"/>
    <n v="94"/>
    <n v="4328.38"/>
    <n v="406867.72000000003"/>
    <n v="32751.83"/>
    <x v="427"/>
    <n v="268789.59999999998"/>
    <n v="15740.72"/>
    <n v="25989.56"/>
    <n v="16825.38"/>
    <n v="11269.78"/>
    <n v="338615.03999999998"/>
    <n v="105326.29000000004"/>
    <n v="35500.850000000035"/>
    <n v="9.4892654786729411E-2"/>
    <s v="Paid"/>
    <x v="3"/>
    <x v="3"/>
    <x v="0"/>
  </r>
  <r>
    <x v="106"/>
    <s v="INV-00934"/>
    <x v="2"/>
    <x v="2"/>
    <x v="2"/>
    <s v="Lagos"/>
    <s v="Emeka"/>
    <s v="Supermarket"/>
    <n v="92"/>
    <n v="4279.2700000000004"/>
    <n v="393692.84"/>
    <n v="29232.25"/>
    <x v="428"/>
    <n v="263351.23"/>
    <n v="9554.68"/>
    <n v="21271.439999999999"/>
    <n v="18545.29"/>
    <n v="10221.620000000001"/>
    <n v="322944.25999999995"/>
    <n v="101109.36000000004"/>
    <n v="41516.330000000075"/>
    <n v="0.11391171264909622"/>
    <s v="Paid"/>
    <x v="3"/>
    <x v="3"/>
    <x v="0"/>
  </r>
  <r>
    <x v="107"/>
    <s v="INV-00280"/>
    <x v="11"/>
    <x v="2"/>
    <x v="2"/>
    <s v="Lagos"/>
    <s v="Ibrahim"/>
    <s v="Retail"/>
    <n v="82"/>
    <n v="4299.79"/>
    <n v="352582.77999999997"/>
    <n v="27295.91"/>
    <x v="429"/>
    <n v="228099.06"/>
    <n v="8868.17"/>
    <n v="22762.19"/>
    <n v="13707.72"/>
    <n v="10125.25"/>
    <n v="283562.39"/>
    <n v="97187.81"/>
    <n v="41724.479999999981"/>
    <n v="0.12826979459699675"/>
    <s v="Paid"/>
    <x v="3"/>
    <x v="3"/>
    <x v="0"/>
  </r>
  <r>
    <x v="107"/>
    <s v="INV-00278"/>
    <x v="2"/>
    <x v="3"/>
    <x v="3"/>
    <s v="Lagos"/>
    <s v="Mary"/>
    <s v="Retail"/>
    <n v="90"/>
    <n v="863.59"/>
    <n v="77723.100000000006"/>
    <n v="4489.8900000000003"/>
    <x v="430"/>
    <n v="48986.11"/>
    <n v="1775.26"/>
    <n v="4880.67"/>
    <n v="2866.78"/>
    <n v="2032.54"/>
    <n v="60541.36"/>
    <n v="24247.100000000006"/>
    <n v="12691.850000000006"/>
    <n v="0.17330730142786319"/>
    <s v="Paid"/>
    <x v="3"/>
    <x v="3"/>
    <x v="0"/>
  </r>
  <r>
    <x v="107"/>
    <s v="INV-00072"/>
    <x v="6"/>
    <x v="0"/>
    <x v="0"/>
    <s v="Abuja"/>
    <s v="Emeka"/>
    <s v="Retail"/>
    <n v="80"/>
    <n v="1140.75"/>
    <n v="91260"/>
    <n v="7346.62"/>
    <x v="431"/>
    <n v="52134.34"/>
    <n v="2960.15"/>
    <n v="5444.67"/>
    <n v="3925.7"/>
    <n v="1756.23"/>
    <n v="66221.09"/>
    <n v="31779.040000000008"/>
    <n v="17692.290000000008"/>
    <n v="0.21083991611349712"/>
    <s v="Paid"/>
    <x v="3"/>
    <x v="3"/>
    <x v="0"/>
  </r>
  <r>
    <x v="108"/>
    <s v="INV-00343"/>
    <x v="5"/>
    <x v="7"/>
    <x v="5"/>
    <s v="Lagos"/>
    <s v="Samuel"/>
    <s v="Distributor"/>
    <n v="109"/>
    <n v="5623.14"/>
    <n v="612922.26"/>
    <n v="47209.38"/>
    <x v="432"/>
    <n v="429608.87"/>
    <n v="14983.58"/>
    <n v="31344.13"/>
    <n v="20784.7"/>
    <n v="16516.16"/>
    <n v="513237.44"/>
    <n v="136104.01"/>
    <n v="52475.44"/>
    <n v="9.2759846655780576E-2"/>
    <s v="Paid"/>
    <x v="3"/>
    <x v="3"/>
    <x v="0"/>
  </r>
  <r>
    <x v="108"/>
    <s v="INV-00465"/>
    <x v="11"/>
    <x v="9"/>
    <x v="4"/>
    <s v="Port Harcourt"/>
    <s v="Fatima"/>
    <s v="Supermarket"/>
    <n v="101"/>
    <n v="1834.31"/>
    <n v="185265.31"/>
    <n v="11744.48"/>
    <x v="433"/>
    <n v="117294.37"/>
    <n v="7326.34"/>
    <n v="10187.56"/>
    <n v="9223.42"/>
    <n v="4030.74"/>
    <n v="148062.43"/>
    <n v="56226.459999999992"/>
    <n v="25458.399999999994"/>
    <n v="0.14671667949029518"/>
    <s v="Paid"/>
    <x v="3"/>
    <x v="3"/>
    <x v="0"/>
  </r>
  <r>
    <x v="108"/>
    <s v="INV-01108"/>
    <x v="8"/>
    <x v="8"/>
    <x v="2"/>
    <s v="Ibadan"/>
    <s v="Mary"/>
    <s v="Distributor"/>
    <n v="72"/>
    <n v="6628.61"/>
    <n v="477259.92"/>
    <n v="46941.33"/>
    <x v="434"/>
    <n v="257492.18"/>
    <n v="14127.86"/>
    <n v="24782.52"/>
    <n v="17298.91"/>
    <n v="12982.86"/>
    <n v="326684.32999999996"/>
    <n v="172826.40999999997"/>
    <n v="103634.26000000001"/>
    <n v="0.24083147325798779"/>
    <s v="Paid"/>
    <x v="3"/>
    <x v="3"/>
    <x v="0"/>
  </r>
  <r>
    <x v="108"/>
    <s v="INV-00103"/>
    <x v="2"/>
    <x v="0"/>
    <x v="0"/>
    <s v="Lagos"/>
    <s v="Mary"/>
    <s v="Retail"/>
    <n v="100"/>
    <n v="1179.1400000000001"/>
    <n v="117914.00000000001"/>
    <n v="9580.36"/>
    <x v="435"/>
    <n v="66126.570000000007"/>
    <n v="3034.76"/>
    <n v="7877.01"/>
    <n v="5717.63"/>
    <n v="2542.16"/>
    <n v="85298.13"/>
    <n v="42207.070000000007"/>
    <n v="23035.510000000009"/>
    <n v="0.21263487500281544"/>
    <s v="Paid"/>
    <x v="3"/>
    <x v="3"/>
    <x v="0"/>
  </r>
  <r>
    <x v="109"/>
    <s v="INV-01296"/>
    <x v="1"/>
    <x v="1"/>
    <x v="1"/>
    <s v="Abuja"/>
    <s v="Ibrahim"/>
    <s v="Supermarket"/>
    <n v="76"/>
    <n v="4258.58"/>
    <n v="323652.08"/>
    <n v="19626.8"/>
    <x v="436"/>
    <n v="222712.37"/>
    <n v="10124.52"/>
    <n v="17290.099999999999"/>
    <n v="13136.18"/>
    <n v="6997.84"/>
    <n v="270261.01"/>
    <n v="81312.910000000033"/>
    <n v="33764.270000000019"/>
    <n v="0.11105744232848011"/>
    <s v="Paid"/>
    <x v="3"/>
    <x v="3"/>
    <x v="0"/>
  </r>
  <r>
    <x v="109"/>
    <s v="INV-01248"/>
    <x v="5"/>
    <x v="3"/>
    <x v="3"/>
    <s v="Port Harcourt"/>
    <s v="Emeka"/>
    <s v="Retail"/>
    <n v="72"/>
    <n v="819.92"/>
    <n v="59034.239999999998"/>
    <n v="4059.26"/>
    <x v="437"/>
    <n v="37995.42"/>
    <n v="2437.46"/>
    <n v="3808.22"/>
    <n v="2210.56"/>
    <n v="1659.25"/>
    <n v="48110.909999999996"/>
    <n v="16979.559999999998"/>
    <n v="6864.07"/>
    <n v="0.12485807179920758"/>
    <s v="Paid"/>
    <x v="3"/>
    <x v="3"/>
    <x v="0"/>
  </r>
  <r>
    <x v="109"/>
    <s v="INV-00738"/>
    <x v="0"/>
    <x v="1"/>
    <x v="1"/>
    <s v="Lagos"/>
    <s v="Emeka"/>
    <s v="Wholesale"/>
    <n v="98"/>
    <n v="4302.01"/>
    <n v="421596.98000000004"/>
    <n v="29889.11"/>
    <x v="438"/>
    <n v="297305.94"/>
    <n v="9432.6299999999992"/>
    <n v="27215.97"/>
    <n v="20670.810000000001"/>
    <n v="9962.73"/>
    <n v="364588.08"/>
    <n v="94401.930000000051"/>
    <n v="27119.790000000037"/>
    <n v="6.9234733527309605E-2"/>
    <s v="Paid"/>
    <x v="3"/>
    <x v="3"/>
    <x v="0"/>
  </r>
  <r>
    <x v="109"/>
    <s v="INV-01335"/>
    <x v="10"/>
    <x v="7"/>
    <x v="5"/>
    <s v="Ibadan"/>
    <s v="Samuel"/>
    <s v="Wholesale"/>
    <n v="27"/>
    <n v="5433.53"/>
    <n v="146705.31"/>
    <n v="13828.32"/>
    <x v="439"/>
    <n v="98461.98"/>
    <n v="4299.34"/>
    <n v="7626.62"/>
    <n v="5876.67"/>
    <n v="3734.97"/>
    <n v="119999.57999999999"/>
    <n v="34415.009999999995"/>
    <n v="12877.410000000003"/>
    <n v="9.6912264493649383E-2"/>
    <s v="Paid"/>
    <x v="3"/>
    <x v="3"/>
    <x v="0"/>
  </r>
  <r>
    <x v="109"/>
    <s v="INV-00764"/>
    <x v="5"/>
    <x v="0"/>
    <x v="0"/>
    <s v="Lagos"/>
    <s v="Fatima"/>
    <s v="Wholesale"/>
    <n v="119"/>
    <n v="1174.98"/>
    <n v="139822.62"/>
    <n v="9532.8700000000008"/>
    <x v="440"/>
    <n v="77691.66"/>
    <n v="3127.54"/>
    <n v="8225.69"/>
    <n v="7107.06"/>
    <n v="3818.08"/>
    <n v="99970.03"/>
    <n v="52598.09"/>
    <n v="30319.72"/>
    <n v="0.23270994072826146"/>
    <s v="Paid"/>
    <x v="3"/>
    <x v="3"/>
    <x v="0"/>
  </r>
  <r>
    <x v="110"/>
    <s v="INV-01400"/>
    <x v="8"/>
    <x v="1"/>
    <x v="1"/>
    <s v="Abuja"/>
    <s v="Fatima"/>
    <s v="Retail"/>
    <n v="48"/>
    <n v="4376.7299999999996"/>
    <n v="210083.03999999998"/>
    <n v="12330.21"/>
    <x v="441"/>
    <n v="138984.98000000001"/>
    <n v="6521.03"/>
    <n v="14337.59"/>
    <n v="10852.62"/>
    <n v="4362.6099999999997"/>
    <n v="175058.83"/>
    <n v="58767.849999999977"/>
    <n v="22694"/>
    <n v="0.11475941962499349"/>
    <s v="Paid"/>
    <x v="3"/>
    <x v="3"/>
    <x v="0"/>
  </r>
  <r>
    <x v="110"/>
    <s v="INV-00321"/>
    <x v="2"/>
    <x v="9"/>
    <x v="4"/>
    <s v="Ibadan"/>
    <s v="Fatima"/>
    <s v="Wholesale"/>
    <n v="101"/>
    <n v="1906.46"/>
    <n v="192552.46"/>
    <n v="14983.58"/>
    <x v="442"/>
    <n v="128795.81"/>
    <n v="5770.87"/>
    <n v="13240.84"/>
    <n v="6521.98"/>
    <n v="4209.4799999999996"/>
    <n v="158538.98000000001"/>
    <n v="48773.070000000007"/>
    <n v="19029.899999999994"/>
    <n v="0.10716911657042605"/>
    <s v="Paid"/>
    <x v="3"/>
    <x v="3"/>
    <x v="0"/>
  </r>
  <r>
    <x v="110"/>
    <s v="INV-00819"/>
    <x v="11"/>
    <x v="0"/>
    <x v="0"/>
    <s v="Abuja"/>
    <s v="Emeka"/>
    <s v="Wholesale"/>
    <n v="121"/>
    <n v="1152.18"/>
    <n v="139413.78"/>
    <n v="12056.39"/>
    <x v="443"/>
    <n v="76434.48"/>
    <n v="4747.66"/>
    <n v="8972.6299999999992"/>
    <n v="6301.24"/>
    <n v="3810.12"/>
    <n v="100266.13"/>
    <n v="50922.91"/>
    <n v="27091.259999999995"/>
    <n v="0.21271839820209879"/>
    <s v="Paid"/>
    <x v="3"/>
    <x v="3"/>
    <x v="0"/>
  </r>
  <r>
    <x v="111"/>
    <s v="INV-00557"/>
    <x v="6"/>
    <x v="0"/>
    <x v="0"/>
    <s v="Lagos"/>
    <s v="Mary"/>
    <s v="Wholesale"/>
    <n v="107"/>
    <n v="1142.02"/>
    <n v="122196.14"/>
    <n v="7971.95"/>
    <x v="444"/>
    <n v="68062.42"/>
    <n v="2748.61"/>
    <n v="8510.98"/>
    <n v="4238.8599999999997"/>
    <n v="3397.78"/>
    <n v="86958.65"/>
    <n v="46161.770000000004"/>
    <n v="27265.540000000008"/>
    <n v="0.23870197722566477"/>
    <s v="Paid"/>
    <x v="3"/>
    <x v="3"/>
    <x v="0"/>
  </r>
  <r>
    <x v="111"/>
    <s v="INV-01440"/>
    <x v="8"/>
    <x v="1"/>
    <x v="1"/>
    <s v="Ibadan"/>
    <s v="Ibrahim"/>
    <s v="Supermarket"/>
    <n v="94"/>
    <n v="4599.13"/>
    <n v="432318.22000000003"/>
    <n v="29509.91"/>
    <x v="445"/>
    <n v="294647.28000000003"/>
    <n v="12592.14"/>
    <n v="29435.19"/>
    <n v="15072.58"/>
    <n v="10787.85"/>
    <n v="362535.04000000004"/>
    <n v="108161.03000000003"/>
    <n v="40273.270000000019"/>
    <n v="9.9981229284966874E-2"/>
    <s v="Pending"/>
    <x v="3"/>
    <x v="3"/>
    <x v="0"/>
  </r>
  <r>
    <x v="111"/>
    <s v="INV-00044"/>
    <x v="7"/>
    <x v="7"/>
    <x v="5"/>
    <s v="Lagos"/>
    <s v="Fatima"/>
    <s v="Wholesale"/>
    <n v="54"/>
    <n v="5672.96"/>
    <n v="306339.84000000003"/>
    <n v="24836.98"/>
    <x v="446"/>
    <n v="213235.81"/>
    <n v="7335.16"/>
    <n v="18235.12"/>
    <n v="14716.56"/>
    <n v="6787.65"/>
    <n v="260310.3"/>
    <n v="68267.050000000047"/>
    <n v="21192.560000000056"/>
    <n v="7.528364010227126E-2"/>
    <s v="Paid"/>
    <x v="3"/>
    <x v="3"/>
    <x v="0"/>
  </r>
  <r>
    <x v="112"/>
    <s v="INV-00800"/>
    <x v="11"/>
    <x v="1"/>
    <x v="1"/>
    <s v="Lagos"/>
    <s v="Daniel"/>
    <s v="Wholesale"/>
    <n v="80"/>
    <n v="4603.47"/>
    <n v="368277.60000000003"/>
    <n v="27043.439999999999"/>
    <x v="447"/>
    <n v="252942.85"/>
    <n v="8258.44"/>
    <n v="22453"/>
    <n v="15795.96"/>
    <n v="6889.4"/>
    <n v="306339.65000000008"/>
    <n v="88291.310000000027"/>
    <n v="34894.509999999951"/>
    <n v="0.1022597210080021"/>
    <s v="Paid"/>
    <x v="3"/>
    <x v="3"/>
    <x v="0"/>
  </r>
  <r>
    <x v="112"/>
    <s v="INV-00546"/>
    <x v="6"/>
    <x v="10"/>
    <x v="5"/>
    <s v="Lagos"/>
    <s v="Daniel"/>
    <s v="Wholesale"/>
    <n v="38"/>
    <n v="6802.64"/>
    <n v="258500.32"/>
    <n v="21906.23"/>
    <x v="448"/>
    <n v="145514.03"/>
    <n v="5634.76"/>
    <n v="16678.57"/>
    <n v="12557.67"/>
    <n v="5852.83"/>
    <n v="186237.86000000002"/>
    <n v="91080.06"/>
    <n v="50356.229999999981"/>
    <n v="0.21283807215979056"/>
    <s v="Paid"/>
    <x v="3"/>
    <x v="3"/>
    <x v="0"/>
  </r>
  <r>
    <x v="112"/>
    <s v="INV-01130"/>
    <x v="2"/>
    <x v="8"/>
    <x v="2"/>
    <s v="Abuja"/>
    <s v="Tunde"/>
    <s v="Retail"/>
    <n v="33"/>
    <n v="6593.52"/>
    <n v="217586.16"/>
    <n v="15553.05"/>
    <x v="449"/>
    <n v="119779.3"/>
    <n v="7689.11"/>
    <n v="12528.43"/>
    <n v="7759.8"/>
    <n v="4867.78"/>
    <n v="152624.41999999998"/>
    <n v="82253.810000000012"/>
    <n v="49408.690000000031"/>
    <n v="0.24455738962786855"/>
    <s v="Paid"/>
    <x v="3"/>
    <x v="3"/>
    <x v="0"/>
  </r>
  <r>
    <x v="112"/>
    <s v="INV-00585"/>
    <x v="11"/>
    <x v="0"/>
    <x v="0"/>
    <s v="Lagos"/>
    <s v="Samuel"/>
    <s v="Wholesale"/>
    <n v="110"/>
    <n v="1116.8800000000001"/>
    <n v="122856.80000000002"/>
    <n v="8187.67"/>
    <x v="450"/>
    <n v="67689.61"/>
    <n v="3104.92"/>
    <n v="8023.67"/>
    <n v="4417.3599999999997"/>
    <n v="2567.66"/>
    <n v="85803.22"/>
    <n v="46979.520000000019"/>
    <n v="28865.910000000018"/>
    <n v="0.25173217935812381"/>
    <s v="Paid"/>
    <x v="3"/>
    <x v="3"/>
    <x v="0"/>
  </r>
  <r>
    <x v="112"/>
    <s v="INV-01048"/>
    <x v="1"/>
    <x v="1"/>
    <x v="1"/>
    <s v="Abuja"/>
    <s v="Ibrahim"/>
    <s v="Distributor"/>
    <n v="90"/>
    <n v="4250.8999999999996"/>
    <n v="382580.99999999994"/>
    <n v="34357.49"/>
    <x v="451"/>
    <n v="250402.81"/>
    <n v="13225.61"/>
    <n v="20019.59"/>
    <n v="18469.060000000001"/>
    <n v="9412.17"/>
    <n v="311529.24"/>
    <n v="97820.699999999953"/>
    <n v="36694.26999999996"/>
    <n v="0.10537562498293113"/>
    <s v="Paid"/>
    <x v="3"/>
    <x v="3"/>
    <x v="0"/>
  </r>
  <r>
    <x v="112"/>
    <s v="INV-01074"/>
    <x v="4"/>
    <x v="6"/>
    <x v="0"/>
    <s v="Abuja"/>
    <s v="Mary"/>
    <s v="Supermarket"/>
    <n v="119"/>
    <n v="379.35"/>
    <n v="45142.65"/>
    <n v="3523.39"/>
    <x v="452"/>
    <n v="32032.19"/>
    <n v="1584.02"/>
    <n v="2525.81"/>
    <n v="2038.61"/>
    <n v="1216.21"/>
    <n v="39396.839999999997"/>
    <n v="9587.0700000000033"/>
    <n v="2222.4200000000055"/>
    <n v="5.3398835058576379E-2"/>
    <s v="Paid"/>
    <x v="3"/>
    <x v="3"/>
    <x v="0"/>
  </r>
  <r>
    <x v="112"/>
    <s v="INV-01439"/>
    <x v="7"/>
    <x v="7"/>
    <x v="5"/>
    <s v="Lagos"/>
    <s v="Amina"/>
    <s v="Wholesale"/>
    <n v="94"/>
    <n v="5495.53"/>
    <n v="516579.81999999995"/>
    <n v="40134.83"/>
    <x v="453"/>
    <n v="349082"/>
    <n v="11186.34"/>
    <n v="35712.730000000003"/>
    <n v="19737.53"/>
    <n v="11318.66"/>
    <n v="427037.25999999995"/>
    <n v="127362.98999999993"/>
    <n v="49407.729999999981"/>
    <n v="0.10370080709632394"/>
    <s v="Paid"/>
    <x v="3"/>
    <x v="3"/>
    <x v="0"/>
  </r>
  <r>
    <x v="113"/>
    <s v="INV-00113"/>
    <x v="8"/>
    <x v="3"/>
    <x v="3"/>
    <s v="Ibadan"/>
    <s v="Samuel"/>
    <s v="Wholesale"/>
    <n v="82"/>
    <n v="844.83"/>
    <n v="69276.06"/>
    <n v="5588.1"/>
    <x v="454"/>
    <n v="43431.6"/>
    <n v="2032.55"/>
    <n v="3890.03"/>
    <n v="2352.88"/>
    <n v="1337.23"/>
    <n v="53044.29"/>
    <n v="20256.36"/>
    <n v="10643.669999999998"/>
    <n v="0.16712216877412933"/>
    <s v="Paid"/>
    <x v="3"/>
    <x v="3"/>
    <x v="0"/>
  </r>
  <r>
    <x v="113"/>
    <s v="INV-01328"/>
    <x v="3"/>
    <x v="1"/>
    <x v="1"/>
    <s v="Ibadan"/>
    <s v="Daniel"/>
    <s v="Wholesale"/>
    <n v="93"/>
    <n v="4380.74"/>
    <n v="407408.82"/>
    <n v="32279.31"/>
    <x v="455"/>
    <n v="263218.02"/>
    <n v="10865.76"/>
    <n v="22910.84"/>
    <n v="17181.23"/>
    <n v="7958.16"/>
    <n v="322134.01"/>
    <n v="111911.48999999999"/>
    <n v="52995.5"/>
    <n v="0.14127254344772822"/>
    <s v="Paid"/>
    <x v="3"/>
    <x v="3"/>
    <x v="0"/>
  </r>
  <r>
    <x v="114"/>
    <s v="INV-01406"/>
    <x v="1"/>
    <x v="1"/>
    <x v="1"/>
    <s v="Lagos"/>
    <s v="Fatima"/>
    <s v="Wholesale"/>
    <n v="52"/>
    <n v="4312.43"/>
    <n v="224246.36000000002"/>
    <n v="14770.75"/>
    <x v="456"/>
    <n v="156243.47"/>
    <n v="5546.72"/>
    <n v="11919.51"/>
    <n v="9827.1"/>
    <n v="4712.45"/>
    <n v="188249.25000000003"/>
    <n v="53232.140000000014"/>
    <n v="21226.359999999986"/>
    <n v="0.10133093776406707"/>
    <s v="Pending"/>
    <x v="3"/>
    <x v="3"/>
    <x v="0"/>
  </r>
  <r>
    <x v="114"/>
    <s v="INV-00884"/>
    <x v="0"/>
    <x v="6"/>
    <x v="0"/>
    <s v="Abuja"/>
    <s v="Amina"/>
    <s v="Distributor"/>
    <n v="128"/>
    <n v="377.85"/>
    <n v="48364.800000000003"/>
    <n v="4077.13"/>
    <x v="457"/>
    <n v="33231.64"/>
    <n v="1468.78"/>
    <n v="3017.28"/>
    <n v="1633.11"/>
    <n v="895.75"/>
    <n v="40246.559999999998"/>
    <n v="11056.030000000006"/>
    <n v="4041.1100000000079"/>
    <n v="9.1246841389488478E-2"/>
    <s v="Paid"/>
    <x v="3"/>
    <x v="3"/>
    <x v="0"/>
  </r>
  <r>
    <x v="114"/>
    <s v="INV-00929"/>
    <x v="3"/>
    <x v="4"/>
    <x v="4"/>
    <s v="Ibadan"/>
    <s v="Daniel"/>
    <s v="Wholesale"/>
    <n v="46"/>
    <n v="3018.83"/>
    <n v="138866.18"/>
    <n v="9979.2199999999993"/>
    <x v="458"/>
    <n v="71944.800000000003"/>
    <n v="3932.4"/>
    <n v="8935.24"/>
    <n v="5262.63"/>
    <n v="3832.52"/>
    <n v="93907.590000000011"/>
    <n v="56942.159999999989"/>
    <n v="34979.369999999981"/>
    <n v="0.2713957253705106"/>
    <s v="Paid"/>
    <x v="3"/>
    <x v="3"/>
    <x v="0"/>
  </r>
  <r>
    <x v="114"/>
    <s v="INV-01084"/>
    <x v="2"/>
    <x v="3"/>
    <x v="3"/>
    <s v="Abuja"/>
    <s v="Ibrahim"/>
    <s v="Wholesale"/>
    <n v="98"/>
    <n v="864.09"/>
    <n v="84680.82"/>
    <n v="6555.05"/>
    <x v="459"/>
    <n v="54158.81"/>
    <n v="3025.29"/>
    <n v="4842.09"/>
    <n v="3744.31"/>
    <n v="1606.27"/>
    <n v="67376.77"/>
    <n v="23966.960000000006"/>
    <n v="10749"/>
    <n v="0.13758584395392198"/>
    <s v="Paid"/>
    <x v="3"/>
    <x v="3"/>
    <x v="0"/>
  </r>
  <r>
    <x v="114"/>
    <s v="INV-00211"/>
    <x v="3"/>
    <x v="0"/>
    <x v="0"/>
    <s v="Lagos"/>
    <s v="Amina"/>
    <s v="Wholesale"/>
    <n v="65"/>
    <n v="1176.76"/>
    <n v="76489.399999999994"/>
    <n v="5635.94"/>
    <x v="460"/>
    <n v="41062.97"/>
    <n v="1747.8"/>
    <n v="4580.24"/>
    <n v="2597.23"/>
    <n v="1754.67"/>
    <n v="51742.91"/>
    <n v="29790.489999999991"/>
    <n v="19110.549999999988"/>
    <n v="0.26971936162327131"/>
    <s v="Paid"/>
    <x v="3"/>
    <x v="3"/>
    <x v="0"/>
  </r>
  <r>
    <x v="115"/>
    <s v="INV-00795"/>
    <x v="11"/>
    <x v="3"/>
    <x v="3"/>
    <s v="Port Harcourt"/>
    <s v="Tunde"/>
    <s v="Retail"/>
    <n v="92"/>
    <n v="872.54"/>
    <n v="80273.679999999993"/>
    <n v="5876.81"/>
    <x v="461"/>
    <n v="48724.01"/>
    <n v="3190.7"/>
    <n v="4844.5600000000004"/>
    <n v="2723.23"/>
    <n v="2058.75"/>
    <n v="61541.25"/>
    <n v="25672.859999999993"/>
    <n v="12855.619999999995"/>
    <n v="0.17279786098528063"/>
    <s v="Paid"/>
    <x v="3"/>
    <x v="3"/>
    <x v="0"/>
  </r>
  <r>
    <x v="115"/>
    <s v="INV-00144"/>
    <x v="6"/>
    <x v="7"/>
    <x v="5"/>
    <s v="Ibadan"/>
    <s v="Ibrahim"/>
    <s v="Wholesale"/>
    <n v="78"/>
    <n v="5478.23"/>
    <n v="427301.93999999994"/>
    <n v="33100.589999999997"/>
    <x v="462"/>
    <n v="301399.06"/>
    <n v="11931.5"/>
    <n v="28172.68"/>
    <n v="16614.87"/>
    <n v="8452.68"/>
    <n v="366570.79"/>
    <n v="92802.289999999979"/>
    <n v="27630.559999999998"/>
    <n v="7.0092504756769605E-2"/>
    <s v="Paid"/>
    <x v="3"/>
    <x v="3"/>
    <x v="0"/>
  </r>
  <r>
    <x v="115"/>
    <s v="INV-00340"/>
    <x v="11"/>
    <x v="6"/>
    <x v="0"/>
    <s v="Port Harcourt"/>
    <s v="Tunde"/>
    <s v="Supermarket"/>
    <n v="91"/>
    <n v="358.65"/>
    <n v="32637.149999999998"/>
    <n v="2474.42"/>
    <x v="463"/>
    <n v="22653.5"/>
    <n v="1210.6300000000001"/>
    <n v="1676.51"/>
    <n v="1062.8499999999999"/>
    <n v="713.34"/>
    <n v="27316.829999999998"/>
    <n v="7509.2299999999959"/>
    <n v="2845.8999999999978"/>
    <n v="9.4351539134554407E-2"/>
    <s v="Paid"/>
    <x v="3"/>
    <x v="3"/>
    <x v="0"/>
  </r>
  <r>
    <x v="115"/>
    <s v="INV-00674"/>
    <x v="10"/>
    <x v="2"/>
    <x v="2"/>
    <s v="Port Harcourt"/>
    <s v="Ibrahim"/>
    <s v="Wholesale"/>
    <n v="45"/>
    <n v="4250.42"/>
    <n v="191268.9"/>
    <n v="14810.59"/>
    <x v="464"/>
    <n v="125133.18"/>
    <n v="6710.01"/>
    <n v="12250.71"/>
    <n v="6197.83"/>
    <n v="5046.74"/>
    <n v="155338.46999999997"/>
    <n v="51325.130000000005"/>
    <n v="21119.840000000026"/>
    <n v="0.11968742078511364"/>
    <s v="Paid"/>
    <x v="3"/>
    <x v="3"/>
    <x v="0"/>
  </r>
  <r>
    <x v="115"/>
    <s v="INV-01069"/>
    <x v="4"/>
    <x v="1"/>
    <x v="1"/>
    <s v="Lagos"/>
    <s v="Mary"/>
    <s v="Retail"/>
    <n v="63"/>
    <n v="4364.05"/>
    <n v="274935.15000000002"/>
    <n v="22345.25"/>
    <x v="465"/>
    <n v="186769.21"/>
    <n v="6982.84"/>
    <n v="18774.28"/>
    <n v="9203.8799999999992"/>
    <n v="5694.04"/>
    <n v="227424.25"/>
    <n v="65820.690000000031"/>
    <n v="25165.650000000023"/>
    <n v="9.9630468201618597E-2"/>
    <s v="Paid"/>
    <x v="3"/>
    <x v="3"/>
    <x v="0"/>
  </r>
  <r>
    <x v="115"/>
    <s v="INV-00933"/>
    <x v="7"/>
    <x v="2"/>
    <x v="2"/>
    <s v="Ibadan"/>
    <s v="Emeka"/>
    <s v="Wholesale"/>
    <n v="71"/>
    <n v="4276.46"/>
    <n v="303628.65999999997"/>
    <n v="19848.080000000002"/>
    <x v="466"/>
    <n v="208779.68"/>
    <n v="8265.6"/>
    <n v="16853.919999999998"/>
    <n v="14057.16"/>
    <n v="5746.65"/>
    <n v="253703.01"/>
    <n v="75000.899999999965"/>
    <n v="30077.569999999949"/>
    <n v="0.1059888241824016"/>
    <s v="Paid"/>
    <x v="3"/>
    <x v="3"/>
    <x v="0"/>
  </r>
  <r>
    <x v="116"/>
    <s v="INV-00398"/>
    <x v="2"/>
    <x v="6"/>
    <x v="0"/>
    <s v="Abuja"/>
    <s v="Mary"/>
    <s v="Distributor"/>
    <n v="141"/>
    <n v="386.72"/>
    <n v="54527.520000000004"/>
    <n v="4845.5200000000004"/>
    <x v="467"/>
    <n v="37765.71"/>
    <n v="1862.95"/>
    <n v="3651.09"/>
    <n v="2575.81"/>
    <n v="1458.83"/>
    <n v="47314.39"/>
    <n v="11916.29"/>
    <n v="2367.6100000000006"/>
    <n v="4.7655287629322501E-2"/>
    <s v="Paid"/>
    <x v="4"/>
    <x v="4"/>
    <x v="0"/>
  </r>
  <r>
    <x v="116"/>
    <s v="INV-01205"/>
    <x v="11"/>
    <x v="1"/>
    <x v="1"/>
    <s v="Lagos"/>
    <s v="Mary"/>
    <s v="Distributor"/>
    <n v="44"/>
    <n v="4292.83"/>
    <n v="188884.52"/>
    <n v="13446.2"/>
    <x v="468"/>
    <n v="125300.59"/>
    <n v="4255.3999999999996"/>
    <n v="10052.48"/>
    <n v="6311.72"/>
    <n v="3715.27"/>
    <n v="149635.46"/>
    <n v="50137.729999999981"/>
    <n v="25802.859999999986"/>
    <n v="0.1470765337926172"/>
    <s v="Pending"/>
    <x v="4"/>
    <x v="4"/>
    <x v="0"/>
  </r>
  <r>
    <x v="116"/>
    <s v="INV-00437"/>
    <x v="5"/>
    <x v="1"/>
    <x v="1"/>
    <s v="Lagos"/>
    <s v="Fatima"/>
    <s v="Retail"/>
    <n v="72"/>
    <n v="4443"/>
    <n v="319896"/>
    <n v="18968.099999999999"/>
    <x v="469"/>
    <n v="216039.87"/>
    <n v="8224.75"/>
    <n v="21510.55"/>
    <n v="12931.58"/>
    <n v="6669.13"/>
    <n v="265375.87999999995"/>
    <n v="84888.030000000028"/>
    <n v="35552.020000000077"/>
    <n v="0.11814132222369569"/>
    <s v="Paid"/>
    <x v="4"/>
    <x v="4"/>
    <x v="0"/>
  </r>
  <r>
    <x v="116"/>
    <s v="INV-01412"/>
    <x v="4"/>
    <x v="1"/>
    <x v="1"/>
    <s v="Lagos"/>
    <s v="Ibrahim"/>
    <s v="Supermarket"/>
    <n v="43"/>
    <n v="4512.99"/>
    <n v="194058.56999999998"/>
    <n v="15881.71"/>
    <x v="470"/>
    <n v="134188.76999999999"/>
    <n v="4755.63"/>
    <n v="11150.17"/>
    <n v="9474.3700000000008"/>
    <n v="3643.08"/>
    <n v="163212.01999999999"/>
    <n v="43988.09"/>
    <n v="14964.839999999997"/>
    <n v="8.3988684052463361E-2"/>
    <s v="Paid"/>
    <x v="4"/>
    <x v="4"/>
    <x v="0"/>
  </r>
  <r>
    <x v="117"/>
    <s v="INV-00012"/>
    <x v="9"/>
    <x v="7"/>
    <x v="5"/>
    <s v="Port Harcourt"/>
    <s v="Daniel"/>
    <s v="Retail"/>
    <n v="76"/>
    <n v="5390.39"/>
    <n v="409669.64"/>
    <n v="34088.79"/>
    <x v="471"/>
    <n v="276477.23"/>
    <n v="17040.509999999998"/>
    <n v="23213.13"/>
    <n v="16375.62"/>
    <n v="10123.89"/>
    <n v="343230.38"/>
    <n v="99103.620000000054"/>
    <n v="32350.47000000003"/>
    <n v="8.6134503396539067E-2"/>
    <s v="Pending"/>
    <x v="4"/>
    <x v="4"/>
    <x v="0"/>
  </r>
  <r>
    <x v="117"/>
    <s v="INV-00985"/>
    <x v="2"/>
    <x v="8"/>
    <x v="2"/>
    <s v="Port Harcourt"/>
    <s v="Mary"/>
    <s v="Wholesale"/>
    <n v="48"/>
    <n v="6408.21"/>
    <n v="307594.08"/>
    <n v="23010.05"/>
    <x v="472"/>
    <n v="171281.07"/>
    <n v="11117.09"/>
    <n v="18858.54"/>
    <n v="10240.01"/>
    <n v="6655.82"/>
    <n v="218152.53000000003"/>
    <n v="113302.96000000002"/>
    <n v="66431.5"/>
    <n v="0.23343368916379459"/>
    <s v="Paid"/>
    <x v="4"/>
    <x v="4"/>
    <x v="0"/>
  </r>
  <r>
    <x v="118"/>
    <s v="INV-00126"/>
    <x v="3"/>
    <x v="0"/>
    <x v="0"/>
    <s v="Lagos"/>
    <s v="Tunde"/>
    <s v="Wholesale"/>
    <n v="121"/>
    <n v="1146.33"/>
    <n v="138705.93"/>
    <n v="10108.68"/>
    <x v="473"/>
    <n v="77823.95"/>
    <n v="3084.12"/>
    <n v="8622.61"/>
    <n v="5443.21"/>
    <n v="3221.81"/>
    <n v="98195.7"/>
    <n v="50773.3"/>
    <n v="30401.550000000003"/>
    <n v="0.23640902118824472"/>
    <s v="Pending"/>
    <x v="4"/>
    <x v="4"/>
    <x v="0"/>
  </r>
  <r>
    <x v="118"/>
    <s v="INV-00957"/>
    <x v="4"/>
    <x v="1"/>
    <x v="1"/>
    <s v="Lagos"/>
    <s v="Daniel"/>
    <s v="Supermarket"/>
    <n v="58"/>
    <n v="4638.71"/>
    <n v="269045.18"/>
    <n v="21436.080000000002"/>
    <x v="474"/>
    <n v="174121.07"/>
    <n v="6243.32"/>
    <n v="15989.36"/>
    <n v="10998.18"/>
    <n v="5068.6400000000003"/>
    <n v="212420.57"/>
    <n v="73488.02999999997"/>
    <n v="35188.52999999997"/>
    <n v="0.14211323412588622"/>
    <s v="Pending"/>
    <x v="4"/>
    <x v="4"/>
    <x v="0"/>
  </r>
  <r>
    <x v="118"/>
    <s v="INV-01014"/>
    <x v="10"/>
    <x v="5"/>
    <x v="3"/>
    <s v="Port Harcourt"/>
    <s v="Fatima"/>
    <s v="Wholesale"/>
    <n v="47"/>
    <n v="1529.14"/>
    <n v="71869.58"/>
    <n v="4904.59"/>
    <x v="475"/>
    <n v="36233.39"/>
    <n v="2698.58"/>
    <n v="4152.18"/>
    <n v="2418.91"/>
    <n v="2017.25"/>
    <n v="47520.31"/>
    <n v="30731.600000000006"/>
    <n v="19444.680000000008"/>
    <n v="0.29037083407314784"/>
    <s v="Paid"/>
    <x v="4"/>
    <x v="4"/>
    <x v="0"/>
  </r>
  <r>
    <x v="119"/>
    <s v="INV-01163"/>
    <x v="7"/>
    <x v="6"/>
    <x v="0"/>
    <s v="Lagos"/>
    <s v="Samuel"/>
    <s v="Wholesale"/>
    <n v="128"/>
    <n v="359.32"/>
    <n v="45992.959999999999"/>
    <n v="3862.08"/>
    <x v="476"/>
    <n v="33810.29"/>
    <n v="1162.44"/>
    <n v="2556.04"/>
    <n v="2065.86"/>
    <n v="1203.8800000000001"/>
    <n v="40798.51"/>
    <n v="8320.5899999999965"/>
    <n v="1332.3699999999953"/>
    <n v="3.1624547125528722E-2"/>
    <s v="Paid"/>
    <x v="4"/>
    <x v="4"/>
    <x v="0"/>
  </r>
  <r>
    <x v="119"/>
    <s v="INV-00627"/>
    <x v="10"/>
    <x v="8"/>
    <x v="2"/>
    <s v="Lagos"/>
    <s v="Ibrahim"/>
    <s v="Wholesale"/>
    <n v="59"/>
    <n v="6749.27"/>
    <n v="398206.93000000005"/>
    <n v="26513.85"/>
    <x v="477"/>
    <n v="217643.56"/>
    <n v="10190.4"/>
    <n v="22971.84"/>
    <n v="15402.93"/>
    <n v="9478.6200000000008"/>
    <n v="275687.34999999998"/>
    <n v="154049.52000000008"/>
    <n v="96005.730000000098"/>
    <n v="0.2582930249871751"/>
    <s v="Paid"/>
    <x v="4"/>
    <x v="4"/>
    <x v="0"/>
  </r>
  <r>
    <x v="119"/>
    <s v="INV-01247"/>
    <x v="4"/>
    <x v="7"/>
    <x v="5"/>
    <s v="Abuja"/>
    <s v="Fatima"/>
    <s v="Retail"/>
    <n v="51"/>
    <n v="5554.91"/>
    <n v="283300.40999999997"/>
    <n v="21671.87"/>
    <x v="478"/>
    <n v="202603.39"/>
    <n v="8717.86"/>
    <n v="18291.560000000001"/>
    <n v="10357.530000000001"/>
    <n v="7980.9"/>
    <n v="247951.24"/>
    <n v="59025.149999999965"/>
    <n v="13677.299999999988"/>
    <n v="5.2277553511554928E-2"/>
    <s v="Pending"/>
    <x v="4"/>
    <x v="4"/>
    <x v="0"/>
  </r>
  <r>
    <x v="120"/>
    <s v="INV-01404"/>
    <x v="4"/>
    <x v="9"/>
    <x v="4"/>
    <s v="Lagos"/>
    <s v="Mary"/>
    <s v="Retail"/>
    <n v="107"/>
    <n v="1869.8"/>
    <n v="200068.6"/>
    <n v="16460.43"/>
    <x v="479"/>
    <n v="124449.66"/>
    <n v="5171.99"/>
    <n v="11487.21"/>
    <n v="7254.63"/>
    <n v="4830.7"/>
    <n v="153194.19000000003"/>
    <n v="59158.510000000009"/>
    <n v="30413.979999999981"/>
    <n v="0.1656461147671151"/>
    <s v="Paid"/>
    <x v="4"/>
    <x v="4"/>
    <x v="0"/>
  </r>
  <r>
    <x v="120"/>
    <s v="INV-00214"/>
    <x v="9"/>
    <x v="6"/>
    <x v="0"/>
    <s v="Lagos"/>
    <s v="Mary"/>
    <s v="Retail"/>
    <n v="113"/>
    <n v="385.98"/>
    <n v="43615.740000000005"/>
    <n v="2536.54"/>
    <x v="480"/>
    <n v="31775.24"/>
    <n v="1161.17"/>
    <n v="3074.72"/>
    <n v="1963.19"/>
    <n v="914.21"/>
    <n v="38888.530000000006"/>
    <n v="9303.9600000000028"/>
    <n v="2190.6699999999983"/>
    <n v="5.3327961596136196E-2"/>
    <s v="Paid"/>
    <x v="4"/>
    <x v="4"/>
    <x v="0"/>
  </r>
  <r>
    <x v="120"/>
    <s v="INV-01390"/>
    <x v="1"/>
    <x v="1"/>
    <x v="1"/>
    <s v="Lagos"/>
    <s v="Ibrahim"/>
    <s v="Wholesale"/>
    <n v="61"/>
    <n v="4433.6899999999996"/>
    <n v="270455.08999999997"/>
    <n v="21965.43"/>
    <x v="481"/>
    <n v="185820.88"/>
    <n v="6642.87"/>
    <n v="16303.06"/>
    <n v="8981.75"/>
    <n v="5038.47"/>
    <n v="222787.03"/>
    <n v="62668.77999999997"/>
    <n v="25702.629999999976"/>
    <n v="0.10343541055189169"/>
    <s v="Paid"/>
    <x v="4"/>
    <x v="4"/>
    <x v="0"/>
  </r>
  <r>
    <x v="120"/>
    <s v="INV-01253"/>
    <x v="11"/>
    <x v="1"/>
    <x v="1"/>
    <s v="Lagos"/>
    <s v="Ibrahim"/>
    <s v="Supermarket"/>
    <n v="84"/>
    <n v="4629.92"/>
    <n v="388913.28"/>
    <n v="24933.95"/>
    <x v="482"/>
    <n v="259112.74"/>
    <n v="9687.9599999999991"/>
    <n v="24476.38"/>
    <n v="16038.3"/>
    <n v="8261.25"/>
    <n v="317576.63"/>
    <n v="104866.59000000003"/>
    <n v="46402.700000000012"/>
    <n v="0.12748718450577951"/>
    <s v="Paid"/>
    <x v="4"/>
    <x v="4"/>
    <x v="0"/>
  </r>
  <r>
    <x v="120"/>
    <s v="INV-00554"/>
    <x v="10"/>
    <x v="0"/>
    <x v="0"/>
    <s v="Lagos"/>
    <s v="Emeka"/>
    <s v="Wholesale"/>
    <n v="105"/>
    <n v="1211.92"/>
    <n v="127251.6"/>
    <n v="10265.870000000001"/>
    <x v="483"/>
    <n v="68607.350000000006"/>
    <n v="3087.55"/>
    <n v="7596.82"/>
    <n v="6265.84"/>
    <n v="3383.27"/>
    <n v="88940.83"/>
    <n v="48378.380000000005"/>
    <n v="28044.900000000009"/>
    <n v="0.23972923877125873"/>
    <s v="Paid"/>
    <x v="4"/>
    <x v="4"/>
    <x v="0"/>
  </r>
  <r>
    <x v="120"/>
    <s v="INV-00327"/>
    <x v="6"/>
    <x v="7"/>
    <x v="5"/>
    <s v="Lagos"/>
    <s v="Samuel"/>
    <s v="Supermarket"/>
    <n v="94"/>
    <n v="5647.82"/>
    <n v="530895.07999999996"/>
    <n v="42436.65"/>
    <x v="484"/>
    <n v="375549"/>
    <n v="12670.98"/>
    <n v="28063.78"/>
    <n v="25546.12"/>
    <n v="13177.33"/>
    <n v="455007.21"/>
    <n v="112909.42999999993"/>
    <n v="33451.219999999914"/>
    <n v="6.8483248410719247E-2"/>
    <s v="Paid"/>
    <x v="4"/>
    <x v="4"/>
    <x v="0"/>
  </r>
  <r>
    <x v="120"/>
    <s v="INV-00402"/>
    <x v="5"/>
    <x v="0"/>
    <x v="0"/>
    <s v="Lagos"/>
    <s v="Amina"/>
    <s v="Wholesale"/>
    <n v="94"/>
    <n v="1198.3699999999999"/>
    <n v="112646.77999999998"/>
    <n v="8611.2800000000007"/>
    <x v="485"/>
    <n v="62299.25"/>
    <n v="2961.51"/>
    <n v="5940.67"/>
    <n v="5679.82"/>
    <n v="3287.15"/>
    <n v="80168.399999999994"/>
    <n v="41736.249999999985"/>
    <n v="23867.099999999991"/>
    <n v="0.22941303689605946"/>
    <s v="Pending"/>
    <x v="4"/>
    <x v="4"/>
    <x v="0"/>
  </r>
  <r>
    <x v="121"/>
    <s v="INV-00208"/>
    <x v="8"/>
    <x v="2"/>
    <x v="2"/>
    <s v="Abuja"/>
    <s v="Ibrahim"/>
    <s v="Wholesale"/>
    <n v="31"/>
    <n v="4366.8500000000004"/>
    <n v="135372.35"/>
    <n v="11420.64"/>
    <x v="486"/>
    <n v="91256.15"/>
    <n v="4122.9399999999996"/>
    <n v="7144.56"/>
    <n v="5056.8"/>
    <n v="3404.12"/>
    <n v="110984.56999999999"/>
    <n v="32695.560000000012"/>
    <n v="12967.140000000014"/>
    <n v="0.10461445025647499"/>
    <s v="Paid"/>
    <x v="4"/>
    <x v="4"/>
    <x v="0"/>
  </r>
  <r>
    <x v="121"/>
    <s v="INV-00101"/>
    <x v="5"/>
    <x v="7"/>
    <x v="5"/>
    <s v="Lagos"/>
    <s v="Daniel"/>
    <s v="Supermarket"/>
    <n v="49"/>
    <n v="5485.27"/>
    <n v="268778.23000000004"/>
    <n v="23570.03"/>
    <x v="487"/>
    <n v="186079.22"/>
    <n v="5751.4"/>
    <n v="15220.23"/>
    <n v="10519.7"/>
    <n v="6889.32"/>
    <n v="224459.87000000002"/>
    <n v="59128.98000000004"/>
    <n v="20748.330000000016"/>
    <n v="8.4615155610619927E-2"/>
    <s v="Pending"/>
    <x v="4"/>
    <x v="4"/>
    <x v="0"/>
  </r>
  <r>
    <x v="121"/>
    <s v="INV-00109"/>
    <x v="7"/>
    <x v="2"/>
    <x v="2"/>
    <s v="Ibadan"/>
    <s v="Tunde"/>
    <s v="Supermarket"/>
    <n v="84"/>
    <n v="4642.0600000000004"/>
    <n v="389933.04000000004"/>
    <n v="32734.080000000002"/>
    <x v="488"/>
    <n v="263838.40999999997"/>
    <n v="9825.0499999999993"/>
    <n v="20895.189999999999"/>
    <n v="14517.82"/>
    <n v="9203.93"/>
    <n v="318280.39999999997"/>
    <n v="93360.550000000047"/>
    <n v="38918.560000000056"/>
    <n v="0.10895485250013061"/>
    <s v="Paid"/>
    <x v="4"/>
    <x v="4"/>
    <x v="0"/>
  </r>
  <r>
    <x v="121"/>
    <s v="INV-01034"/>
    <x v="2"/>
    <x v="2"/>
    <x v="2"/>
    <s v="Lagos"/>
    <s v="Ibrahim"/>
    <s v="Retail"/>
    <n v="29"/>
    <n v="4383.51"/>
    <n v="127121.79000000001"/>
    <n v="7701.06"/>
    <x v="489"/>
    <n v="82702.06"/>
    <n v="3352.9"/>
    <n v="8454.4699999999993"/>
    <n v="4932.49"/>
    <n v="2782.76"/>
    <n v="102224.68"/>
    <n v="36718.670000000013"/>
    <n v="17196.050000000017"/>
    <n v="0.143995519035933"/>
    <s v="Pending"/>
    <x v="4"/>
    <x v="4"/>
    <x v="0"/>
  </r>
  <r>
    <x v="121"/>
    <s v="INV-00906"/>
    <x v="4"/>
    <x v="0"/>
    <x v="0"/>
    <s v="Ibadan"/>
    <s v="Samuel"/>
    <s v="Wholesale"/>
    <n v="59"/>
    <n v="1192.19"/>
    <n v="70339.210000000006"/>
    <n v="6076.88"/>
    <x v="490"/>
    <n v="38776.400000000001"/>
    <n v="1761.4"/>
    <n v="3720.66"/>
    <n v="2811.89"/>
    <n v="1552.01"/>
    <n v="48622.360000000008"/>
    <n v="25485.930000000008"/>
    <n v="15639.970000000001"/>
    <n v="0.24337695194058478"/>
    <s v="Paid"/>
    <x v="4"/>
    <x v="4"/>
    <x v="0"/>
  </r>
  <r>
    <x v="121"/>
    <s v="INV-01218"/>
    <x v="6"/>
    <x v="6"/>
    <x v="0"/>
    <s v="Abuja"/>
    <s v="Daniel"/>
    <s v="Supermarket"/>
    <n v="129"/>
    <n v="371.34"/>
    <n v="47902.859999999993"/>
    <n v="3026.86"/>
    <x v="491"/>
    <n v="34095.31"/>
    <n v="1712.67"/>
    <n v="2690.03"/>
    <n v="1877.78"/>
    <n v="908.53"/>
    <n v="41284.319999999992"/>
    <n v="10780.689999999995"/>
    <n v="3591.6800000000003"/>
    <n v="8.0035653801586615E-2"/>
    <s v="Paid"/>
    <x v="4"/>
    <x v="4"/>
    <x v="0"/>
  </r>
  <r>
    <x v="122"/>
    <s v="INV-01430"/>
    <x v="0"/>
    <x v="4"/>
    <x v="4"/>
    <s v="Port Harcourt"/>
    <s v="Amina"/>
    <s v="Distributor"/>
    <n v="67"/>
    <n v="3115.33"/>
    <n v="208727.11"/>
    <n v="17826.59"/>
    <x v="492"/>
    <n v="112180.17"/>
    <n v="8073.24"/>
    <n v="11841.51"/>
    <n v="7059.74"/>
    <n v="4297.09"/>
    <n v="143451.75"/>
    <n v="78720.349999999991"/>
    <n v="47448.76999999999"/>
    <n v="0.2485523350067354"/>
    <s v="Pending"/>
    <x v="4"/>
    <x v="4"/>
    <x v="0"/>
  </r>
  <r>
    <x v="123"/>
    <s v="INV-00739"/>
    <x v="2"/>
    <x v="1"/>
    <x v="1"/>
    <s v="Ibadan"/>
    <s v="Amina"/>
    <s v="Retail"/>
    <n v="76"/>
    <n v="4365.45"/>
    <n v="331774.2"/>
    <n v="25678.33"/>
    <x v="493"/>
    <n v="216162.91"/>
    <n v="8360.74"/>
    <n v="21698.42"/>
    <n v="10748.59"/>
    <n v="6861.03"/>
    <n v="263831.69"/>
    <n v="89932.959999999992"/>
    <n v="42264.179999999993"/>
    <n v="0.13807497631379342"/>
    <s v="Paid"/>
    <x v="4"/>
    <x v="4"/>
    <x v="0"/>
  </r>
  <r>
    <x v="124"/>
    <s v="INV-00232"/>
    <x v="1"/>
    <x v="0"/>
    <x v="0"/>
    <s v="Abuja"/>
    <s v="Emeka"/>
    <s v="Wholesale"/>
    <n v="91"/>
    <n v="1173.08"/>
    <n v="106750.28"/>
    <n v="8114.54"/>
    <x v="494"/>
    <n v="59284.57"/>
    <n v="3538.83"/>
    <n v="6902.06"/>
    <n v="4146.18"/>
    <n v="2257.96"/>
    <n v="76129.60000000002"/>
    <n v="39351.170000000006"/>
    <n v="22506.139999999985"/>
    <n v="0.22817429057662045"/>
    <s v="Pending"/>
    <x v="4"/>
    <x v="4"/>
    <x v="0"/>
  </r>
  <r>
    <x v="124"/>
    <s v="INV-00778"/>
    <x v="2"/>
    <x v="8"/>
    <x v="2"/>
    <s v="Abuja"/>
    <s v="Emeka"/>
    <s v="Wholesale"/>
    <n v="57"/>
    <n v="6550.69"/>
    <n v="373389.32999999996"/>
    <n v="27940.82"/>
    <x v="495"/>
    <n v="194305.77"/>
    <n v="11747.82"/>
    <n v="20865.61"/>
    <n v="14322.14"/>
    <n v="9286.5400000000009"/>
    <n v="250527.88000000003"/>
    <n v="151142.73999999996"/>
    <n v="94920.629999999917"/>
    <n v="0.27477504534612102"/>
    <s v="Paid"/>
    <x v="4"/>
    <x v="4"/>
    <x v="0"/>
  </r>
  <r>
    <x v="124"/>
    <s v="INV-00006"/>
    <x v="8"/>
    <x v="6"/>
    <x v="0"/>
    <s v="Lagos"/>
    <s v="Ibrahim"/>
    <s v="Supermarket"/>
    <n v="121"/>
    <n v="364.48"/>
    <n v="44102.080000000002"/>
    <n v="3131.42"/>
    <x v="496"/>
    <n v="31590.05"/>
    <n v="970.52"/>
    <n v="2804.22"/>
    <n v="1711.46"/>
    <n v="984.11"/>
    <n v="38060.36"/>
    <n v="9380.6100000000042"/>
    <n v="2910.3000000000029"/>
    <n v="7.1033759280421715E-2"/>
    <s v="Paid"/>
    <x v="4"/>
    <x v="4"/>
    <x v="0"/>
  </r>
  <r>
    <x v="125"/>
    <s v="INV-00041"/>
    <x v="10"/>
    <x v="6"/>
    <x v="0"/>
    <s v="Port Harcourt"/>
    <s v="Daniel"/>
    <s v="Retail"/>
    <n v="145"/>
    <n v="373.7"/>
    <n v="54186.5"/>
    <n v="4511.6099999999997"/>
    <x v="497"/>
    <n v="39415.43"/>
    <n v="2162.61"/>
    <n v="3525.8"/>
    <n v="1952.71"/>
    <n v="1150.5"/>
    <n v="48207.05"/>
    <n v="10259.459999999999"/>
    <n v="1467.8399999999965"/>
    <n v="2.9548933072624753E-2"/>
    <s v="Paid"/>
    <x v="4"/>
    <x v="4"/>
    <x v="0"/>
  </r>
  <r>
    <x v="125"/>
    <s v="INV-00190"/>
    <x v="6"/>
    <x v="4"/>
    <x v="4"/>
    <s v="Port Harcourt"/>
    <s v="Tunde"/>
    <s v="Supermarket"/>
    <n v="60"/>
    <n v="3143.39"/>
    <n v="188603.4"/>
    <n v="12435.62"/>
    <x v="498"/>
    <n v="102361.08"/>
    <n v="7648.03"/>
    <n v="9975.0499999999993"/>
    <n v="7813.12"/>
    <n v="4625.9799999999996"/>
    <n v="132423.26"/>
    <n v="73806.7"/>
    <n v="43744.51999999999"/>
    <n v="0.2483116946810591"/>
    <s v="Paid"/>
    <x v="4"/>
    <x v="4"/>
    <x v="0"/>
  </r>
  <r>
    <x v="125"/>
    <s v="INV-00654"/>
    <x v="1"/>
    <x v="9"/>
    <x v="4"/>
    <s v="Lagos"/>
    <s v="Daniel"/>
    <s v="Supermarket"/>
    <n v="60"/>
    <n v="1839.71"/>
    <n v="110382.6"/>
    <n v="9001.48"/>
    <x v="499"/>
    <n v="73612.429999999993"/>
    <n v="2478.91"/>
    <n v="6903.76"/>
    <n v="4119.18"/>
    <n v="2443.5"/>
    <n v="89557.78"/>
    <n v="27768.690000000017"/>
    <n v="11823.340000000011"/>
    <n v="0.11662270055805272"/>
    <s v="Paid"/>
    <x v="4"/>
    <x v="4"/>
    <x v="0"/>
  </r>
  <r>
    <x v="125"/>
    <s v="INV-00432"/>
    <x v="4"/>
    <x v="10"/>
    <x v="5"/>
    <s v="Lagos"/>
    <s v="Amina"/>
    <s v="Retail"/>
    <n v="42"/>
    <n v="6982.16"/>
    <n v="293250.71999999997"/>
    <n v="17436.61"/>
    <x v="500"/>
    <n v="171875.4"/>
    <n v="6919.94"/>
    <n v="20187.97"/>
    <n v="12133.67"/>
    <n v="5684.46"/>
    <n v="216801.44"/>
    <n v="103938.70999999999"/>
    <n v="59012.669999999984"/>
    <n v="0.2139581256375897"/>
    <s v="Paid"/>
    <x v="4"/>
    <x v="4"/>
    <x v="0"/>
  </r>
  <r>
    <x v="126"/>
    <s v="INV-00002"/>
    <x v="3"/>
    <x v="3"/>
    <x v="3"/>
    <s v="Port Harcourt"/>
    <s v="Emeka"/>
    <s v="Distributor"/>
    <n v="97"/>
    <n v="826.65"/>
    <n v="80185.05"/>
    <n v="7509.59"/>
    <x v="501"/>
    <n v="47965.27"/>
    <n v="2781"/>
    <n v="4786.8500000000004"/>
    <n v="3665.3"/>
    <n v="2243.2199999999998"/>
    <n v="61441.64"/>
    <n v="24710.19000000001"/>
    <n v="11233.820000000007"/>
    <n v="0.15457514819995644"/>
    <s v="Paid"/>
    <x v="4"/>
    <x v="4"/>
    <x v="0"/>
  </r>
  <r>
    <x v="126"/>
    <s v="INV-00526"/>
    <x v="1"/>
    <x v="8"/>
    <x v="2"/>
    <s v="Lagos"/>
    <s v="Amina"/>
    <s v="Supermarket"/>
    <n v="51"/>
    <n v="6567.69"/>
    <n v="334952.19"/>
    <n v="25680.18"/>
    <x v="502"/>
    <n v="175559.29"/>
    <n v="7807.4"/>
    <n v="22207.45"/>
    <n v="13734.99"/>
    <n v="7871.56"/>
    <n v="227180.69"/>
    <n v="133712.72"/>
    <n v="82091.320000000007"/>
    <n v="0.2654340429966488"/>
    <s v="Paid"/>
    <x v="4"/>
    <x v="4"/>
    <x v="0"/>
  </r>
  <r>
    <x v="126"/>
    <s v="INV-00009"/>
    <x v="8"/>
    <x v="6"/>
    <x v="0"/>
    <s v="Lagos"/>
    <s v="Mary"/>
    <s v="Supermarket"/>
    <n v="119"/>
    <n v="371.73"/>
    <n v="44235.87"/>
    <n v="3277.93"/>
    <x v="503"/>
    <n v="32343.07"/>
    <n v="1026.42"/>
    <n v="2515.9899999999998"/>
    <n v="1781.62"/>
    <n v="1125.45"/>
    <n v="38792.549999999996"/>
    <n v="8614.8700000000026"/>
    <n v="2165.3900000000067"/>
    <n v="5.2868625717016199E-2"/>
    <s v="Pending"/>
    <x v="4"/>
    <x v="4"/>
    <x v="0"/>
  </r>
  <r>
    <x v="126"/>
    <s v="INV-00987"/>
    <x v="11"/>
    <x v="6"/>
    <x v="0"/>
    <s v="Lagos"/>
    <s v="Daniel"/>
    <s v="Wholesale"/>
    <n v="173"/>
    <n v="371.48"/>
    <n v="64266.04"/>
    <n v="6098.43"/>
    <x v="504"/>
    <n v="47079.5"/>
    <n v="1533.37"/>
    <n v="4063.42"/>
    <n v="2069.54"/>
    <n v="1388.49"/>
    <n v="56134.32"/>
    <n v="11088.11"/>
    <n v="2033.2900000000009"/>
    <n v="3.4955708168171271E-2"/>
    <s v="Paid"/>
    <x v="4"/>
    <x v="4"/>
    <x v="0"/>
  </r>
  <r>
    <x v="126"/>
    <s v="INV-01079"/>
    <x v="10"/>
    <x v="3"/>
    <x v="3"/>
    <s v="Lagos"/>
    <s v="Tunde"/>
    <s v="Retail"/>
    <n v="71"/>
    <n v="844.34"/>
    <n v="59948.14"/>
    <n v="4238.08"/>
    <x v="505"/>
    <n v="35992.370000000003"/>
    <n v="1452.36"/>
    <n v="3933.95"/>
    <n v="2974.75"/>
    <n v="1135.3599999999999"/>
    <n v="45488.79"/>
    <n v="19717.689999999995"/>
    <n v="10221.269999999997"/>
    <n v="0.18347260799934514"/>
    <s v="Paid"/>
    <x v="4"/>
    <x v="4"/>
    <x v="0"/>
  </r>
  <r>
    <x v="126"/>
    <s v="INV-00258"/>
    <x v="4"/>
    <x v="7"/>
    <x v="5"/>
    <s v="Ibadan"/>
    <s v="Samuel"/>
    <s v="Distributor"/>
    <n v="67"/>
    <n v="5682.87"/>
    <n v="380752.29"/>
    <n v="33853.17"/>
    <x v="506"/>
    <n v="255464.09"/>
    <n v="11349.32"/>
    <n v="21268.69"/>
    <n v="15422.53"/>
    <n v="10746.84"/>
    <n v="314251.47000000003"/>
    <n v="91435.03"/>
    <n v="32647.649999999965"/>
    <n v="9.4112807204584328E-2"/>
    <s v="Paid"/>
    <x v="4"/>
    <x v="4"/>
    <x v="0"/>
  </r>
  <r>
    <x v="127"/>
    <s v="INV-00558"/>
    <x v="3"/>
    <x v="2"/>
    <x v="2"/>
    <s v="Lagos"/>
    <s v="Emeka"/>
    <s v="Supermarket"/>
    <n v="101"/>
    <n v="4455.6899999999996"/>
    <n v="450024.68999999994"/>
    <n v="29712.04"/>
    <x v="507"/>
    <n v="291375.71000000002"/>
    <n v="11497.42"/>
    <n v="28382.02"/>
    <n v="17432.04"/>
    <n v="10137.629999999999"/>
    <n v="358824.82"/>
    <n v="128936.93999999994"/>
    <n v="61487.829999999958"/>
    <n v="0.14629069574755832"/>
    <s v="Paid"/>
    <x v="4"/>
    <x v="4"/>
    <x v="0"/>
  </r>
  <r>
    <x v="127"/>
    <s v="INV-00495"/>
    <x v="0"/>
    <x v="8"/>
    <x v="2"/>
    <s v="Abuja"/>
    <s v="Tunde"/>
    <s v="Retail"/>
    <n v="29"/>
    <n v="6816.59"/>
    <n v="197681.11000000002"/>
    <n v="16315.51"/>
    <x v="508"/>
    <n v="104161.37"/>
    <n v="5943.08"/>
    <n v="10554.68"/>
    <n v="9617.16"/>
    <n v="4890.6400000000003"/>
    <n v="135166.93000000002"/>
    <n v="77204.23000000001"/>
    <n v="46198.669999999984"/>
    <n v="0.25472675082816137"/>
    <s v="Pending"/>
    <x v="4"/>
    <x v="4"/>
    <x v="0"/>
  </r>
  <r>
    <x v="127"/>
    <s v="INV-01114"/>
    <x v="10"/>
    <x v="6"/>
    <x v="0"/>
    <s v="Lagos"/>
    <s v="Tunde"/>
    <s v="Supermarket"/>
    <n v="148"/>
    <n v="366.72"/>
    <n v="54274.560000000005"/>
    <n v="4870.6400000000003"/>
    <x v="509"/>
    <n v="39190.93"/>
    <n v="1274.1400000000001"/>
    <n v="3536.37"/>
    <n v="2194.94"/>
    <n v="1000.27"/>
    <n v="47196.65"/>
    <n v="10212.990000000005"/>
    <n v="2207.2700000000041"/>
    <n v="4.4678033645913197E-2"/>
    <s v="Paid"/>
    <x v="4"/>
    <x v="4"/>
    <x v="0"/>
  </r>
  <r>
    <x v="127"/>
    <s v="INV-00613"/>
    <x v="0"/>
    <x v="9"/>
    <x v="4"/>
    <s v="Abuja"/>
    <s v="Fatima"/>
    <s v="Wholesale"/>
    <n v="86"/>
    <n v="1945.77"/>
    <n v="167336.22"/>
    <n v="14181.4"/>
    <x v="510"/>
    <n v="108796.79"/>
    <n v="5471.13"/>
    <n v="9907.58"/>
    <n v="8334.2999999999993"/>
    <n v="4460.12"/>
    <n v="136969.91999999998"/>
    <n v="44358.030000000013"/>
    <n v="16184.900000000023"/>
    <n v="0.10567672633482918"/>
    <s v="Paid"/>
    <x v="4"/>
    <x v="4"/>
    <x v="0"/>
  </r>
  <r>
    <x v="127"/>
    <s v="INV-01125"/>
    <x v="5"/>
    <x v="2"/>
    <x v="2"/>
    <s v="Lagos"/>
    <s v="Daniel"/>
    <s v="Wholesale"/>
    <n v="60"/>
    <n v="4635.01"/>
    <n v="278100.60000000003"/>
    <n v="22428.33"/>
    <x v="511"/>
    <n v="186624.18"/>
    <n v="6377.54"/>
    <n v="14075.4"/>
    <n v="10146.26"/>
    <n v="7263.61"/>
    <n v="224486.99"/>
    <n v="69048.090000000026"/>
    <n v="31185.280000000028"/>
    <n v="0.12197365009510036"/>
    <s v="Paid"/>
    <x v="4"/>
    <x v="4"/>
    <x v="0"/>
  </r>
  <r>
    <x v="127"/>
    <s v="INV-00734"/>
    <x v="5"/>
    <x v="8"/>
    <x v="2"/>
    <s v="Lagos"/>
    <s v="Daniel"/>
    <s v="Wholesale"/>
    <n v="57"/>
    <n v="6420.53"/>
    <n v="365970.20999999996"/>
    <n v="27910.5"/>
    <x v="512"/>
    <n v="198605.99"/>
    <n v="8611.99"/>
    <n v="24177.86"/>
    <n v="18047.09"/>
    <n v="9206.9500000000007"/>
    <n v="258649.87999999998"/>
    <n v="139453.71999999997"/>
    <n v="79409.829999999987"/>
    <n v="0.23489882896722591"/>
    <s v="Pending"/>
    <x v="4"/>
    <x v="4"/>
    <x v="0"/>
  </r>
  <r>
    <x v="127"/>
    <s v="INV-00119"/>
    <x v="6"/>
    <x v="6"/>
    <x v="0"/>
    <s v="Abuja"/>
    <s v="Mary"/>
    <s v="Wholesale"/>
    <n v="52"/>
    <n v="386.22"/>
    <n v="20083.440000000002"/>
    <n v="1742.7"/>
    <x v="513"/>
    <n v="14552.77"/>
    <n v="599.88"/>
    <n v="1364.4"/>
    <n v="662.62"/>
    <n v="424.09"/>
    <n v="17603.759999999998"/>
    <n v="3787.9700000000012"/>
    <n v="736.9800000000032"/>
    <n v="4.0182675290092063E-2"/>
    <s v="Paid"/>
    <x v="4"/>
    <x v="4"/>
    <x v="0"/>
  </r>
  <r>
    <x v="127"/>
    <s v="INV-00266"/>
    <x v="5"/>
    <x v="8"/>
    <x v="2"/>
    <s v="Abuja"/>
    <s v="Amina"/>
    <s v="Supermarket"/>
    <n v="100"/>
    <n v="6862.66"/>
    <n v="686266"/>
    <n v="52406.97"/>
    <x v="514"/>
    <n v="382342.57"/>
    <n v="21606.82"/>
    <n v="44505.39"/>
    <n v="27072.240000000002"/>
    <n v="19927.080000000002"/>
    <n v="495454.10000000003"/>
    <n v="251516.46000000002"/>
    <n v="138404.93"/>
    <n v="0.21835285678583768"/>
    <s v="Paid"/>
    <x v="4"/>
    <x v="4"/>
    <x v="0"/>
  </r>
  <r>
    <x v="128"/>
    <s v="INV-01338"/>
    <x v="2"/>
    <x v="7"/>
    <x v="5"/>
    <s v="Lagos"/>
    <s v="Emeka"/>
    <s v="Retail"/>
    <n v="39"/>
    <n v="5564.97"/>
    <n v="217033.83000000002"/>
    <n v="12531.31"/>
    <x v="515"/>
    <n v="155820.75"/>
    <n v="5699.67"/>
    <n v="14412.71"/>
    <n v="8668.98"/>
    <n v="5010.13"/>
    <n v="189612.24000000002"/>
    <n v="48681.770000000019"/>
    <n v="14890.279999999999"/>
    <n v="7.2812207888685171E-2"/>
    <s v="Paid"/>
    <x v="4"/>
    <x v="4"/>
    <x v="0"/>
  </r>
  <r>
    <x v="128"/>
    <s v="INV-00459"/>
    <x v="4"/>
    <x v="1"/>
    <x v="1"/>
    <s v="Lagos"/>
    <s v="Ibrahim"/>
    <s v="Wholesale"/>
    <n v="67"/>
    <n v="4553.1000000000004"/>
    <n v="305057.7"/>
    <n v="27722.23"/>
    <x v="516"/>
    <n v="204965.97"/>
    <n v="7695.55"/>
    <n v="15887.05"/>
    <n v="10246.620000000001"/>
    <n v="8504.06"/>
    <n v="247299.24999999997"/>
    <n v="72369.500000000029"/>
    <n v="30036.220000000059"/>
    <n v="0.10830284348410268"/>
    <s v="Paid"/>
    <x v="4"/>
    <x v="4"/>
    <x v="0"/>
  </r>
  <r>
    <x v="128"/>
    <s v="INV-01341"/>
    <x v="9"/>
    <x v="2"/>
    <x v="2"/>
    <s v="Ibadan"/>
    <s v="Samuel"/>
    <s v="Supermarket"/>
    <n v="71"/>
    <n v="4639.55"/>
    <n v="329408.05"/>
    <n v="27478.3"/>
    <x v="517"/>
    <n v="223882.43"/>
    <n v="9059.58"/>
    <n v="21867.78"/>
    <n v="16399.86"/>
    <n v="6927.64"/>
    <n v="278137.28999999998"/>
    <n v="78047.320000000007"/>
    <n v="23792.460000000021"/>
    <n v="7.8801310569760086E-2"/>
    <s v="Pending"/>
    <x v="4"/>
    <x v="4"/>
    <x v="0"/>
  </r>
  <r>
    <x v="128"/>
    <s v="INV-01421"/>
    <x v="7"/>
    <x v="6"/>
    <x v="0"/>
    <s v="Lagos"/>
    <s v="Emeka"/>
    <s v="Retail"/>
    <n v="157"/>
    <n v="366.36"/>
    <n v="57518.520000000004"/>
    <n v="3663.21"/>
    <x v="518"/>
    <n v="42927.95"/>
    <n v="1419.83"/>
    <n v="3701.28"/>
    <n v="2485.42"/>
    <n v="1683.26"/>
    <n v="52217.74"/>
    <n v="10927.360000000008"/>
    <n v="1637.570000000007"/>
    <n v="3.0406843819114713E-2"/>
    <s v="Paid"/>
    <x v="4"/>
    <x v="4"/>
    <x v="0"/>
  </r>
  <r>
    <x v="128"/>
    <s v="INV-00010"/>
    <x v="1"/>
    <x v="3"/>
    <x v="3"/>
    <s v="Lagos"/>
    <s v="Ibrahim"/>
    <s v="Wholesale"/>
    <n v="81"/>
    <n v="879.93"/>
    <n v="71274.33"/>
    <n v="6762.35"/>
    <x v="519"/>
    <n v="42328.98"/>
    <n v="1809.25"/>
    <n v="4056.96"/>
    <n v="3401.16"/>
    <n v="1763.11"/>
    <n v="53359.460000000006"/>
    <n v="22183"/>
    <n v="11152.519999999997"/>
    <n v="0.17287517760267157"/>
    <s v="Paid"/>
    <x v="4"/>
    <x v="4"/>
    <x v="0"/>
  </r>
  <r>
    <x v="128"/>
    <s v="INV-00645"/>
    <x v="6"/>
    <x v="0"/>
    <x v="0"/>
    <s v="Ibadan"/>
    <s v="Emeka"/>
    <s v="Distributor"/>
    <n v="28"/>
    <n v="1182.8599999999999"/>
    <n v="33120.079999999994"/>
    <n v="2561.2199999999998"/>
    <x v="520"/>
    <n v="18540.13"/>
    <n v="924.98"/>
    <n v="1718.56"/>
    <n v="1290.7"/>
    <n v="885"/>
    <n v="23359.370000000003"/>
    <n v="12018.729999999992"/>
    <n v="7199.4899999999907"/>
    <n v="0.23559419428604314"/>
    <s v="Pending"/>
    <x v="4"/>
    <x v="4"/>
    <x v="0"/>
  </r>
  <r>
    <x v="129"/>
    <s v="INV-01272"/>
    <x v="8"/>
    <x v="2"/>
    <x v="2"/>
    <s v="Lagos"/>
    <s v="Amina"/>
    <s v="Wholesale"/>
    <n v="64"/>
    <n v="4363.83"/>
    <n v="279285.12"/>
    <n v="23424.61"/>
    <x v="521"/>
    <n v="183981.27"/>
    <n v="6392.47"/>
    <n v="17106.669999999998"/>
    <n v="11632.69"/>
    <n v="5928.55"/>
    <n v="225041.64999999997"/>
    <n v="71879.24000000002"/>
    <n v="30818.860000000044"/>
    <n v="0.12045180399273042"/>
    <s v="Paid"/>
    <x v="4"/>
    <x v="4"/>
    <x v="0"/>
  </r>
  <r>
    <x v="129"/>
    <s v="INV-00139"/>
    <x v="5"/>
    <x v="8"/>
    <x v="2"/>
    <s v="Abuja"/>
    <s v="Ibrahim"/>
    <s v="Retail"/>
    <n v="67"/>
    <n v="6355.31"/>
    <n v="425805.77"/>
    <n v="30637.58"/>
    <x v="522"/>
    <n v="228472.12"/>
    <n v="13824.37"/>
    <n v="24357.360000000001"/>
    <n v="16376.49"/>
    <n v="9610.2900000000009"/>
    <n v="292640.62999999995"/>
    <n v="166696.07"/>
    <n v="102527.56000000006"/>
    <n v="0.25945296862077905"/>
    <s v="Paid"/>
    <x v="4"/>
    <x v="4"/>
    <x v="0"/>
  </r>
  <r>
    <x v="129"/>
    <s v="INV-00900"/>
    <x v="11"/>
    <x v="3"/>
    <x v="3"/>
    <s v="Abuja"/>
    <s v="Tunde"/>
    <s v="Wholesale"/>
    <n v="77"/>
    <n v="823.53"/>
    <n v="63411.81"/>
    <n v="4830.01"/>
    <x v="523"/>
    <n v="39810.19"/>
    <n v="2204.9499999999998"/>
    <n v="3402.74"/>
    <n v="2667.08"/>
    <n v="1299.94"/>
    <n v="49384.9"/>
    <n v="18771.609999999993"/>
    <n v="9196.8999999999942"/>
    <n v="0.15699244475246568"/>
    <s v="Paid"/>
    <x v="4"/>
    <x v="4"/>
    <x v="0"/>
  </r>
  <r>
    <x v="130"/>
    <s v="INV-00301"/>
    <x v="0"/>
    <x v="5"/>
    <x v="3"/>
    <s v="Lagos"/>
    <s v="Daniel"/>
    <s v="Wholesale"/>
    <n v="41"/>
    <n v="1550.61"/>
    <n v="63575.009999999995"/>
    <n v="4943.42"/>
    <x v="524"/>
    <n v="31944.71"/>
    <n v="1423.1"/>
    <n v="3758.55"/>
    <n v="2543.87"/>
    <n v="1715.46"/>
    <n v="41385.69"/>
    <n v="26686.879999999997"/>
    <n v="17245.899999999994"/>
    <n v="0.29414007022494182"/>
    <s v="Paid"/>
    <x v="4"/>
    <x v="4"/>
    <x v="0"/>
  </r>
  <r>
    <x v="130"/>
    <s v="INV-01178"/>
    <x v="1"/>
    <x v="6"/>
    <x v="0"/>
    <s v="Lagos"/>
    <s v="Amina"/>
    <s v="Retail"/>
    <n v="141"/>
    <n v="369.34"/>
    <n v="52076.939999999995"/>
    <n v="3898.04"/>
    <x v="525"/>
    <n v="36498.78"/>
    <n v="1250.72"/>
    <n v="3009.25"/>
    <n v="2318.33"/>
    <n v="1229.78"/>
    <n v="44306.86"/>
    <n v="11680.119999999995"/>
    <n v="3872.0399999999936"/>
    <n v="8.0367961908636223E-2"/>
    <s v="Paid"/>
    <x v="4"/>
    <x v="4"/>
    <x v="0"/>
  </r>
  <r>
    <x v="130"/>
    <s v="INV-01144"/>
    <x v="1"/>
    <x v="9"/>
    <x v="4"/>
    <s v="Port Harcourt"/>
    <s v="Samuel"/>
    <s v="Wholesale"/>
    <n v="69"/>
    <n v="1893.63"/>
    <n v="130660.47"/>
    <n v="10236.879999999999"/>
    <x v="526"/>
    <n v="81543.14"/>
    <n v="5511.55"/>
    <n v="7956.18"/>
    <n v="5961.43"/>
    <n v="2539.62"/>
    <n v="103511.91999999998"/>
    <n v="38880.449999999997"/>
    <n v="16911.670000000013"/>
    <n v="0.14043485998050725"/>
    <s v="Paid"/>
    <x v="4"/>
    <x v="4"/>
    <x v="0"/>
  </r>
  <r>
    <x v="130"/>
    <s v="INV-00464"/>
    <x v="6"/>
    <x v="0"/>
    <x v="0"/>
    <s v="Lagos"/>
    <s v="Mary"/>
    <s v="Distributor"/>
    <n v="92"/>
    <n v="1187.51"/>
    <n v="109250.92"/>
    <n v="9364.5"/>
    <x v="527"/>
    <n v="57805.29"/>
    <n v="2353.65"/>
    <n v="6724.48"/>
    <n v="5089.7299999999996"/>
    <n v="2453.0100000000002"/>
    <n v="74426.159999999989"/>
    <n v="42081.13"/>
    <n v="25460.260000000009"/>
    <n v="0.25489210645451116"/>
    <s v="Paid"/>
    <x v="4"/>
    <x v="4"/>
    <x v="0"/>
  </r>
  <r>
    <x v="130"/>
    <s v="INV-00369"/>
    <x v="11"/>
    <x v="1"/>
    <x v="1"/>
    <s v="Abuja"/>
    <s v="Ibrahim"/>
    <s v="Distributor"/>
    <n v="72"/>
    <n v="4368.37"/>
    <n v="314522.64"/>
    <n v="27862.43"/>
    <x v="528"/>
    <n v="202759.32"/>
    <n v="10247.35"/>
    <n v="18478.55"/>
    <n v="12407.4"/>
    <n v="6901.65"/>
    <n v="250794.27"/>
    <n v="83900.890000000014"/>
    <n v="35865.940000000031"/>
    <n v="0.12511656221838402"/>
    <s v="Paid"/>
    <x v="4"/>
    <x v="4"/>
    <x v="0"/>
  </r>
  <r>
    <x v="131"/>
    <s v="INV-01384"/>
    <x v="2"/>
    <x v="5"/>
    <x v="3"/>
    <s v="Lagos"/>
    <s v="Fatima"/>
    <s v="Distributor"/>
    <n v="55"/>
    <n v="1453.62"/>
    <n v="79949.099999999991"/>
    <n v="7798.04"/>
    <x v="529"/>
    <n v="38948.65"/>
    <n v="1970"/>
    <n v="5234.51"/>
    <n v="2785.5"/>
    <n v="1975.63"/>
    <n v="50914.29"/>
    <n v="33202.409999999996"/>
    <n v="21236.769999999997"/>
    <n v="0.29433760224728506"/>
    <s v="Paid"/>
    <x v="4"/>
    <x v="4"/>
    <x v="0"/>
  </r>
  <r>
    <x v="131"/>
    <s v="INV-00462"/>
    <x v="8"/>
    <x v="2"/>
    <x v="2"/>
    <s v="Lagos"/>
    <s v="Tunde"/>
    <s v="Retail"/>
    <n v="84"/>
    <n v="4573.6099999999997"/>
    <n v="384183.24"/>
    <n v="25853.66"/>
    <x v="530"/>
    <n v="252846.69"/>
    <n v="9389.52"/>
    <n v="19875.060000000001"/>
    <n v="18064.419999999998"/>
    <n v="10220.85"/>
    <n v="310396.53999999998"/>
    <n v="105482.89000000001"/>
    <n v="47933.040000000037"/>
    <n v="0.13376802439809751"/>
    <s v="Paid"/>
    <x v="4"/>
    <x v="4"/>
    <x v="0"/>
  </r>
  <r>
    <x v="131"/>
    <s v="INV-00846"/>
    <x v="1"/>
    <x v="1"/>
    <x v="1"/>
    <s v="Abuja"/>
    <s v="Amina"/>
    <s v="Retail"/>
    <n v="93"/>
    <n v="4638.3500000000004"/>
    <n v="431366.55000000005"/>
    <n v="25103.96"/>
    <x v="531"/>
    <n v="299872.51"/>
    <n v="15145.16"/>
    <n v="25613.72"/>
    <n v="19975.97"/>
    <n v="9934.31"/>
    <n v="370541.67"/>
    <n v="106390.08000000002"/>
    <n v="35720.920000000042"/>
    <n v="8.7925693576659469E-2"/>
    <s v="Paid"/>
    <x v="4"/>
    <x v="4"/>
    <x v="0"/>
  </r>
  <r>
    <x v="132"/>
    <s v="INV-01273"/>
    <x v="1"/>
    <x v="2"/>
    <x v="2"/>
    <s v="Lagos"/>
    <s v="Daniel"/>
    <s v="Wholesale"/>
    <n v="34"/>
    <n v="4609.8999999999996"/>
    <n v="156736.59999999998"/>
    <n v="13530.8"/>
    <x v="532"/>
    <n v="105592.93"/>
    <n v="3439.18"/>
    <n v="9080.48"/>
    <n v="6496.94"/>
    <n v="2986.19"/>
    <n v="127595.71999999999"/>
    <n v="37612.869999999995"/>
    <n v="15610.080000000002"/>
    <n v="0.10900452355979998"/>
    <s v="Paid"/>
    <x v="4"/>
    <x v="4"/>
    <x v="0"/>
  </r>
  <r>
    <x v="132"/>
    <s v="INV-01065"/>
    <x v="7"/>
    <x v="6"/>
    <x v="0"/>
    <s v="Ibadan"/>
    <s v="Tunde"/>
    <s v="Distributor"/>
    <n v="98"/>
    <n v="371.7"/>
    <n v="36426.6"/>
    <n v="3519.76"/>
    <x v="533"/>
    <n v="26386.16"/>
    <n v="896.54"/>
    <n v="2034.32"/>
    <n v="1205.5899999999999"/>
    <n v="1034.83"/>
    <n v="31557.440000000002"/>
    <n v="6520.6799999999967"/>
    <n v="1349.3999999999942"/>
    <n v="4.1006672169068628E-2"/>
    <s v="Paid"/>
    <x v="4"/>
    <x v="4"/>
    <x v="0"/>
  </r>
  <r>
    <x v="132"/>
    <s v="INV-00309"/>
    <x v="8"/>
    <x v="1"/>
    <x v="1"/>
    <s v="Lagos"/>
    <s v="Amina"/>
    <s v="Supermarket"/>
    <n v="69"/>
    <n v="4303.37"/>
    <n v="296932.52999999997"/>
    <n v="20921.759999999998"/>
    <x v="534"/>
    <n v="207616.35"/>
    <n v="7496.22"/>
    <n v="19736.39"/>
    <n v="10471.4"/>
    <n v="7399.7"/>
    <n v="252720.06000000003"/>
    <n v="68394.419999999955"/>
    <n v="23290.709999999934"/>
    <n v="8.4383337650193638E-2"/>
    <s v="Paid"/>
    <x v="4"/>
    <x v="4"/>
    <x v="0"/>
  </r>
  <r>
    <x v="132"/>
    <s v="INV-00578"/>
    <x v="8"/>
    <x v="5"/>
    <x v="3"/>
    <s v="Lagos"/>
    <s v="Emeka"/>
    <s v="Wholesale"/>
    <n v="70"/>
    <n v="1499.86"/>
    <n v="104990.2"/>
    <n v="7135.84"/>
    <x v="535"/>
    <n v="53998.9"/>
    <n v="2534.9699999999998"/>
    <n v="5467.62"/>
    <n v="4457.3500000000004"/>
    <n v="3064.2"/>
    <n v="69523.040000000008"/>
    <n v="43855.46"/>
    <n v="28331.319999999992"/>
    <n v="0.2895253721959859"/>
    <s v="Paid"/>
    <x v="4"/>
    <x v="4"/>
    <x v="0"/>
  </r>
  <r>
    <x v="132"/>
    <s v="INV-01072"/>
    <x v="4"/>
    <x v="11"/>
    <x v="1"/>
    <s v="Abuja"/>
    <s v="Mary"/>
    <s v="Supermarket"/>
    <n v="78"/>
    <n v="6655.65"/>
    <n v="519140.69999999995"/>
    <n v="40196.14"/>
    <x v="536"/>
    <n v="283584.84000000003"/>
    <n v="18535.29"/>
    <n v="33418.370000000003"/>
    <n v="17320.259999999998"/>
    <n v="14645.92"/>
    <n v="367504.68"/>
    <n v="195359.71999999991"/>
    <n v="111439.87999999995"/>
    <n v="0.23267803689011513"/>
    <s v="Paid"/>
    <x v="4"/>
    <x v="4"/>
    <x v="0"/>
  </r>
  <r>
    <x v="132"/>
    <s v="INV-01041"/>
    <x v="9"/>
    <x v="2"/>
    <x v="2"/>
    <s v="Lagos"/>
    <s v="Fatima"/>
    <s v="Distributor"/>
    <n v="91"/>
    <n v="4533.28"/>
    <n v="412528.48"/>
    <n v="38543.269999999997"/>
    <x v="537"/>
    <n v="261775.28"/>
    <n v="9377.59"/>
    <n v="23013.93"/>
    <n v="16813.150000000001"/>
    <n v="8976.09"/>
    <n v="319956.04000000004"/>
    <n v="112209.92999999996"/>
    <n v="54029.169999999925"/>
    <n v="0.14446873447214645"/>
    <s v="Paid"/>
    <x v="4"/>
    <x v="4"/>
    <x v="0"/>
  </r>
  <r>
    <x v="132"/>
    <s v="INV-00624"/>
    <x v="1"/>
    <x v="5"/>
    <x v="3"/>
    <s v="Abuja"/>
    <s v="Mary"/>
    <s v="Wholesale"/>
    <n v="42"/>
    <n v="1526.25"/>
    <n v="64102.5"/>
    <n v="4217.34"/>
    <x v="538"/>
    <n v="32007.72"/>
    <n v="2289.4299999999998"/>
    <n v="3362.04"/>
    <n v="2298.06"/>
    <n v="1254.81"/>
    <n v="41212.06"/>
    <n v="27877.440000000002"/>
    <n v="18673.100000000006"/>
    <n v="0.31181514752569761"/>
    <s v="Paid"/>
    <x v="4"/>
    <x v="4"/>
    <x v="0"/>
  </r>
  <r>
    <x v="133"/>
    <s v="INV-00741"/>
    <x v="8"/>
    <x v="2"/>
    <x v="2"/>
    <s v="Port Harcourt"/>
    <s v="Samuel"/>
    <s v="Wholesale"/>
    <n v="38"/>
    <n v="4344.92"/>
    <n v="165106.96"/>
    <n v="15171.86"/>
    <x v="539"/>
    <n v="111149.94"/>
    <n v="5904.96"/>
    <n v="9888.56"/>
    <n v="6177.82"/>
    <n v="4305"/>
    <n v="137426.28"/>
    <n v="38785.159999999974"/>
    <n v="12508.819999999978"/>
    <n v="8.3428229947490481E-2"/>
    <s v="Paid"/>
    <x v="4"/>
    <x v="4"/>
    <x v="0"/>
  </r>
  <r>
    <x v="133"/>
    <s v="INV-01118"/>
    <x v="3"/>
    <x v="0"/>
    <x v="0"/>
    <s v="Lagos"/>
    <s v="Mary"/>
    <s v="Wholesale"/>
    <n v="61"/>
    <n v="1218.75"/>
    <n v="74343.75"/>
    <n v="5580.28"/>
    <x v="540"/>
    <n v="40871.480000000003"/>
    <n v="1815.14"/>
    <n v="4218.7700000000004"/>
    <n v="3244.67"/>
    <n v="2116.1799999999998"/>
    <n v="52266.239999999998"/>
    <n v="27891.989999999998"/>
    <n v="16497.230000000003"/>
    <n v="0.23991270364919051"/>
    <s v="Paid"/>
    <x v="4"/>
    <x v="4"/>
    <x v="0"/>
  </r>
  <r>
    <x v="133"/>
    <s v="INV-01088"/>
    <x v="7"/>
    <x v="7"/>
    <x v="5"/>
    <s v="Lagos"/>
    <s v="Tunde"/>
    <s v="Retail"/>
    <n v="99"/>
    <n v="5710.14"/>
    <n v="565303.86"/>
    <n v="39706.44"/>
    <x v="541"/>
    <n v="378898.87"/>
    <n v="13368.59"/>
    <n v="31076.79"/>
    <n v="24941.52"/>
    <n v="12960.27"/>
    <n v="461246.04000000004"/>
    <n v="146698.54999999993"/>
    <n v="64351.379999999888"/>
    <n v="0.12243473341250399"/>
    <s v="Paid"/>
    <x v="4"/>
    <x v="4"/>
    <x v="0"/>
  </r>
  <r>
    <x v="133"/>
    <s v="INV-01425"/>
    <x v="10"/>
    <x v="2"/>
    <x v="2"/>
    <s v="Lagos"/>
    <s v="Amina"/>
    <s v="Retail"/>
    <n v="78"/>
    <n v="4379.6000000000004"/>
    <n v="341608.80000000005"/>
    <n v="21176.07"/>
    <x v="542"/>
    <n v="224752.53"/>
    <n v="8176.22"/>
    <n v="20942.759999999998"/>
    <n v="14574.19"/>
    <n v="6750.45"/>
    <n v="275196.15000000002"/>
    <n v="95680.200000000041"/>
    <n v="45236.580000000016"/>
    <n v="0.14117340634959485"/>
    <s v="Paid"/>
    <x v="4"/>
    <x v="4"/>
    <x v="0"/>
  </r>
  <r>
    <x v="133"/>
    <s v="INV-00384"/>
    <x v="9"/>
    <x v="3"/>
    <x v="3"/>
    <s v="Lagos"/>
    <s v="Daniel"/>
    <s v="Wholesale"/>
    <n v="103"/>
    <n v="814.6"/>
    <n v="83903.8"/>
    <n v="7620.82"/>
    <x v="543"/>
    <n v="51792.78"/>
    <n v="2074.5"/>
    <n v="4706.07"/>
    <n v="3661"/>
    <n v="1676.34"/>
    <n v="63910.689999999995"/>
    <n v="24490.200000000012"/>
    <n v="12372.290000000015"/>
    <n v="0.16218939008413166"/>
    <s v="Paid"/>
    <x v="4"/>
    <x v="4"/>
    <x v="0"/>
  </r>
  <r>
    <x v="133"/>
    <s v="INV-00786"/>
    <x v="1"/>
    <x v="0"/>
    <x v="0"/>
    <s v="Lagos"/>
    <s v="Fatima"/>
    <s v="Wholesale"/>
    <n v="109"/>
    <n v="1164.54"/>
    <n v="126934.86"/>
    <n v="10100.799999999999"/>
    <x v="544"/>
    <n v="71938.69"/>
    <n v="3078.19"/>
    <n v="7821.67"/>
    <n v="6373.37"/>
    <n v="3020.5"/>
    <n v="92232.42"/>
    <n v="44895.369999999995"/>
    <n v="24601.64"/>
    <n v="0.21056907549048626"/>
    <s v="Paid"/>
    <x v="4"/>
    <x v="4"/>
    <x v="0"/>
  </r>
  <r>
    <x v="134"/>
    <s v="INV-01012"/>
    <x v="1"/>
    <x v="2"/>
    <x v="2"/>
    <s v="Lagos"/>
    <s v="Tunde"/>
    <s v="Retail"/>
    <n v="103"/>
    <n v="4461.71"/>
    <n v="459556.13"/>
    <n v="28929.13"/>
    <x v="545"/>
    <n v="319257.08"/>
    <n v="10097.719999999999"/>
    <n v="24340.78"/>
    <n v="23333.5"/>
    <n v="11357.57"/>
    <n v="388386.64999999997"/>
    <n v="111369.91999999998"/>
    <n v="42240.350000000035"/>
    <n v="9.8090342686362061E-2"/>
    <s v="Paid"/>
    <x v="4"/>
    <x v="4"/>
    <x v="0"/>
  </r>
  <r>
    <x v="134"/>
    <s v="INV-00959"/>
    <x v="4"/>
    <x v="4"/>
    <x v="4"/>
    <s v="Port Harcourt"/>
    <s v="Tunde"/>
    <s v="Retail"/>
    <n v="58"/>
    <n v="3129.02"/>
    <n v="181483.16"/>
    <n v="14280.3"/>
    <x v="546"/>
    <n v="96550.65"/>
    <n v="7577.74"/>
    <n v="10872.84"/>
    <n v="7070.27"/>
    <n v="5058.05"/>
    <n v="127129.55"/>
    <n v="70652.210000000021"/>
    <n v="40073.310000000012"/>
    <n v="0.23966880710054844"/>
    <s v="Paid"/>
    <x v="4"/>
    <x v="4"/>
    <x v="0"/>
  </r>
  <r>
    <x v="134"/>
    <s v="INV-00562"/>
    <x v="10"/>
    <x v="1"/>
    <x v="1"/>
    <s v="Lagos"/>
    <s v="Amina"/>
    <s v="Distributor"/>
    <n v="58"/>
    <n v="4469.2299999999996"/>
    <n v="259215.33999999997"/>
    <n v="18563.62"/>
    <x v="547"/>
    <n v="176971.09"/>
    <n v="6013.18"/>
    <n v="17706.990000000002"/>
    <n v="12132.48"/>
    <n v="6745.75"/>
    <n v="219569.49"/>
    <n v="63680.629999999976"/>
    <n v="21082.229999999981"/>
    <n v="8.7604734343889101E-2"/>
    <s v="Paid"/>
    <x v="4"/>
    <x v="4"/>
    <x v="0"/>
  </r>
  <r>
    <x v="134"/>
    <s v="INV-01433"/>
    <x v="9"/>
    <x v="0"/>
    <x v="0"/>
    <s v="Lagos"/>
    <s v="Daniel"/>
    <s v="Wholesale"/>
    <n v="109"/>
    <n v="1144.51"/>
    <n v="124751.59"/>
    <n v="11625.45"/>
    <x v="548"/>
    <n v="70076.89"/>
    <n v="2711.39"/>
    <n v="8299.9699999999993"/>
    <n v="5578.75"/>
    <n v="2573.0100000000002"/>
    <n v="89240.01"/>
    <n v="43049.25"/>
    <n v="23886.130000000005"/>
    <n v="0.21114598270567708"/>
    <s v="Paid"/>
    <x v="4"/>
    <x v="4"/>
    <x v="0"/>
  </r>
  <r>
    <x v="134"/>
    <s v="INV-01124"/>
    <x v="7"/>
    <x v="6"/>
    <x v="0"/>
    <s v="Lagos"/>
    <s v="Fatima"/>
    <s v="Supermarket"/>
    <n v="140"/>
    <n v="384.68"/>
    <n v="53855.200000000004"/>
    <n v="3250.38"/>
    <x v="549"/>
    <n v="40818.239999999998"/>
    <n v="1258.57"/>
    <n v="3005.25"/>
    <n v="2624.05"/>
    <n v="1334.57"/>
    <n v="49040.68"/>
    <n v="9786.580000000009"/>
    <n v="1564.1400000000067"/>
    <n v="3.090891341970995E-2"/>
    <s v="Pending"/>
    <x v="4"/>
    <x v="4"/>
    <x v="0"/>
  </r>
  <r>
    <x v="134"/>
    <s v="INV-00337"/>
    <x v="7"/>
    <x v="5"/>
    <x v="3"/>
    <s v="Lagos"/>
    <s v="Tunde"/>
    <s v="Retail"/>
    <n v="59"/>
    <n v="1520.12"/>
    <n v="89687.079999999987"/>
    <n v="5437.59"/>
    <x v="550"/>
    <n v="44816.4"/>
    <n v="2140.71"/>
    <n v="4945.22"/>
    <n v="3936.27"/>
    <n v="2239.56"/>
    <n v="58078.159999999996"/>
    <n v="39433.089999999989"/>
    <n v="26171.329999999994"/>
    <n v="0.31064081218770578"/>
    <s v="Paid"/>
    <x v="4"/>
    <x v="4"/>
    <x v="0"/>
  </r>
  <r>
    <x v="134"/>
    <s v="INV-00532"/>
    <x v="0"/>
    <x v="1"/>
    <x v="1"/>
    <s v="Lagos"/>
    <s v="Daniel"/>
    <s v="Wholesale"/>
    <n v="46"/>
    <n v="4324.53"/>
    <n v="198928.37999999998"/>
    <n v="13745.1"/>
    <x v="551"/>
    <n v="136898.32999999999"/>
    <n v="5111.78"/>
    <n v="11250.56"/>
    <n v="6589.48"/>
    <n v="5381.61"/>
    <n v="165231.75999999998"/>
    <n v="48284.949999999983"/>
    <n v="19951.51999999999"/>
    <n v="0.10773931642208731"/>
    <s v="Paid"/>
    <x v="4"/>
    <x v="4"/>
    <x v="0"/>
  </r>
  <r>
    <x v="135"/>
    <s v="INV-00117"/>
    <x v="8"/>
    <x v="7"/>
    <x v="5"/>
    <s v="Ibadan"/>
    <s v="Samuel"/>
    <s v="Supermarket"/>
    <n v="69"/>
    <n v="5625.53"/>
    <n v="388161.57"/>
    <n v="29523.79"/>
    <x v="552"/>
    <n v="267477.65000000002"/>
    <n v="11098.6"/>
    <n v="21330.71"/>
    <n v="16198.74"/>
    <n v="9499.56"/>
    <n v="325605.26"/>
    <n v="91160.13"/>
    <n v="33032.520000000019"/>
    <n v="9.2105522178951738E-2"/>
    <s v="Paid"/>
    <x v="4"/>
    <x v="4"/>
    <x v="0"/>
  </r>
  <r>
    <x v="135"/>
    <s v="INV-00136"/>
    <x v="4"/>
    <x v="10"/>
    <x v="5"/>
    <s v="Ibadan"/>
    <s v="Mary"/>
    <s v="Wholesale"/>
    <n v="70"/>
    <n v="7048.16"/>
    <n v="493371.2"/>
    <n v="41688.83"/>
    <x v="553"/>
    <n v="271240.08"/>
    <n v="12501.37"/>
    <n v="28822.59"/>
    <n v="23272.01"/>
    <n v="11653.27"/>
    <n v="347489.32000000007"/>
    <n v="180442.28999999998"/>
    <n v="104193.04999999993"/>
    <n v="0.23067769946389524"/>
    <s v="Paid"/>
    <x v="4"/>
    <x v="4"/>
    <x v="0"/>
  </r>
  <r>
    <x v="135"/>
    <s v="INV-00896"/>
    <x v="10"/>
    <x v="2"/>
    <x v="2"/>
    <s v="Port Harcourt"/>
    <s v="Daniel"/>
    <s v="Retail"/>
    <n v="45"/>
    <n v="4448.08"/>
    <n v="200163.6"/>
    <n v="12027.64"/>
    <x v="554"/>
    <n v="140359.17000000001"/>
    <n v="7414.44"/>
    <n v="10925.28"/>
    <n v="9569.83"/>
    <n v="5706.69"/>
    <n v="173975.41"/>
    <n v="47776.790000000008"/>
    <n v="14160.550000000017"/>
    <n v="7.5267641550291697E-2"/>
    <s v="Paid"/>
    <x v="4"/>
    <x v="4"/>
    <x v="0"/>
  </r>
  <r>
    <x v="135"/>
    <s v="INV-00253"/>
    <x v="5"/>
    <x v="6"/>
    <x v="0"/>
    <s v="Ibadan"/>
    <s v="Amina"/>
    <s v="Wholesale"/>
    <n v="106"/>
    <n v="365.93"/>
    <n v="38788.58"/>
    <n v="3141.44"/>
    <x v="555"/>
    <n v="27262.51"/>
    <n v="1153.6500000000001"/>
    <n v="2643.64"/>
    <n v="1896.86"/>
    <n v="932.39"/>
    <n v="33889.049999999996"/>
    <n v="8384.630000000001"/>
    <n v="1758.0900000000038"/>
    <n v="4.9319244124493684E-2"/>
    <s v="Paid"/>
    <x v="4"/>
    <x v="4"/>
    <x v="0"/>
  </r>
  <r>
    <x v="136"/>
    <s v="INV-00370"/>
    <x v="6"/>
    <x v="6"/>
    <x v="0"/>
    <s v="Lagos"/>
    <s v="Mary"/>
    <s v="Wholesale"/>
    <n v="136"/>
    <n v="357.41"/>
    <n v="48607.76"/>
    <n v="3178.35"/>
    <x v="556"/>
    <n v="35762.1"/>
    <n v="1192.49"/>
    <n v="3073.9"/>
    <n v="1760.76"/>
    <n v="968.48"/>
    <n v="42757.73"/>
    <n v="9667.3100000000049"/>
    <n v="2671.6800000000003"/>
    <n v="5.8809480466508371E-2"/>
    <s v="Paid"/>
    <x v="4"/>
    <x v="4"/>
    <x v="0"/>
  </r>
  <r>
    <x v="136"/>
    <s v="INV-00798"/>
    <x v="4"/>
    <x v="2"/>
    <x v="2"/>
    <s v="Lagos"/>
    <s v="Mary"/>
    <s v="Retail"/>
    <n v="80"/>
    <n v="4354.04"/>
    <n v="348323.2"/>
    <n v="19818.04"/>
    <x v="557"/>
    <n v="227521.42"/>
    <n v="9026.51"/>
    <n v="24097.46"/>
    <n v="13050.16"/>
    <n v="7389.83"/>
    <n v="281085.38"/>
    <n v="100983.74000000002"/>
    <n v="47419.780000000028"/>
    <n v="0.14435018311432316"/>
    <s v="Paid"/>
    <x v="4"/>
    <x v="4"/>
    <x v="0"/>
  </r>
  <r>
    <x v="136"/>
    <s v="INV-01251"/>
    <x v="3"/>
    <x v="0"/>
    <x v="0"/>
    <s v="Lagos"/>
    <s v="Ibrahim"/>
    <s v="Wholesale"/>
    <n v="71"/>
    <n v="1163.97"/>
    <n v="82641.87"/>
    <n v="6502.52"/>
    <x v="558"/>
    <n v="45854.27"/>
    <n v="2083.29"/>
    <n v="4835.6099999999997"/>
    <n v="2781.96"/>
    <n v="1849.6"/>
    <n v="57404.729999999996"/>
    <n v="30285.079999999994"/>
    <n v="18734.619999999995"/>
    <n v="0.2460569994359027"/>
    <s v="Paid"/>
    <x v="4"/>
    <x v="4"/>
    <x v="0"/>
  </r>
  <r>
    <x v="136"/>
    <s v="INV-00469"/>
    <x v="6"/>
    <x v="7"/>
    <x v="5"/>
    <s v="Abuja"/>
    <s v="Tunde"/>
    <s v="Supermarket"/>
    <n v="67"/>
    <n v="5464.02"/>
    <n v="366089.34"/>
    <n v="24816.04"/>
    <x v="559"/>
    <n v="264135.09999999998"/>
    <n v="11416.17"/>
    <n v="20198.36"/>
    <n v="13676.24"/>
    <n v="10873.23"/>
    <n v="320299.09999999992"/>
    <n v="77138.20000000007"/>
    <n v="20974.200000000128"/>
    <n v="6.1458660844549297E-2"/>
    <s v="Paid"/>
    <x v="4"/>
    <x v="4"/>
    <x v="0"/>
  </r>
  <r>
    <x v="136"/>
    <s v="INV-00005"/>
    <x v="3"/>
    <x v="7"/>
    <x v="5"/>
    <s v="Abuja"/>
    <s v="Tunde"/>
    <s v="Wholesale"/>
    <n v="73"/>
    <n v="5594.85"/>
    <n v="408424.05000000005"/>
    <n v="38636.639999999999"/>
    <x v="560"/>
    <n v="286088.8"/>
    <n v="12456.38"/>
    <n v="25286.55"/>
    <n v="20085.02"/>
    <n v="9262.9500000000007"/>
    <n v="353179.7"/>
    <n v="83698.610000000044"/>
    <n v="16607.710000000021"/>
    <n v="4.4911507398264369E-2"/>
    <s v="Paid"/>
    <x v="4"/>
    <x v="4"/>
    <x v="0"/>
  </r>
  <r>
    <x v="136"/>
    <s v="INV-01298"/>
    <x v="4"/>
    <x v="7"/>
    <x v="5"/>
    <s v="Ibadan"/>
    <s v="Amina"/>
    <s v="Supermarket"/>
    <n v="81"/>
    <n v="5496.81"/>
    <n v="445241.61000000004"/>
    <n v="38255.81"/>
    <x v="561"/>
    <n v="300978.05"/>
    <n v="12975.6"/>
    <n v="25464.29"/>
    <n v="16615.38"/>
    <n v="11802.89"/>
    <n v="367836.20999999996"/>
    <n v="106007.75000000006"/>
    <n v="39149.590000000084"/>
    <n v="9.6193994974763442E-2"/>
    <s v="Pending"/>
    <x v="4"/>
    <x v="4"/>
    <x v="0"/>
  </r>
  <r>
    <x v="137"/>
    <s v="INV-00221"/>
    <x v="8"/>
    <x v="0"/>
    <x v="0"/>
    <s v="Abuja"/>
    <s v="Emeka"/>
    <s v="Supermarket"/>
    <n v="71"/>
    <n v="1148.46"/>
    <n v="81540.66"/>
    <n v="5108.25"/>
    <x v="562"/>
    <n v="44362.76"/>
    <n v="2478.61"/>
    <n v="5419.94"/>
    <n v="3358.63"/>
    <n v="2006.95"/>
    <n v="57626.89"/>
    <n v="32069.65"/>
    <n v="18805.520000000004"/>
    <n v="0.24604117546470147"/>
    <s v="Pending"/>
    <x v="4"/>
    <x v="4"/>
    <x v="0"/>
  </r>
  <r>
    <x v="137"/>
    <s v="INV-00998"/>
    <x v="2"/>
    <x v="8"/>
    <x v="2"/>
    <s v="Lagos"/>
    <s v="Emeka"/>
    <s v="Supermarket"/>
    <n v="31"/>
    <n v="6353.18"/>
    <n v="196948.58000000002"/>
    <n v="14574.01"/>
    <x v="563"/>
    <n v="102402.93"/>
    <n v="4716.7"/>
    <n v="11708.54"/>
    <n v="9669.2999999999993"/>
    <n v="4960.33"/>
    <n v="133457.79999999999"/>
    <n v="79971.640000000014"/>
    <n v="48916.770000000019"/>
    <n v="0.26822144118009444"/>
    <s v="Paid"/>
    <x v="4"/>
    <x v="4"/>
    <x v="0"/>
  </r>
  <r>
    <x v="137"/>
    <s v="INV-01155"/>
    <x v="8"/>
    <x v="3"/>
    <x v="3"/>
    <s v="Lagos"/>
    <s v="Samuel"/>
    <s v="Supermarket"/>
    <n v="93"/>
    <n v="876.75"/>
    <n v="81537.75"/>
    <n v="5973.08"/>
    <x v="564"/>
    <n v="49684.68"/>
    <n v="2071.6999999999998"/>
    <n v="5588.29"/>
    <n v="3243.25"/>
    <n v="1672.07"/>
    <n v="62259.99"/>
    <n v="25879.989999999998"/>
    <n v="13304.68"/>
    <n v="0.17607011318913984"/>
    <s v="Pending"/>
    <x v="4"/>
    <x v="4"/>
    <x v="0"/>
  </r>
  <r>
    <x v="137"/>
    <s v="INV-00859"/>
    <x v="9"/>
    <x v="7"/>
    <x v="5"/>
    <s v="Port Harcourt"/>
    <s v="Daniel"/>
    <s v="Retail"/>
    <n v="76"/>
    <n v="5595.51"/>
    <n v="425258.76"/>
    <n v="24553.69"/>
    <x v="565"/>
    <n v="292582.59000000003"/>
    <n v="17794.36"/>
    <n v="28519.94"/>
    <n v="14586.57"/>
    <n v="12118.84"/>
    <n v="365602.30000000005"/>
    <n v="108122.47999999998"/>
    <n v="35102.76999999996"/>
    <n v="8.7602510245253354E-2"/>
    <s v="Paid"/>
    <x v="4"/>
    <x v="4"/>
    <x v="0"/>
  </r>
  <r>
    <x v="138"/>
    <s v="INV-00078"/>
    <x v="2"/>
    <x v="1"/>
    <x v="1"/>
    <s v="Port Harcourt"/>
    <s v="Ibrahim"/>
    <s v="Wholesale"/>
    <n v="88"/>
    <n v="4281.32"/>
    <n v="376756.16"/>
    <n v="35754.410000000003"/>
    <x v="566"/>
    <n v="253916.77"/>
    <n v="15588.77"/>
    <n v="24459.79"/>
    <n v="17673.5"/>
    <n v="9875.19"/>
    <n v="321514.01999999996"/>
    <n v="87084.98000000001"/>
    <n v="19487.73000000004"/>
    <n v="5.7148475044483026E-2"/>
    <s v="Paid"/>
    <x v="4"/>
    <x v="4"/>
    <x v="0"/>
  </r>
  <r>
    <x v="138"/>
    <s v="INV-00478"/>
    <x v="0"/>
    <x v="4"/>
    <x v="4"/>
    <s v="Lagos"/>
    <s v="Fatima"/>
    <s v="Retail"/>
    <n v="32"/>
    <n v="3279.69"/>
    <n v="104950.08"/>
    <n v="5935.6"/>
    <x v="567"/>
    <n v="55591.519999999997"/>
    <n v="2772.58"/>
    <n v="6499.86"/>
    <n v="3652.57"/>
    <n v="2650.13"/>
    <n v="71166.66"/>
    <n v="43422.96"/>
    <n v="27847.819999999992"/>
    <n v="0.28124997475116764"/>
    <s v="Paid"/>
    <x v="4"/>
    <x v="4"/>
    <x v="0"/>
  </r>
  <r>
    <x v="138"/>
    <s v="INV-00920"/>
    <x v="8"/>
    <x v="6"/>
    <x v="0"/>
    <s v="Ibadan"/>
    <s v="Samuel"/>
    <s v="Retail"/>
    <n v="122"/>
    <n v="383.37"/>
    <n v="46771.14"/>
    <n v="2860.73"/>
    <x v="568"/>
    <n v="33566.400000000001"/>
    <n v="1386.83"/>
    <n v="2632.99"/>
    <n v="2218.84"/>
    <n v="961.98"/>
    <n v="40767.040000000001"/>
    <n v="10344.009999999995"/>
    <n v="3143.3699999999953"/>
    <n v="7.1585986102156537E-2"/>
    <s v="Paid"/>
    <x v="4"/>
    <x v="4"/>
    <x v="0"/>
  </r>
  <r>
    <x v="138"/>
    <s v="INV-00719"/>
    <x v="2"/>
    <x v="8"/>
    <x v="2"/>
    <s v="Lagos"/>
    <s v="Daniel"/>
    <s v="Supermarket"/>
    <n v="74"/>
    <n v="6455.67"/>
    <n v="477719.58"/>
    <n v="34403.339999999997"/>
    <x v="569"/>
    <n v="266762.77"/>
    <n v="12456.27"/>
    <n v="31110.84"/>
    <n v="21558.89"/>
    <n v="9589.5400000000009"/>
    <n v="341478.31000000006"/>
    <n v="176553.46999999997"/>
    <n v="101837.92999999993"/>
    <n v="0.22971847365663828"/>
    <s v="Paid"/>
    <x v="4"/>
    <x v="4"/>
    <x v="0"/>
  </r>
  <r>
    <x v="138"/>
    <s v="INV-00128"/>
    <x v="1"/>
    <x v="5"/>
    <x v="3"/>
    <s v="Abuja"/>
    <s v="Mary"/>
    <s v="Distributor"/>
    <n v="51"/>
    <n v="1426.96"/>
    <n v="72774.960000000006"/>
    <n v="7032.01"/>
    <x v="570"/>
    <n v="35989.629999999997"/>
    <n v="2596.1"/>
    <n v="4879.18"/>
    <n v="2719.17"/>
    <n v="1929.84"/>
    <n v="48113.919999999991"/>
    <n v="29753.320000000014"/>
    <n v="17629.030000000021"/>
    <n v="0.26815088157741657"/>
    <s v="Paid"/>
    <x v="4"/>
    <x v="4"/>
    <x v="0"/>
  </r>
  <r>
    <x v="139"/>
    <s v="INV-01257"/>
    <x v="5"/>
    <x v="1"/>
    <x v="1"/>
    <s v="Ibadan"/>
    <s v="Daniel"/>
    <s v="Wholesale"/>
    <n v="57"/>
    <n v="4318.6099999999997"/>
    <n v="246160.77"/>
    <n v="19792.54"/>
    <x v="571"/>
    <n v="161553.99"/>
    <n v="6361.06"/>
    <n v="16179.69"/>
    <n v="8097.68"/>
    <n v="5975.89"/>
    <n v="198168.31"/>
    <n v="64814.239999999991"/>
    <n v="28199.919999999984"/>
    <n v="0.12457543180860665"/>
    <s v="Paid"/>
    <x v="4"/>
    <x v="4"/>
    <x v="0"/>
  </r>
  <r>
    <x v="140"/>
    <s v="INV-00605"/>
    <x v="2"/>
    <x v="0"/>
    <x v="0"/>
    <s v="Abuja"/>
    <s v="Fatima"/>
    <s v="Wholesale"/>
    <n v="101"/>
    <n v="1197.02"/>
    <n v="120899.02"/>
    <n v="10119.51"/>
    <x v="572"/>
    <n v="65139.82"/>
    <n v="4175"/>
    <n v="7306.01"/>
    <n v="5642.36"/>
    <n v="2303.0700000000002"/>
    <n v="84566.260000000009"/>
    <n v="45639.69000000001"/>
    <n v="26213.25"/>
    <n v="0.23662543732139632"/>
    <s v="Paid"/>
    <x v="4"/>
    <x v="4"/>
    <x v="0"/>
  </r>
  <r>
    <x v="140"/>
    <s v="INV-00436"/>
    <x v="8"/>
    <x v="3"/>
    <x v="3"/>
    <s v="Lagos"/>
    <s v="Amina"/>
    <s v="Supermarket"/>
    <n v="78"/>
    <n v="843.95"/>
    <n v="65828.100000000006"/>
    <n v="5310.51"/>
    <x v="573"/>
    <n v="42125.1"/>
    <n v="1714.22"/>
    <n v="3595.88"/>
    <n v="2158.5700000000002"/>
    <n v="1935"/>
    <n v="51528.77"/>
    <n v="18392.490000000005"/>
    <n v="8988.820000000007"/>
    <n v="0.1485323523292981"/>
    <s v="Paid"/>
    <x v="4"/>
    <x v="4"/>
    <x v="0"/>
  </r>
  <r>
    <x v="140"/>
    <s v="INV-01129"/>
    <x v="11"/>
    <x v="6"/>
    <x v="0"/>
    <s v="Lagos"/>
    <s v="Amina"/>
    <s v="Distributor"/>
    <n v="107"/>
    <n v="366.85"/>
    <n v="39252.950000000004"/>
    <n v="3062.99"/>
    <x v="574"/>
    <n v="28218.7"/>
    <n v="874.26"/>
    <n v="2235.06"/>
    <n v="1689.29"/>
    <n v="1106.6600000000001"/>
    <n v="34123.97"/>
    <n v="7971.2600000000057"/>
    <n v="2065.9900000000052"/>
    <n v="5.7087380035789066E-2"/>
    <s v="Pending"/>
    <x v="4"/>
    <x v="4"/>
    <x v="0"/>
  </r>
  <r>
    <x v="141"/>
    <s v="INV-00686"/>
    <x v="3"/>
    <x v="9"/>
    <x v="4"/>
    <s v="Lagos"/>
    <s v="Samuel"/>
    <s v="Distributor"/>
    <n v="56"/>
    <n v="1924.61"/>
    <n v="107778.15999999999"/>
    <n v="7867.7"/>
    <x v="575"/>
    <n v="70126.62"/>
    <n v="2365.41"/>
    <n v="5963.55"/>
    <n v="3499.83"/>
    <n v="2532.79"/>
    <n v="84488.2"/>
    <n v="29783.839999999997"/>
    <n v="15422.259999999995"/>
    <n v="0.15436081467345858"/>
    <s v="Paid"/>
    <x v="4"/>
    <x v="4"/>
    <x v="0"/>
  </r>
  <r>
    <x v="141"/>
    <s v="INV-01123"/>
    <x v="10"/>
    <x v="2"/>
    <x v="2"/>
    <s v="Lagos"/>
    <s v="Fatima"/>
    <s v="Wholesale"/>
    <n v="80"/>
    <n v="4313.29"/>
    <n v="345063.2"/>
    <n v="31479.24"/>
    <x v="576"/>
    <n v="224163.88"/>
    <n v="8297.59"/>
    <n v="21263.62"/>
    <n v="13569.61"/>
    <n v="6421.2"/>
    <n v="273715.90000000002"/>
    <n v="89420.080000000016"/>
    <n v="39868.06"/>
    <n v="0.12713679615500739"/>
    <s v="Paid"/>
    <x v="4"/>
    <x v="4"/>
    <x v="0"/>
  </r>
  <r>
    <x v="141"/>
    <s v="INV-00096"/>
    <x v="10"/>
    <x v="8"/>
    <x v="2"/>
    <s v="Lagos"/>
    <s v="Tunde"/>
    <s v="Wholesale"/>
    <n v="63"/>
    <n v="6371.79"/>
    <n v="401422.77"/>
    <n v="34793.96"/>
    <x v="577"/>
    <n v="215057.6"/>
    <n v="9688.18"/>
    <n v="20734.45"/>
    <n v="13068.7"/>
    <n v="11175.56"/>
    <n v="269724.49000000005"/>
    <n v="151571.21"/>
    <n v="96904.319999999949"/>
    <n v="0.26431179808264371"/>
    <s v="Paid"/>
    <x v="4"/>
    <x v="4"/>
    <x v="0"/>
  </r>
  <r>
    <x v="142"/>
    <s v="INV-00921"/>
    <x v="7"/>
    <x v="7"/>
    <x v="5"/>
    <s v="Lagos"/>
    <s v="Samuel"/>
    <s v="Wholesale"/>
    <n v="66"/>
    <n v="5498.54"/>
    <n v="362903.64"/>
    <n v="24674.35"/>
    <x v="578"/>
    <n v="247297.21"/>
    <n v="9496.2999999999993"/>
    <n v="19989.23"/>
    <n v="13305.66"/>
    <n v="10348.48"/>
    <n v="300436.87999999995"/>
    <n v="90932.080000000045"/>
    <n v="37792.410000000091"/>
    <n v="0.11173606520003068"/>
    <s v="Paid"/>
    <x v="4"/>
    <x v="4"/>
    <x v="0"/>
  </r>
  <r>
    <x v="142"/>
    <s v="INV-00408"/>
    <x v="7"/>
    <x v="3"/>
    <x v="3"/>
    <s v="Lagos"/>
    <s v="Samuel"/>
    <s v="Retail"/>
    <n v="75"/>
    <n v="877.47"/>
    <n v="65810.25"/>
    <n v="3755.86"/>
    <x v="579"/>
    <n v="40785.129999999997"/>
    <n v="1542.06"/>
    <n v="4029.92"/>
    <n v="2295.1"/>
    <n v="1736.22"/>
    <n v="50388.429999999993"/>
    <n v="21269.260000000002"/>
    <n v="11665.960000000006"/>
    <n v="0.18799572439596951"/>
    <s v="Paid"/>
    <x v="4"/>
    <x v="4"/>
    <x v="0"/>
  </r>
  <r>
    <x v="143"/>
    <s v="INV-00603"/>
    <x v="2"/>
    <x v="8"/>
    <x v="2"/>
    <s v="Lagos"/>
    <s v="Mary"/>
    <s v="Wholesale"/>
    <n v="51"/>
    <n v="6470.7"/>
    <n v="330005.7"/>
    <n v="27597.49"/>
    <x v="580"/>
    <n v="175990.23"/>
    <n v="7650.45"/>
    <n v="18755.419999999998"/>
    <n v="12407.12"/>
    <n v="9276.66"/>
    <n v="224079.88000000003"/>
    <n v="126417.98000000001"/>
    <n v="78328.329999999987"/>
    <n v="0.2590152231647414"/>
    <s v="Paid"/>
    <x v="4"/>
    <x v="4"/>
    <x v="0"/>
  </r>
  <r>
    <x v="144"/>
    <s v="INV-01235"/>
    <x v="10"/>
    <x v="3"/>
    <x v="3"/>
    <s v="Lagos"/>
    <s v="Mary"/>
    <s v="Wholesale"/>
    <n v="96"/>
    <n v="867.33"/>
    <n v="83263.680000000008"/>
    <n v="5977.52"/>
    <x v="581"/>
    <n v="52269.31"/>
    <n v="2166.21"/>
    <n v="4781.08"/>
    <n v="3895.44"/>
    <n v="1632.49"/>
    <n v="64744.53"/>
    <n v="25016.850000000006"/>
    <n v="12541.630000000005"/>
    <n v="0.16227523789511608"/>
    <s v="Paid"/>
    <x v="4"/>
    <x v="4"/>
    <x v="0"/>
  </r>
  <r>
    <x v="144"/>
    <s v="INV-00374"/>
    <x v="0"/>
    <x v="9"/>
    <x v="4"/>
    <s v="Abuja"/>
    <s v="Ibrahim"/>
    <s v="Retail"/>
    <n v="74"/>
    <n v="1959.15"/>
    <n v="144977.1"/>
    <n v="12231.6"/>
    <x v="582"/>
    <n v="96398.15"/>
    <n v="4869.3999999999996"/>
    <n v="8864.85"/>
    <n v="6999.24"/>
    <n v="2705.94"/>
    <n v="119837.58"/>
    <n v="36347.350000000006"/>
    <n v="12907.919999999998"/>
    <n v="9.7238098466614672E-2"/>
    <s v="Paid"/>
    <x v="4"/>
    <x v="4"/>
    <x v="0"/>
  </r>
  <r>
    <x v="144"/>
    <s v="INV-00523"/>
    <x v="1"/>
    <x v="2"/>
    <x v="2"/>
    <s v="Abuja"/>
    <s v="Ibrahim"/>
    <s v="Supermarket"/>
    <n v="64"/>
    <n v="4299.96"/>
    <n v="275197.44"/>
    <n v="18370.62"/>
    <x v="583"/>
    <n v="177774.92"/>
    <n v="10161.540000000001"/>
    <n v="17123.919999999998"/>
    <n v="10925.05"/>
    <n v="6020.78"/>
    <n v="222006.21"/>
    <n v="79051.899999999994"/>
    <n v="34820.610000000015"/>
    <n v="0.13558011581500723"/>
    <s v="Pending"/>
    <x v="4"/>
    <x v="4"/>
    <x v="0"/>
  </r>
  <r>
    <x v="144"/>
    <s v="INV-01067"/>
    <x v="7"/>
    <x v="2"/>
    <x v="2"/>
    <s v="Lagos"/>
    <s v="Tunde"/>
    <s v="Supermarket"/>
    <n v="25"/>
    <n v="4300.55"/>
    <n v="107513.75"/>
    <n v="7777.26"/>
    <x v="584"/>
    <n v="71320.899999999994"/>
    <n v="2483.9699999999998"/>
    <n v="5880.08"/>
    <n v="4312.1899999999996"/>
    <n v="2982.72"/>
    <n v="86979.86"/>
    <n v="28415.590000000011"/>
    <n v="12756.630000000005"/>
    <n v="0.12790333808619095"/>
    <s v="Paid"/>
    <x v="4"/>
    <x v="4"/>
    <x v="0"/>
  </r>
  <r>
    <x v="145"/>
    <s v="INV-00500"/>
    <x v="5"/>
    <x v="2"/>
    <x v="2"/>
    <s v="Lagos"/>
    <s v="Fatima"/>
    <s v="Supermarket"/>
    <n v="72"/>
    <n v="4673.99"/>
    <n v="336527.27999999997"/>
    <n v="22851.31"/>
    <x v="585"/>
    <n v="218407.42"/>
    <n v="8045.42"/>
    <n v="17469.810000000001"/>
    <n v="11192.39"/>
    <n v="7336.32"/>
    <n v="262451.36000000004"/>
    <n v="95268.549999999959"/>
    <n v="51224.609999999928"/>
    <n v="0.16330422123186528"/>
    <s v="Paid"/>
    <x v="4"/>
    <x v="4"/>
    <x v="0"/>
  </r>
  <r>
    <x v="145"/>
    <s v="INV-01204"/>
    <x v="1"/>
    <x v="7"/>
    <x v="5"/>
    <s v="Lagos"/>
    <s v="Mary"/>
    <s v="Supermarket"/>
    <n v="86"/>
    <n v="5450.33"/>
    <n v="468728.38"/>
    <n v="38270.839999999997"/>
    <x v="586"/>
    <n v="321343.99"/>
    <n v="12124.63"/>
    <n v="30911.38"/>
    <n v="20599.71"/>
    <n v="11489.09"/>
    <n v="396468.80000000005"/>
    <n v="109113.55000000005"/>
    <n v="33988.739999999991"/>
    <n v="7.8959564745921251E-2"/>
    <s v="Paid"/>
    <x v="4"/>
    <x v="4"/>
    <x v="0"/>
  </r>
  <r>
    <x v="145"/>
    <s v="INV-01408"/>
    <x v="3"/>
    <x v="1"/>
    <x v="1"/>
    <s v="Lagos"/>
    <s v="Fatima"/>
    <s v="Wholesale"/>
    <n v="90"/>
    <n v="4285.63"/>
    <n v="385706.7"/>
    <n v="28314.92"/>
    <x v="587"/>
    <n v="265832.83"/>
    <n v="9293.9599999999991"/>
    <n v="26555.73"/>
    <n v="12752.05"/>
    <n v="9331.2900000000009"/>
    <n v="323765.86"/>
    <n v="91558.950000000012"/>
    <n v="33625.920000000042"/>
    <n v="9.4086998867181665E-2"/>
    <s v="Paid"/>
    <x v="4"/>
    <x v="4"/>
    <x v="0"/>
  </r>
  <r>
    <x v="145"/>
    <s v="INV-00612"/>
    <x v="7"/>
    <x v="2"/>
    <x v="2"/>
    <s v="Abuja"/>
    <s v="Fatima"/>
    <s v="Distributor"/>
    <n v="77"/>
    <n v="4398.74"/>
    <n v="338702.98"/>
    <n v="33758.07"/>
    <x v="588"/>
    <n v="217269.23"/>
    <n v="10143.65"/>
    <n v="19758.849999999999"/>
    <n v="15245.35"/>
    <n v="6996.68"/>
    <n v="269413.76000000001"/>
    <n v="87675.679999999964"/>
    <n v="35531.149999999965"/>
    <n v="0.11651661934609753"/>
    <s v="Pending"/>
    <x v="4"/>
    <x v="4"/>
    <x v="0"/>
  </r>
  <r>
    <x v="145"/>
    <s v="INV-01386"/>
    <x v="11"/>
    <x v="3"/>
    <x v="3"/>
    <s v="Port Harcourt"/>
    <s v="Ibrahim"/>
    <s v="Retail"/>
    <n v="80"/>
    <n v="833.07"/>
    <n v="66645.600000000006"/>
    <n v="4407.92"/>
    <x v="589"/>
    <n v="43217.599999999999"/>
    <n v="2823.74"/>
    <n v="4051.59"/>
    <n v="2895.02"/>
    <n v="1692.62"/>
    <n v="54680.569999999992"/>
    <n v="19020.080000000009"/>
    <n v="7557.1100000000151"/>
    <n v="0.12142338853247767"/>
    <s v="Paid"/>
    <x v="4"/>
    <x v="4"/>
    <x v="0"/>
  </r>
  <r>
    <x v="145"/>
    <s v="INV-00678"/>
    <x v="3"/>
    <x v="0"/>
    <x v="0"/>
    <s v="Lagos"/>
    <s v="Ibrahim"/>
    <s v="Supermarket"/>
    <n v="12"/>
    <n v="1163.94"/>
    <n v="13967.28"/>
    <n v="1249.97"/>
    <x v="590"/>
    <n v="7621.7"/>
    <n v="361.09"/>
    <n v="716.37"/>
    <n v="666.43"/>
    <n v="343.15"/>
    <n v="9708.74"/>
    <n v="5095.6100000000015"/>
    <n v="3008.5700000000015"/>
    <n v="0.23657282868782795"/>
    <s v="Paid"/>
    <x v="4"/>
    <x v="4"/>
    <x v="0"/>
  </r>
  <r>
    <x v="145"/>
    <s v="INV-00245"/>
    <x v="6"/>
    <x v="5"/>
    <x v="3"/>
    <s v="Port Harcourt"/>
    <s v="Daniel"/>
    <s v="Retail"/>
    <n v="25"/>
    <n v="1542.05"/>
    <n v="38551.25"/>
    <n v="2213.58"/>
    <x v="591"/>
    <n v="19368.560000000001"/>
    <n v="1663.35"/>
    <n v="2695.24"/>
    <n v="1935.8"/>
    <n v="1102.3599999999999"/>
    <n v="26765.31"/>
    <n v="16969.109999999997"/>
    <n v="9572.3599999999969"/>
    <n v="0.26342800735435151"/>
    <s v="Paid"/>
    <x v="4"/>
    <x v="4"/>
    <x v="0"/>
  </r>
  <r>
    <x v="145"/>
    <s v="INV-00403"/>
    <x v="4"/>
    <x v="2"/>
    <x v="2"/>
    <s v="Abuja"/>
    <s v="Daniel"/>
    <s v="Distributor"/>
    <n v="118"/>
    <n v="4278.6499999999996"/>
    <n v="504880.69999999995"/>
    <n v="40881"/>
    <x v="592"/>
    <n v="337803.85"/>
    <n v="15170.89"/>
    <n v="27386.21"/>
    <n v="20242.25"/>
    <n v="11561.34"/>
    <n v="412164.54000000004"/>
    <n v="126195.84999999998"/>
    <n v="51835.159999999916"/>
    <n v="0.11171377912528806"/>
    <s v="Paid"/>
    <x v="4"/>
    <x v="4"/>
    <x v="0"/>
  </r>
  <r>
    <x v="145"/>
    <s v="INV-00090"/>
    <x v="4"/>
    <x v="9"/>
    <x v="4"/>
    <s v="Lagos"/>
    <s v="Mary"/>
    <s v="Wholesale"/>
    <n v="86"/>
    <n v="1845.05"/>
    <n v="158674.29999999999"/>
    <n v="15029.17"/>
    <x v="593"/>
    <n v="103265.98"/>
    <n v="3378.62"/>
    <n v="9667.48"/>
    <n v="7734.43"/>
    <n v="3268.18"/>
    <n v="127314.68999999997"/>
    <n v="40379.14999999998"/>
    <n v="16330.440000000002"/>
    <n v="0.11368599826530844"/>
    <s v="Paid"/>
    <x v="4"/>
    <x v="4"/>
    <x v="0"/>
  </r>
  <r>
    <x v="145"/>
    <s v="INV-01286"/>
    <x v="11"/>
    <x v="0"/>
    <x v="0"/>
    <s v="Ibadan"/>
    <s v="Daniel"/>
    <s v="Wholesale"/>
    <n v="36"/>
    <n v="1168"/>
    <n v="42048"/>
    <n v="3853.67"/>
    <x v="594"/>
    <n v="23333.27"/>
    <n v="1130.3900000000001"/>
    <n v="2260.29"/>
    <n v="1367.29"/>
    <n v="827.52"/>
    <n v="28918.760000000002"/>
    <n v="14861.060000000001"/>
    <n v="9275.57"/>
    <n v="0.24285201494567385"/>
    <s v="Pending"/>
    <x v="4"/>
    <x v="4"/>
    <x v="0"/>
  </r>
  <r>
    <x v="146"/>
    <s v="INV-00713"/>
    <x v="1"/>
    <x v="2"/>
    <x v="2"/>
    <s v="Lagos"/>
    <s v="Emeka"/>
    <s v="Wholesale"/>
    <n v="54"/>
    <n v="4468.49"/>
    <n v="241298.46"/>
    <n v="22607.78"/>
    <x v="595"/>
    <n v="152344.19"/>
    <n v="6114.22"/>
    <n v="14987.94"/>
    <n v="9201.8700000000008"/>
    <n v="6774.66"/>
    <n v="189422.88"/>
    <n v="66346.489999999991"/>
    <n v="29267.799999999988"/>
    <n v="0.13383194930849357"/>
    <s v="Paid"/>
    <x v="5"/>
    <x v="5"/>
    <x v="0"/>
  </r>
  <r>
    <x v="146"/>
    <s v="INV-00191"/>
    <x v="7"/>
    <x v="6"/>
    <x v="0"/>
    <s v="Abuja"/>
    <s v="Daniel"/>
    <s v="Wholesale"/>
    <n v="112"/>
    <n v="379.12"/>
    <n v="42461.440000000002"/>
    <n v="3992.03"/>
    <x v="596"/>
    <n v="30792.33"/>
    <n v="1414.14"/>
    <n v="2815.25"/>
    <n v="1682.83"/>
    <n v="920.24"/>
    <n v="37624.79"/>
    <n v="7677.0800000000017"/>
    <n v="844.62000000000262"/>
    <n v="2.1955626561467996E-2"/>
    <s v="Pending"/>
    <x v="5"/>
    <x v="5"/>
    <x v="0"/>
  </r>
  <r>
    <x v="147"/>
    <s v="INV-01290"/>
    <x v="3"/>
    <x v="5"/>
    <x v="3"/>
    <s v="Lagos"/>
    <s v="Samuel"/>
    <s v="Wholesale"/>
    <n v="60"/>
    <n v="1563.4"/>
    <n v="93804"/>
    <n v="7900.3"/>
    <x v="597"/>
    <n v="47359.62"/>
    <n v="2362.9699999999998"/>
    <n v="4858.74"/>
    <n v="3753.2"/>
    <n v="2207.89"/>
    <n v="60542.42"/>
    <n v="38544.079999999994"/>
    <n v="25361.279999999999"/>
    <n v="0.2952291926890227"/>
    <s v="Paid"/>
    <x v="5"/>
    <x v="5"/>
    <x v="0"/>
  </r>
  <r>
    <x v="148"/>
    <s v="INV-00732"/>
    <x v="11"/>
    <x v="6"/>
    <x v="0"/>
    <s v="Abuja"/>
    <s v="Amina"/>
    <s v="Retail"/>
    <n v="166"/>
    <n v="374.97"/>
    <n v="62245.020000000004"/>
    <n v="3559.98"/>
    <x v="598"/>
    <n v="44537.15"/>
    <n v="2270.62"/>
    <n v="3629.56"/>
    <n v="3063.28"/>
    <n v="1680.02"/>
    <n v="55180.63"/>
    <n v="14147.89"/>
    <n v="3504.4100000000035"/>
    <n v="5.9715559536127151E-2"/>
    <s v="Paid"/>
    <x v="5"/>
    <x v="5"/>
    <x v="0"/>
  </r>
  <r>
    <x v="148"/>
    <s v="INV-01122"/>
    <x v="8"/>
    <x v="6"/>
    <x v="0"/>
    <s v="Lagos"/>
    <s v="Ibrahim"/>
    <s v="Wholesale"/>
    <n v="118"/>
    <n v="365.62"/>
    <n v="43143.16"/>
    <n v="2937.51"/>
    <x v="599"/>
    <n v="32501.54"/>
    <n v="951.54"/>
    <n v="2876.33"/>
    <n v="1413.87"/>
    <n v="1040.58"/>
    <n v="38783.860000000008"/>
    <n v="7704.1100000000006"/>
    <n v="1421.7899999999936"/>
    <n v="3.5362940283268487E-2"/>
    <s v="Paid"/>
    <x v="5"/>
    <x v="5"/>
    <x v="0"/>
  </r>
  <r>
    <x v="148"/>
    <s v="INV-00885"/>
    <x v="8"/>
    <x v="2"/>
    <x v="2"/>
    <s v="Lagos"/>
    <s v="Emeka"/>
    <s v="Wholesale"/>
    <n v="50"/>
    <n v="4543.21"/>
    <n v="227160.5"/>
    <n v="19214.98"/>
    <x v="600"/>
    <n v="146057.37"/>
    <n v="5487.49"/>
    <n v="14416.99"/>
    <n v="8688.19"/>
    <n v="4979.6899999999996"/>
    <n v="179629.72999999998"/>
    <n v="61888.149999999994"/>
    <n v="28315.790000000008"/>
    <n v="0.13616927164384215"/>
    <s v="Paid"/>
    <x v="5"/>
    <x v="5"/>
    <x v="0"/>
  </r>
  <r>
    <x v="148"/>
    <s v="INV-00629"/>
    <x v="3"/>
    <x v="10"/>
    <x v="5"/>
    <s v="Port Harcourt"/>
    <s v="Amina"/>
    <s v="Wholesale"/>
    <n v="69"/>
    <n v="7233.44"/>
    <n v="499107.36"/>
    <n v="33464.04"/>
    <x v="601"/>
    <n v="278257.69"/>
    <n v="19224.349999999999"/>
    <n v="32434.03"/>
    <n v="23151.200000000001"/>
    <n v="13801.38"/>
    <n v="366868.64999999997"/>
    <n v="187385.63"/>
    <n v="98774.670000000042"/>
    <n v="0.21212517340525799"/>
    <s v="Paid"/>
    <x v="5"/>
    <x v="5"/>
    <x v="0"/>
  </r>
  <r>
    <x v="149"/>
    <s v="INV-01042"/>
    <x v="9"/>
    <x v="6"/>
    <x v="0"/>
    <s v="Ibadan"/>
    <s v="Amina"/>
    <s v="Supermarket"/>
    <n v="139"/>
    <n v="380.88"/>
    <n v="52942.32"/>
    <n v="3353.54"/>
    <x v="602"/>
    <n v="38779.4"/>
    <n v="1414.59"/>
    <n v="3341.44"/>
    <n v="1865.48"/>
    <n v="1211.5"/>
    <n v="46612.41"/>
    <n v="10809.379999999997"/>
    <n v="2976.3699999999953"/>
    <n v="6.0021037016841215E-2"/>
    <s v="Paid"/>
    <x v="5"/>
    <x v="5"/>
    <x v="0"/>
  </r>
  <r>
    <x v="149"/>
    <s v="INV-00446"/>
    <x v="11"/>
    <x v="9"/>
    <x v="4"/>
    <s v="Lagos"/>
    <s v="Fatima"/>
    <s v="Supermarket"/>
    <n v="88"/>
    <n v="1867.69"/>
    <n v="164356.72"/>
    <n v="12407.46"/>
    <x v="603"/>
    <n v="105961.01"/>
    <n v="4297.63"/>
    <n v="9443.33"/>
    <n v="5633.56"/>
    <n v="4400.66"/>
    <n v="129736.19"/>
    <n v="45988.250000000015"/>
    <n v="22213.070000000007"/>
    <n v="0.14618741808943331"/>
    <s v="Paid"/>
    <x v="5"/>
    <x v="5"/>
    <x v="0"/>
  </r>
  <r>
    <x v="149"/>
    <s v="INV-00769"/>
    <x v="5"/>
    <x v="1"/>
    <x v="1"/>
    <s v="Ibadan"/>
    <s v="Tunde"/>
    <s v="Retail"/>
    <n v="106"/>
    <n v="4649.29"/>
    <n v="492824.74"/>
    <n v="41599.93"/>
    <x v="604"/>
    <n v="337781.82"/>
    <n v="13896.2"/>
    <n v="31647.83"/>
    <n v="21525.360000000001"/>
    <n v="11630.87"/>
    <n v="416482.08"/>
    <n v="113442.98999999999"/>
    <n v="34742.729999999981"/>
    <n v="7.6996497599500308E-2"/>
    <s v="Paid"/>
    <x v="5"/>
    <x v="5"/>
    <x v="0"/>
  </r>
  <r>
    <x v="150"/>
    <s v="INV-00487"/>
    <x v="1"/>
    <x v="2"/>
    <x v="2"/>
    <s v="Ibadan"/>
    <s v="Daniel"/>
    <s v="Supermarket"/>
    <n v="40"/>
    <n v="4583.07"/>
    <n v="183322.8"/>
    <n v="13980.93"/>
    <x v="605"/>
    <n v="121486.91"/>
    <n v="5023.05"/>
    <n v="12094.96"/>
    <n v="9195.2999999999993"/>
    <n v="5076.01"/>
    <n v="152876.23000000001"/>
    <n v="47854.959999999992"/>
    <n v="16465.639999999985"/>
    <n v="9.7233129644782978E-2"/>
    <s v="Paid"/>
    <x v="5"/>
    <x v="5"/>
    <x v="0"/>
  </r>
  <r>
    <x v="150"/>
    <s v="INV-00828"/>
    <x v="8"/>
    <x v="9"/>
    <x v="4"/>
    <s v="Abuja"/>
    <s v="Amina"/>
    <s v="Retail"/>
    <n v="52"/>
    <n v="1900.33"/>
    <n v="98817.16"/>
    <n v="6676.16"/>
    <x v="606"/>
    <n v="64862.879999999997"/>
    <n v="3647.09"/>
    <n v="5960.67"/>
    <n v="4442.16"/>
    <n v="2168.7800000000002"/>
    <n v="81081.58"/>
    <n v="27278.120000000003"/>
    <n v="11059.419999999998"/>
    <n v="0.12002713232979888"/>
    <s v="Paid"/>
    <x v="5"/>
    <x v="5"/>
    <x v="0"/>
  </r>
  <r>
    <x v="150"/>
    <s v="INV-01409"/>
    <x v="0"/>
    <x v="6"/>
    <x v="0"/>
    <s v="Abuja"/>
    <s v="Amina"/>
    <s v="Retail"/>
    <n v="132"/>
    <n v="388.29"/>
    <n v="51254.280000000006"/>
    <n v="3982.89"/>
    <x v="607"/>
    <n v="37226.07"/>
    <n v="1559.53"/>
    <n v="2667.25"/>
    <n v="1872.06"/>
    <n v="1435.52"/>
    <n v="44760.429999999993"/>
    <n v="10045.320000000007"/>
    <n v="2510.9600000000137"/>
    <n v="5.3117964163948074E-2"/>
    <s v="Paid"/>
    <x v="5"/>
    <x v="5"/>
    <x v="0"/>
  </r>
  <r>
    <x v="150"/>
    <s v="INV-01206"/>
    <x v="1"/>
    <x v="3"/>
    <x v="3"/>
    <s v="Ibadan"/>
    <s v="Tunde"/>
    <s v="Wholesale"/>
    <n v="86"/>
    <n v="894.33"/>
    <n v="76912.38"/>
    <n v="6446.61"/>
    <x v="608"/>
    <n v="46421.48"/>
    <n v="2174.96"/>
    <n v="3991.35"/>
    <n v="3776.36"/>
    <n v="2186.65"/>
    <n v="58550.8"/>
    <n v="24044.29"/>
    <n v="11914.970000000001"/>
    <n v="0.16908876465835823"/>
    <s v="Paid"/>
    <x v="5"/>
    <x v="5"/>
    <x v="0"/>
  </r>
  <r>
    <x v="150"/>
    <s v="INV-00902"/>
    <x v="0"/>
    <x v="6"/>
    <x v="0"/>
    <s v="Lagos"/>
    <s v="Amina"/>
    <s v="Wholesale"/>
    <n v="127"/>
    <n v="384.58"/>
    <n v="48841.659999999996"/>
    <n v="4170.09"/>
    <x v="609"/>
    <n v="36090.300000000003"/>
    <n v="1152.3699999999999"/>
    <n v="3156.49"/>
    <n v="1921.33"/>
    <n v="1221.49"/>
    <n v="43541.98"/>
    <n v="8581.2699999999895"/>
    <n v="1129.5899999999892"/>
    <n v="2.528655249860234E-2"/>
    <s v="Paid"/>
    <x v="5"/>
    <x v="5"/>
    <x v="0"/>
  </r>
  <r>
    <x v="150"/>
    <s v="INV-00754"/>
    <x v="8"/>
    <x v="1"/>
    <x v="1"/>
    <s v="Abuja"/>
    <s v="Ibrahim"/>
    <s v="Distributor"/>
    <n v="78"/>
    <n v="4566.8599999999997"/>
    <n v="356215.07999999996"/>
    <n v="26561.67"/>
    <x v="610"/>
    <n v="232828.57"/>
    <n v="11504.93"/>
    <n v="21833.22"/>
    <n v="14706.82"/>
    <n v="7475.22"/>
    <n v="288348.75999999995"/>
    <n v="96824.839999999967"/>
    <n v="41304.650000000023"/>
    <n v="0.12529720229498012"/>
    <s v="Paid"/>
    <x v="5"/>
    <x v="5"/>
    <x v="0"/>
  </r>
  <r>
    <x v="150"/>
    <s v="INV-00837"/>
    <x v="2"/>
    <x v="3"/>
    <x v="3"/>
    <s v="Lagos"/>
    <s v="Samuel"/>
    <s v="Distributor"/>
    <n v="102"/>
    <n v="833.84"/>
    <n v="85051.680000000008"/>
    <n v="7458.23"/>
    <x v="611"/>
    <n v="51332.98"/>
    <n v="1831.56"/>
    <n v="5590.71"/>
    <n v="3339.35"/>
    <n v="1708.23"/>
    <n v="63802.83"/>
    <n v="26260.470000000008"/>
    <n v="13790.62000000001"/>
    <n v="0.17772917688284265"/>
    <s v="Paid"/>
    <x v="5"/>
    <x v="5"/>
    <x v="0"/>
  </r>
  <r>
    <x v="151"/>
    <s v="INV-01349"/>
    <x v="10"/>
    <x v="6"/>
    <x v="0"/>
    <s v="Lagos"/>
    <s v="Daniel"/>
    <s v="Wholesale"/>
    <n v="109"/>
    <n v="370.84"/>
    <n v="40421.56"/>
    <n v="3699.78"/>
    <x v="612"/>
    <n v="28343.08"/>
    <n v="1012.84"/>
    <n v="2251.8200000000002"/>
    <n v="1328.67"/>
    <n v="1010.67"/>
    <n v="33947.08"/>
    <n v="8378.6999999999971"/>
    <n v="2774.6999999999971"/>
    <n v="7.5560062720271104E-2"/>
    <s v="Paid"/>
    <x v="5"/>
    <x v="5"/>
    <x v="0"/>
  </r>
  <r>
    <x v="151"/>
    <s v="INV-00388"/>
    <x v="5"/>
    <x v="6"/>
    <x v="0"/>
    <s v="Abuja"/>
    <s v="Samuel"/>
    <s v="Retail"/>
    <n v="108"/>
    <n v="385.21"/>
    <n v="41602.68"/>
    <n v="2308.58"/>
    <x v="613"/>
    <n v="31203.81"/>
    <n v="1482.09"/>
    <n v="2607.2399999999998"/>
    <n v="1654.72"/>
    <n v="892.99"/>
    <n v="37840.85"/>
    <n v="8090.2899999999972"/>
    <n v="1453.25"/>
    <n v="3.6983923795175358E-2"/>
    <s v="Paid"/>
    <x v="5"/>
    <x v="5"/>
    <x v="0"/>
  </r>
  <r>
    <x v="152"/>
    <s v="INV-00496"/>
    <x v="0"/>
    <x v="6"/>
    <x v="0"/>
    <s v="Lagos"/>
    <s v="Daniel"/>
    <s v="Retail"/>
    <n v="138"/>
    <n v="364.24"/>
    <n v="50265.120000000003"/>
    <n v="3933.27"/>
    <x v="614"/>
    <n v="36589.919999999998"/>
    <n v="1231"/>
    <n v="3362.29"/>
    <n v="2113.81"/>
    <n v="1146.1500000000001"/>
    <n v="44443.17"/>
    <n v="9741.9300000000076"/>
    <n v="1888.6800000000076"/>
    <n v="4.0764182738224512E-2"/>
    <s v="Paid"/>
    <x v="5"/>
    <x v="5"/>
    <x v="0"/>
  </r>
  <r>
    <x v="152"/>
    <s v="INV-00745"/>
    <x v="11"/>
    <x v="7"/>
    <x v="5"/>
    <s v="Lagos"/>
    <s v="Tunde"/>
    <s v="Retail"/>
    <n v="93"/>
    <n v="5453.02"/>
    <n v="507130.86000000004"/>
    <n v="38946.1"/>
    <x v="615"/>
    <n v="337863.81"/>
    <n v="13354.86"/>
    <n v="32278.66"/>
    <n v="24722.67"/>
    <n v="11276.25"/>
    <n v="419496.24999999994"/>
    <n v="130320.95000000007"/>
    <n v="48688.510000000126"/>
    <n v="0.10399422228096472"/>
    <s v="Paid"/>
    <x v="5"/>
    <x v="5"/>
    <x v="0"/>
  </r>
  <r>
    <x v="152"/>
    <s v="INV-00251"/>
    <x v="0"/>
    <x v="0"/>
    <x v="0"/>
    <s v="Lagos"/>
    <s v="Amina"/>
    <s v="Wholesale"/>
    <n v="105"/>
    <n v="1178.48"/>
    <n v="123740.40000000001"/>
    <n v="10856.98"/>
    <x v="616"/>
    <n v="69343.570000000007"/>
    <n v="2679.24"/>
    <n v="8115.77"/>
    <n v="4100.8900000000003"/>
    <n v="3526.47"/>
    <n v="87765.940000000017"/>
    <n v="43539.850000000006"/>
    <n v="25117.479999999996"/>
    <n v="0.22250814158536297"/>
    <s v="Paid"/>
    <x v="5"/>
    <x v="5"/>
    <x v="0"/>
  </r>
  <r>
    <x v="153"/>
    <s v="INV-00458"/>
    <x v="0"/>
    <x v="5"/>
    <x v="3"/>
    <s v="Port Harcourt"/>
    <s v="Ibrahim"/>
    <s v="Wholesale"/>
    <n v="95"/>
    <n v="1507.06"/>
    <n v="143170.69999999998"/>
    <n v="11552.89"/>
    <x v="617"/>
    <n v="71060.39"/>
    <n v="5442.76"/>
    <n v="7594"/>
    <n v="4667.66"/>
    <n v="3237.67"/>
    <n v="92002.48"/>
    <n v="60557.42"/>
    <n v="39615.33"/>
    <n v="0.30098760950360748"/>
    <s v="Paid"/>
    <x v="5"/>
    <x v="5"/>
    <x v="0"/>
  </r>
  <r>
    <x v="153"/>
    <s v="INV-00625"/>
    <x v="3"/>
    <x v="7"/>
    <x v="5"/>
    <s v="Lagos"/>
    <s v="Emeka"/>
    <s v="Wholesale"/>
    <n v="73"/>
    <n v="5427.99"/>
    <n v="396243.26999999996"/>
    <n v="36100.81"/>
    <x v="618"/>
    <n v="260580.39"/>
    <n v="9840.8700000000008"/>
    <n v="26911.09"/>
    <n v="14525.43"/>
    <n v="7667.01"/>
    <n v="319524.79000000004"/>
    <n v="99562.069999999949"/>
    <n v="40617.669999999925"/>
    <n v="0.11278223067616057"/>
    <s v="Paid"/>
    <x v="5"/>
    <x v="5"/>
    <x v="0"/>
  </r>
  <r>
    <x v="154"/>
    <s v="INV-00712"/>
    <x v="6"/>
    <x v="11"/>
    <x v="1"/>
    <s v="Abuja"/>
    <s v="Ibrahim"/>
    <s v="Wholesale"/>
    <n v="30"/>
    <n v="6713.42"/>
    <n v="201402.6"/>
    <n v="18538.259999999998"/>
    <x v="619"/>
    <n v="109047.87"/>
    <n v="7012.64"/>
    <n v="12719"/>
    <n v="7496.88"/>
    <n v="4870.03"/>
    <n v="141146.41999999998"/>
    <n v="73816.47"/>
    <n v="41717.920000000013"/>
    <n v="0.22813589571372972"/>
    <s v="Paid"/>
    <x v="5"/>
    <x v="5"/>
    <x v="0"/>
  </r>
  <r>
    <x v="154"/>
    <s v="INV-01053"/>
    <x v="3"/>
    <x v="2"/>
    <x v="2"/>
    <s v="Lagos"/>
    <s v="Tunde"/>
    <s v="Retail"/>
    <n v="76"/>
    <n v="4585.71"/>
    <n v="348513.96"/>
    <n v="25381.37"/>
    <x v="620"/>
    <n v="233565.34"/>
    <n v="8353.16"/>
    <n v="20927.71"/>
    <n v="15639.31"/>
    <n v="6771.41"/>
    <n v="285256.93"/>
    <n v="89567.250000000029"/>
    <n v="37875.660000000033"/>
    <n v="0.11721398946482009"/>
    <s v="Paid"/>
    <x v="5"/>
    <x v="5"/>
    <x v="0"/>
  </r>
  <r>
    <x v="155"/>
    <s v="INV-00928"/>
    <x v="0"/>
    <x v="7"/>
    <x v="5"/>
    <s v="Lagos"/>
    <s v="Daniel"/>
    <s v="Wholesale"/>
    <n v="58"/>
    <n v="5640.71"/>
    <n v="327161.18"/>
    <n v="23060.11"/>
    <x v="621"/>
    <n v="227731.51"/>
    <n v="8557.64"/>
    <n v="17026.759999999998"/>
    <n v="11780.97"/>
    <n v="8283.34"/>
    <n v="273380.22000000003"/>
    <n v="76369.56"/>
    <n v="30720.849999999977"/>
    <n v="0.10102184119246925"/>
    <s v="Paid"/>
    <x v="5"/>
    <x v="5"/>
    <x v="0"/>
  </r>
  <r>
    <x v="155"/>
    <s v="INV-00434"/>
    <x v="4"/>
    <x v="7"/>
    <x v="5"/>
    <s v="Lagos"/>
    <s v="Samuel"/>
    <s v="Wholesale"/>
    <n v="56"/>
    <n v="5792.87"/>
    <n v="324400.71999999997"/>
    <n v="21657.62"/>
    <x v="622"/>
    <n v="232514.31"/>
    <n v="7233.97"/>
    <n v="17465.689999999999"/>
    <n v="16485.46"/>
    <n v="7141.19"/>
    <n v="280840.62"/>
    <n v="70228.789999999979"/>
    <n v="21902.479999999981"/>
    <n v="7.2346752081219962E-2"/>
    <s v="Paid"/>
    <x v="5"/>
    <x v="5"/>
    <x v="0"/>
  </r>
  <r>
    <x v="155"/>
    <s v="INV-01050"/>
    <x v="1"/>
    <x v="9"/>
    <x v="4"/>
    <s v="Ibadan"/>
    <s v="Fatima"/>
    <s v="Wholesale"/>
    <n v="63"/>
    <n v="1934.27"/>
    <n v="121859.01"/>
    <n v="8035.64"/>
    <x v="623"/>
    <n v="81163.81"/>
    <n v="3242.99"/>
    <n v="7443.64"/>
    <n v="4007.96"/>
    <n v="2436.88"/>
    <n v="98295.280000000013"/>
    <n v="32659.559999999998"/>
    <n v="15528.089999999982"/>
    <n v="0.1364226871862956"/>
    <s v="Paid"/>
    <x v="5"/>
    <x v="5"/>
    <x v="0"/>
  </r>
  <r>
    <x v="155"/>
    <s v="INV-00235"/>
    <x v="5"/>
    <x v="3"/>
    <x v="3"/>
    <s v="Lagos"/>
    <s v="Amina"/>
    <s v="Distributor"/>
    <n v="43"/>
    <n v="874.3"/>
    <n v="37594.9"/>
    <n v="2980.96"/>
    <x v="624"/>
    <n v="23504.2"/>
    <n v="819.61"/>
    <n v="2447.8000000000002"/>
    <n v="1441.71"/>
    <n v="1040.32"/>
    <n v="29253.64"/>
    <n v="11109.740000000002"/>
    <n v="5360.3000000000029"/>
    <n v="0.15485957391732932"/>
    <s v="Paid"/>
    <x v="5"/>
    <x v="5"/>
    <x v="0"/>
  </r>
  <r>
    <x v="155"/>
    <s v="INV-00255"/>
    <x v="3"/>
    <x v="2"/>
    <x v="2"/>
    <s v="Abuja"/>
    <s v="Daniel"/>
    <s v="Supermarket"/>
    <n v="73"/>
    <n v="4613.22"/>
    <n v="336765.06"/>
    <n v="26375.63"/>
    <x v="625"/>
    <n v="225613.96"/>
    <n v="11631.74"/>
    <n v="18303.060000000001"/>
    <n v="13006.06"/>
    <n v="8315.41"/>
    <n v="276870.23"/>
    <n v="84775.47"/>
    <n v="33519.200000000012"/>
    <n v="0.10799079079464791"/>
    <s v="Paid"/>
    <x v="5"/>
    <x v="5"/>
    <x v="0"/>
  </r>
  <r>
    <x v="155"/>
    <s v="INV-01161"/>
    <x v="3"/>
    <x v="9"/>
    <x v="4"/>
    <s v="Lagos"/>
    <s v="Daniel"/>
    <s v="Distributor"/>
    <n v="82"/>
    <n v="2027.97"/>
    <n v="166293.54"/>
    <n v="14289.5"/>
    <x v="626"/>
    <n v="102709.9"/>
    <n v="4145.1099999999997"/>
    <n v="10261.5"/>
    <n v="6284.24"/>
    <n v="4856.92"/>
    <n v="128257.67"/>
    <n v="49294.140000000014"/>
    <n v="23746.37000000001"/>
    <n v="0.15622196620563511"/>
    <s v="Paid"/>
    <x v="5"/>
    <x v="5"/>
    <x v="0"/>
  </r>
  <r>
    <x v="156"/>
    <s v="INV-00348"/>
    <x v="1"/>
    <x v="3"/>
    <x v="3"/>
    <s v="Port Harcourt"/>
    <s v="Amina"/>
    <s v="Wholesale"/>
    <n v="58"/>
    <n v="890.29"/>
    <n v="51636.82"/>
    <n v="3949.4"/>
    <x v="627"/>
    <n v="31628.2"/>
    <n v="1850.79"/>
    <n v="2801.82"/>
    <n v="1768.55"/>
    <n v="1338.21"/>
    <n v="39387.57"/>
    <n v="16059.219999999998"/>
    <n v="8299.8499999999985"/>
    <n v="0.17404694990838251"/>
    <s v="Pending"/>
    <x v="5"/>
    <x v="5"/>
    <x v="0"/>
  </r>
  <r>
    <x v="156"/>
    <s v="INV-00011"/>
    <x v="11"/>
    <x v="5"/>
    <x v="3"/>
    <s v="Lagos"/>
    <s v="Samuel"/>
    <s v="Supermarket"/>
    <n v="59"/>
    <n v="1509.5"/>
    <n v="89060.5"/>
    <n v="6262.59"/>
    <x v="628"/>
    <n v="45179.96"/>
    <n v="2145.73"/>
    <n v="4620.99"/>
    <n v="3217.87"/>
    <n v="2225.91"/>
    <n v="57390.460000000006"/>
    <n v="37617.950000000004"/>
    <n v="25407.449999999997"/>
    <n v="0.30686100651574411"/>
    <s v="Paid"/>
    <x v="5"/>
    <x v="5"/>
    <x v="0"/>
  </r>
  <r>
    <x v="156"/>
    <s v="INV-00601"/>
    <x v="1"/>
    <x v="10"/>
    <x v="5"/>
    <s v="Ibadan"/>
    <s v="Daniel"/>
    <s v="Supermarket"/>
    <n v="62"/>
    <n v="7159.59"/>
    <n v="443894.58"/>
    <n v="29705.39"/>
    <x v="629"/>
    <n v="258413.28"/>
    <n v="12040.21"/>
    <n v="24836.65"/>
    <n v="14948.83"/>
    <n v="10116.99"/>
    <n v="320355.96000000002"/>
    <n v="155775.91"/>
    <n v="93833.229999999981"/>
    <n v="0.22654678650594426"/>
    <s v="Paid"/>
    <x v="5"/>
    <x v="5"/>
    <x v="0"/>
  </r>
  <r>
    <x v="156"/>
    <s v="INV-01339"/>
    <x v="8"/>
    <x v="1"/>
    <x v="1"/>
    <s v="Ibadan"/>
    <s v="Tunde"/>
    <s v="Supermarket"/>
    <n v="74"/>
    <n v="4414"/>
    <n v="326636"/>
    <n v="29122.46"/>
    <x v="630"/>
    <n v="222544.07"/>
    <n v="9720.42"/>
    <n v="20979.06"/>
    <n v="14252.13"/>
    <n v="7473.32"/>
    <n v="274969"/>
    <n v="74969.469999999972"/>
    <n v="22544.539999999979"/>
    <n v="7.577651759983757E-2"/>
    <s v="Paid"/>
    <x v="5"/>
    <x v="5"/>
    <x v="0"/>
  </r>
  <r>
    <x v="156"/>
    <s v="INV-00973"/>
    <x v="8"/>
    <x v="6"/>
    <x v="0"/>
    <s v="Ibadan"/>
    <s v="Emeka"/>
    <s v="Wholesale"/>
    <n v="116"/>
    <n v="379.28"/>
    <n v="43996.479999999996"/>
    <n v="3056.16"/>
    <x v="631"/>
    <n v="32006.73"/>
    <n v="1274.24"/>
    <n v="2634.63"/>
    <n v="2074.54"/>
    <n v="1133.0999999999999"/>
    <n v="39123.24"/>
    <n v="8933.5899999999929"/>
    <n v="1817.0799999999945"/>
    <n v="4.438362963455085E-2"/>
    <s v="Paid"/>
    <x v="5"/>
    <x v="5"/>
    <x v="0"/>
  </r>
  <r>
    <x v="157"/>
    <s v="INV-00048"/>
    <x v="0"/>
    <x v="7"/>
    <x v="5"/>
    <s v="Lagos"/>
    <s v="Daniel"/>
    <s v="Wholesale"/>
    <n v="87"/>
    <n v="5542.09"/>
    <n v="482161.83"/>
    <n v="41693.120000000003"/>
    <x v="632"/>
    <n v="328844.75"/>
    <n v="11019.33"/>
    <n v="27346.93"/>
    <n v="16404.11"/>
    <n v="9782.4"/>
    <n v="393397.52"/>
    <n v="111623.96000000002"/>
    <n v="47071.19"/>
    <n v="0.1068661381190959"/>
    <s v="Pending"/>
    <x v="5"/>
    <x v="5"/>
    <x v="0"/>
  </r>
  <r>
    <x v="157"/>
    <s v="INV-00318"/>
    <x v="11"/>
    <x v="2"/>
    <x v="2"/>
    <s v="Ibadan"/>
    <s v="Ibrahim"/>
    <s v="Retail"/>
    <n v="73"/>
    <n v="4523.8599999999997"/>
    <n v="330241.77999999997"/>
    <n v="22789.31"/>
    <x v="633"/>
    <n v="224837.91"/>
    <n v="9975.4500000000007"/>
    <n v="18405.080000000002"/>
    <n v="12106.21"/>
    <n v="6503.33"/>
    <n v="271827.98000000004"/>
    <n v="82614.559999999969"/>
    <n v="35624.489999999932"/>
    <n v="0.11586990990835083"/>
    <s v="Pending"/>
    <x v="5"/>
    <x v="5"/>
    <x v="0"/>
  </r>
  <r>
    <x v="157"/>
    <s v="INV-00595"/>
    <x v="11"/>
    <x v="10"/>
    <x v="5"/>
    <s v="Ibadan"/>
    <s v="Samuel"/>
    <s v="Distributor"/>
    <n v="82"/>
    <n v="7251.41"/>
    <n v="594615.62"/>
    <n v="51617.31"/>
    <x v="634"/>
    <n v="323689.75"/>
    <n v="16225.91"/>
    <n v="34663.629999999997"/>
    <n v="23111.52"/>
    <n v="16336.43"/>
    <n v="414027.24"/>
    <n v="219308.56000000006"/>
    <n v="128971.07000000007"/>
    <n v="0.23751652192066686"/>
    <s v="Paid"/>
    <x v="5"/>
    <x v="5"/>
    <x v="0"/>
  </r>
  <r>
    <x v="157"/>
    <s v="INV-00060"/>
    <x v="11"/>
    <x v="4"/>
    <x v="4"/>
    <s v="Lagos"/>
    <s v="Amina"/>
    <s v="Retail"/>
    <n v="107"/>
    <n v="3131.04"/>
    <n v="335021.27999999997"/>
    <n v="19408.75"/>
    <x v="635"/>
    <n v="185333.02"/>
    <n v="7703.41"/>
    <n v="17503.05"/>
    <n v="11539.82"/>
    <n v="9458.08"/>
    <n v="231537.37999999998"/>
    <n v="130279.50999999998"/>
    <n v="84075.15"/>
    <n v="0.26638723754091764"/>
    <s v="Paid"/>
    <x v="5"/>
    <x v="5"/>
    <x v="0"/>
  </r>
  <r>
    <x v="158"/>
    <s v="INV-01314"/>
    <x v="11"/>
    <x v="6"/>
    <x v="0"/>
    <s v="Ibadan"/>
    <s v="Ibrahim"/>
    <s v="Distributor"/>
    <n v="144"/>
    <n v="382.57"/>
    <n v="55090.080000000002"/>
    <n v="4838.32"/>
    <x v="636"/>
    <n v="39933.67"/>
    <n v="1422.34"/>
    <n v="3238.28"/>
    <n v="2703.14"/>
    <n v="1356.33"/>
    <n v="48653.759999999995"/>
    <n v="10318.090000000004"/>
    <n v="1598.0000000000073"/>
    <n v="3.1799881237990615E-2"/>
    <s v="Pending"/>
    <x v="5"/>
    <x v="5"/>
    <x v="0"/>
  </r>
  <r>
    <x v="158"/>
    <s v="INV-01239"/>
    <x v="11"/>
    <x v="2"/>
    <x v="2"/>
    <s v="Lagos"/>
    <s v="Amina"/>
    <s v="Supermarket"/>
    <n v="47"/>
    <n v="4481.8900000000003"/>
    <n v="210648.83000000002"/>
    <n v="13143.2"/>
    <x v="637"/>
    <n v="146858.91"/>
    <n v="5556.96"/>
    <n v="13378.92"/>
    <n v="7505.72"/>
    <n v="5295.21"/>
    <n v="178595.72"/>
    <n v="50646.720000000001"/>
    <n v="18909.910000000003"/>
    <n v="9.5743650446825257E-2"/>
    <s v="Paid"/>
    <x v="5"/>
    <x v="5"/>
    <x v="0"/>
  </r>
  <r>
    <x v="158"/>
    <s v="INV-01099"/>
    <x v="10"/>
    <x v="3"/>
    <x v="3"/>
    <s v="Lagos"/>
    <s v="Ibrahim"/>
    <s v="Retail"/>
    <n v="62"/>
    <n v="893.3"/>
    <n v="55384.6"/>
    <n v="4515.1000000000004"/>
    <x v="638"/>
    <n v="34259.730000000003"/>
    <n v="1203.19"/>
    <n v="3348.96"/>
    <n v="1922.99"/>
    <n v="1440.36"/>
    <n v="42175.23"/>
    <n v="16609.769999999997"/>
    <n v="8694.2699999999968"/>
    <n v="0.17091321911951163"/>
    <s v="Paid"/>
    <x v="5"/>
    <x v="5"/>
    <x v="0"/>
  </r>
  <r>
    <x v="159"/>
    <s v="INV-01137"/>
    <x v="4"/>
    <x v="9"/>
    <x v="4"/>
    <s v="Ibadan"/>
    <s v="Mary"/>
    <s v="Wholesale"/>
    <n v="104"/>
    <n v="1905.6"/>
    <n v="198182.39999999999"/>
    <n v="14971.75"/>
    <x v="639"/>
    <n v="132710.54"/>
    <n v="6028.94"/>
    <n v="11598.31"/>
    <n v="8473.83"/>
    <n v="4386.46"/>
    <n v="163198.07999999999"/>
    <n v="50500.109999999986"/>
    <n v="20012.570000000007"/>
    <n v="0.10923256917651898"/>
    <s v="Paid"/>
    <x v="5"/>
    <x v="5"/>
    <x v="0"/>
  </r>
  <r>
    <x v="159"/>
    <s v="INV-00104"/>
    <x v="11"/>
    <x v="6"/>
    <x v="0"/>
    <s v="Lagos"/>
    <s v="Emeka"/>
    <s v="Wholesale"/>
    <n v="145"/>
    <n v="381.57"/>
    <n v="55327.65"/>
    <n v="4561.71"/>
    <x v="640"/>
    <n v="40401.65"/>
    <n v="1325.24"/>
    <n v="3175.18"/>
    <n v="2677.91"/>
    <n v="1192.47"/>
    <n v="48772.45"/>
    <n v="10364.290000000001"/>
    <n v="1993.4900000000052"/>
    <n v="3.9268257418261246E-2"/>
    <s v="Paid"/>
    <x v="5"/>
    <x v="5"/>
    <x v="0"/>
  </r>
  <r>
    <x v="159"/>
    <s v="INV-00344"/>
    <x v="1"/>
    <x v="6"/>
    <x v="0"/>
    <s v="Ibadan"/>
    <s v="Mary"/>
    <s v="Supermarket"/>
    <n v="58"/>
    <n v="381.87"/>
    <n v="22148.46"/>
    <n v="1806.37"/>
    <x v="641"/>
    <n v="15570.98"/>
    <n v="623.62"/>
    <n v="1442.42"/>
    <n v="1036.3900000000001"/>
    <n v="411.94"/>
    <n v="19085.349999999999"/>
    <n v="4771.1100000000006"/>
    <n v="1256.7400000000016"/>
    <n v="6.1780279214181118E-2"/>
    <s v="Paid"/>
    <x v="5"/>
    <x v="5"/>
    <x v="0"/>
  </r>
  <r>
    <x v="159"/>
    <s v="INV-00178"/>
    <x v="10"/>
    <x v="5"/>
    <x v="3"/>
    <s v="Lagos"/>
    <s v="Mary"/>
    <s v="Wholesale"/>
    <n v="58"/>
    <n v="1551.04"/>
    <n v="89960.319999999992"/>
    <n v="7847.44"/>
    <x v="642"/>
    <n v="46419.96"/>
    <n v="2330.34"/>
    <n v="5564.19"/>
    <n v="3458.9"/>
    <n v="2303.08"/>
    <n v="60076.470000000008"/>
    <n v="35692.919999999991"/>
    <n v="22036.409999999982"/>
    <n v="0.2683672768510858"/>
    <s v="Paid"/>
    <x v="5"/>
    <x v="5"/>
    <x v="0"/>
  </r>
  <r>
    <x v="159"/>
    <s v="INV-01001"/>
    <x v="0"/>
    <x v="8"/>
    <x v="2"/>
    <s v="Abuja"/>
    <s v="Ibrahim"/>
    <s v="Retail"/>
    <n v="64"/>
    <n v="6940.09"/>
    <n v="444165.76"/>
    <n v="37635.83"/>
    <x v="643"/>
    <n v="233193.05"/>
    <n v="15754.49"/>
    <n v="30339.4"/>
    <n v="17862.64"/>
    <n v="11161.38"/>
    <n v="308310.96000000002"/>
    <n v="173336.88"/>
    <n v="98218.969999999972"/>
    <n v="0.2416032935139609"/>
    <s v="Paid"/>
    <x v="5"/>
    <x v="5"/>
    <x v="0"/>
  </r>
  <r>
    <x v="159"/>
    <s v="INV-00283"/>
    <x v="9"/>
    <x v="1"/>
    <x v="1"/>
    <s v="Port Harcourt"/>
    <s v="Tunde"/>
    <s v="Supermarket"/>
    <n v="32"/>
    <n v="4683"/>
    <n v="149856"/>
    <n v="11199.88"/>
    <x v="644"/>
    <n v="104645"/>
    <n v="5451.37"/>
    <n v="7857.96"/>
    <n v="6608.36"/>
    <n v="3851.14"/>
    <n v="128413.83"/>
    <n v="34011.119999999995"/>
    <n v="10242.289999999994"/>
    <n v="7.3868286520638204E-2"/>
    <s v="Paid"/>
    <x v="5"/>
    <x v="5"/>
    <x v="0"/>
  </r>
  <r>
    <x v="160"/>
    <s v="INV-00552"/>
    <x v="1"/>
    <x v="2"/>
    <x v="2"/>
    <s v="Lagos"/>
    <s v="Samuel"/>
    <s v="Supermarket"/>
    <n v="49"/>
    <n v="4412.3500000000004"/>
    <n v="216205.15000000002"/>
    <n v="17657.72"/>
    <x v="645"/>
    <n v="147505.15"/>
    <n v="5643.83"/>
    <n v="11223.07"/>
    <n v="10078.530000000001"/>
    <n v="6009.82"/>
    <n v="180460.4"/>
    <n v="51042.280000000028"/>
    <n v="18087.030000000028"/>
    <n v="9.1096772191914172E-2"/>
    <s v="Paid"/>
    <x v="5"/>
    <x v="5"/>
    <x v="0"/>
  </r>
  <r>
    <x v="160"/>
    <s v="INV-00589"/>
    <x v="2"/>
    <x v="3"/>
    <x v="3"/>
    <s v="Lagos"/>
    <s v="Ibrahim"/>
    <s v="Distributor"/>
    <n v="42"/>
    <n v="839.17"/>
    <n v="35245.14"/>
    <n v="3312.96"/>
    <x v="646"/>
    <n v="21795.86"/>
    <n v="898.48"/>
    <n v="1867.25"/>
    <n v="1402.08"/>
    <n v="770.15"/>
    <n v="26733.82"/>
    <n v="10136.32"/>
    <n v="5198.3600000000006"/>
    <n v="0.16279377104851597"/>
    <s v="Paid"/>
    <x v="5"/>
    <x v="5"/>
    <x v="0"/>
  </r>
  <r>
    <x v="160"/>
    <s v="INV-01288"/>
    <x v="2"/>
    <x v="5"/>
    <x v="3"/>
    <s v="Lagos"/>
    <s v="Ibrahim"/>
    <s v="Supermarket"/>
    <n v="42"/>
    <n v="1457.84"/>
    <n v="61229.279999999999"/>
    <n v="4139.08"/>
    <x v="647"/>
    <n v="30477.31"/>
    <n v="1346.74"/>
    <n v="4068.49"/>
    <n v="2214.9499999999998"/>
    <n v="1368.92"/>
    <n v="39476.409999999996"/>
    <n v="26612.889999999996"/>
    <n v="17613.79"/>
    <n v="0.30852563136930683"/>
    <s v="Pending"/>
    <x v="5"/>
    <x v="5"/>
    <x v="0"/>
  </r>
  <r>
    <x v="160"/>
    <s v="INV-00127"/>
    <x v="5"/>
    <x v="9"/>
    <x v="4"/>
    <s v="Abuja"/>
    <s v="Tunde"/>
    <s v="Wholesale"/>
    <n v="87"/>
    <n v="2025.84"/>
    <n v="176248.08"/>
    <n v="15358.64"/>
    <x v="648"/>
    <n v="110282.04"/>
    <n v="6328.62"/>
    <n v="11935.33"/>
    <n v="6835.83"/>
    <n v="5136.5600000000004"/>
    <n v="140518.37999999998"/>
    <n v="50607.400000000009"/>
    <n v="20371.060000000027"/>
    <n v="0.1266152707101226"/>
    <s v="Pending"/>
    <x v="5"/>
    <x v="5"/>
    <x v="0"/>
  </r>
  <r>
    <x v="161"/>
    <s v="INV-00979"/>
    <x v="7"/>
    <x v="10"/>
    <x v="5"/>
    <s v="Abuja"/>
    <s v="Amina"/>
    <s v="Supermarket"/>
    <n v="64"/>
    <n v="6762.38"/>
    <n v="432792.32000000001"/>
    <n v="30013.79"/>
    <x v="649"/>
    <n v="250699.18"/>
    <n v="14609.49"/>
    <n v="29548.13"/>
    <n v="16730.810000000001"/>
    <n v="11159.11"/>
    <n v="322746.71999999997"/>
    <n v="152079.35000000003"/>
    <n v="80031.810000000056"/>
    <n v="0.1986992951188338"/>
    <s v="Paid"/>
    <x v="5"/>
    <x v="5"/>
    <x v="0"/>
  </r>
  <r>
    <x v="161"/>
    <s v="INV-00026"/>
    <x v="11"/>
    <x v="7"/>
    <x v="5"/>
    <s v="Ibadan"/>
    <s v="Amina"/>
    <s v="Distributor"/>
    <n v="104"/>
    <n v="5648.81"/>
    <n v="587476.24"/>
    <n v="53169.65"/>
    <x v="650"/>
    <n v="401877.64"/>
    <n v="17325.580000000002"/>
    <n v="36441.449999999997"/>
    <n v="28751.54"/>
    <n v="11537.84"/>
    <n v="495934.05000000005"/>
    <n v="132428.94999999995"/>
    <n v="38372.539999999921"/>
    <n v="7.1817455966620064E-2"/>
    <s v="Paid"/>
    <x v="5"/>
    <x v="5"/>
    <x v="0"/>
  </r>
  <r>
    <x v="162"/>
    <s v="INV-00647"/>
    <x v="10"/>
    <x v="7"/>
    <x v="5"/>
    <s v="Ibadan"/>
    <s v="Samuel"/>
    <s v="Supermarket"/>
    <n v="55"/>
    <n v="5850.9"/>
    <n v="321799.5"/>
    <n v="20868.14"/>
    <x v="651"/>
    <n v="217207.43"/>
    <n v="9876.91"/>
    <n v="22217.38"/>
    <n v="13629.72"/>
    <n v="8182.57"/>
    <n v="271114.01"/>
    <n v="83723.929999999993"/>
    <n v="29817.349999999977"/>
    <n v="9.9083558456652635E-2"/>
    <s v="Paid"/>
    <x v="5"/>
    <x v="5"/>
    <x v="0"/>
  </r>
  <r>
    <x v="162"/>
    <s v="INV-01132"/>
    <x v="10"/>
    <x v="2"/>
    <x v="2"/>
    <s v="Port Harcourt"/>
    <s v="Amina"/>
    <s v="Retail"/>
    <n v="73"/>
    <n v="4695.55"/>
    <n v="342775.15"/>
    <n v="22259.52"/>
    <x v="652"/>
    <n v="233637.11"/>
    <n v="13602.82"/>
    <n v="17861.419999999998"/>
    <n v="15213.16"/>
    <n v="8960.4500000000007"/>
    <n v="289274.95999999996"/>
    <n v="86878.520000000019"/>
    <n v="31240.670000000042"/>
    <n v="9.7470036016652425E-2"/>
    <s v="Pending"/>
    <x v="5"/>
    <x v="5"/>
    <x v="0"/>
  </r>
  <r>
    <x v="162"/>
    <s v="INV-00438"/>
    <x v="7"/>
    <x v="2"/>
    <x v="2"/>
    <s v="Abuja"/>
    <s v="Tunde"/>
    <s v="Retail"/>
    <n v="68"/>
    <n v="4477.6099999999997"/>
    <n v="304477.48"/>
    <n v="19336.63"/>
    <x v="653"/>
    <n v="208238.92"/>
    <n v="9793.98"/>
    <n v="20248.88"/>
    <n v="15634.93"/>
    <n v="6125.44"/>
    <n v="260042.15000000002"/>
    <n v="76901.929999999964"/>
    <n v="25098.699999999953"/>
    <n v="8.802211258050173E-2"/>
    <s v="Paid"/>
    <x v="5"/>
    <x v="5"/>
    <x v="0"/>
  </r>
  <r>
    <x v="162"/>
    <s v="INV-00328"/>
    <x v="7"/>
    <x v="9"/>
    <x v="4"/>
    <s v="Abuja"/>
    <s v="Samuel"/>
    <s v="Supermarket"/>
    <n v="63"/>
    <n v="1893.46"/>
    <n v="119287.98"/>
    <n v="8903.4"/>
    <x v="654"/>
    <n v="75519.78"/>
    <n v="4315.6899999999996"/>
    <n v="7352.46"/>
    <n v="5113.96"/>
    <n v="2571.59"/>
    <n v="94873.48000000001"/>
    <n v="34864.800000000003"/>
    <n v="15511.099999999991"/>
    <n v="0.14051872100251675"/>
    <s v="Paid"/>
    <x v="5"/>
    <x v="5"/>
    <x v="0"/>
  </r>
  <r>
    <x v="162"/>
    <s v="INV-00516"/>
    <x v="2"/>
    <x v="0"/>
    <x v="0"/>
    <s v="Lagos"/>
    <s v="Tunde"/>
    <s v="Supermarket"/>
    <n v="67"/>
    <n v="1149.8"/>
    <n v="77036.599999999991"/>
    <n v="6825.7"/>
    <x v="655"/>
    <n v="42605.19"/>
    <n v="1979.76"/>
    <n v="4272.24"/>
    <n v="2734.69"/>
    <n v="1668.17"/>
    <n v="53260.05"/>
    <n v="27605.709999999992"/>
    <n v="16950.849999999991"/>
    <n v="0.24142761309141447"/>
    <s v="Paid"/>
    <x v="5"/>
    <x v="5"/>
    <x v="0"/>
  </r>
  <r>
    <x v="163"/>
    <s v="INV-01196"/>
    <x v="1"/>
    <x v="2"/>
    <x v="2"/>
    <s v="Port Harcourt"/>
    <s v="Tunde"/>
    <s v="Wholesale"/>
    <n v="81"/>
    <n v="4473.16"/>
    <n v="362325.95999999996"/>
    <n v="26639.75"/>
    <x v="656"/>
    <n v="235087.15"/>
    <n v="14804.29"/>
    <n v="23100.2"/>
    <n v="13622.31"/>
    <n v="7436.77"/>
    <n v="294050.72000000003"/>
    <n v="100599.05999999997"/>
    <n v="41635.489999999932"/>
    <n v="0.12403098119520589"/>
    <s v="Paid"/>
    <x v="5"/>
    <x v="5"/>
    <x v="0"/>
  </r>
  <r>
    <x v="163"/>
    <s v="INV-01224"/>
    <x v="7"/>
    <x v="1"/>
    <x v="1"/>
    <s v="Abuja"/>
    <s v="Mary"/>
    <s v="Supermarket"/>
    <n v="38"/>
    <n v="4466.9799999999996"/>
    <n v="169745.24"/>
    <n v="11729.29"/>
    <x v="657"/>
    <n v="118518.13"/>
    <n v="5400.63"/>
    <n v="9623.14"/>
    <n v="7792.45"/>
    <n v="4231.28"/>
    <n v="145565.63000000003"/>
    <n v="39497.819999999978"/>
    <n v="12450.319999999949"/>
    <n v="7.8791539714819614E-2"/>
    <s v="Pending"/>
    <x v="5"/>
    <x v="5"/>
    <x v="0"/>
  </r>
  <r>
    <x v="163"/>
    <s v="INV-00275"/>
    <x v="6"/>
    <x v="9"/>
    <x v="4"/>
    <s v="Abuja"/>
    <s v="Ibrahim"/>
    <s v="Wholesale"/>
    <n v="71"/>
    <n v="1935.44"/>
    <n v="137416.24"/>
    <n v="9491.89"/>
    <x v="658"/>
    <n v="90496.91"/>
    <n v="4778.68"/>
    <n v="8588.83"/>
    <n v="6941.15"/>
    <n v="3153.92"/>
    <n v="113959.48999999999"/>
    <n v="37427.439999999988"/>
    <n v="13964.86"/>
    <n v="0.10916498696299806"/>
    <s v="Paid"/>
    <x v="5"/>
    <x v="5"/>
    <x v="0"/>
  </r>
  <r>
    <x v="164"/>
    <s v="INV-00869"/>
    <x v="6"/>
    <x v="0"/>
    <x v="0"/>
    <s v="Lagos"/>
    <s v="Emeka"/>
    <s v="Distributor"/>
    <n v="89"/>
    <n v="1198.01"/>
    <n v="106622.89"/>
    <n v="8440.51"/>
    <x v="659"/>
    <n v="59065.13"/>
    <n v="2474.67"/>
    <n v="5684.72"/>
    <n v="5293.1"/>
    <n v="2892.49"/>
    <n v="75410.11"/>
    <n v="39117.250000000007"/>
    <n v="22772.270000000004"/>
    <n v="0.23193845983362801"/>
    <s v="Paid"/>
    <x v="5"/>
    <x v="5"/>
    <x v="0"/>
  </r>
  <r>
    <x v="164"/>
    <s v="INV-00064"/>
    <x v="4"/>
    <x v="7"/>
    <x v="5"/>
    <s v="Port Harcourt"/>
    <s v="Mary"/>
    <s v="Supermarket"/>
    <n v="92"/>
    <n v="5588.39"/>
    <n v="514131.88"/>
    <n v="45189.85"/>
    <x v="660"/>
    <n v="362959.02"/>
    <n v="20300.11"/>
    <n v="29778.47"/>
    <n v="22269.14"/>
    <n v="11790.41"/>
    <n v="447097.14999999997"/>
    <n v="105983.01000000001"/>
    <n v="21844.880000000063"/>
    <n v="4.6583327154531361E-2"/>
    <s v="Paid"/>
    <x v="5"/>
    <x v="5"/>
    <x v="0"/>
  </r>
  <r>
    <x v="164"/>
    <s v="INV-00295"/>
    <x v="1"/>
    <x v="8"/>
    <x v="2"/>
    <s v="Lagos"/>
    <s v="Samuel"/>
    <s v="Wholesale"/>
    <n v="54"/>
    <n v="6445.16"/>
    <n v="348038.64"/>
    <n v="27588.83"/>
    <x v="661"/>
    <n v="183704.99"/>
    <n v="8056.91"/>
    <n v="17771.29"/>
    <n v="11452.77"/>
    <n v="7051.28"/>
    <n v="228037.24"/>
    <n v="136744.82"/>
    <n v="92412.57"/>
    <n v="0.28838391260085317"/>
    <s v="Paid"/>
    <x v="5"/>
    <x v="5"/>
    <x v="0"/>
  </r>
  <r>
    <x v="165"/>
    <s v="INV-01172"/>
    <x v="0"/>
    <x v="9"/>
    <x v="4"/>
    <s v="Lagos"/>
    <s v="Amina"/>
    <s v="Distributor"/>
    <n v="84"/>
    <n v="1859.07"/>
    <n v="156161.88"/>
    <n v="14742.17"/>
    <x v="662"/>
    <n v="100707.6"/>
    <n v="3701.9"/>
    <n v="10121.24"/>
    <n v="5219.16"/>
    <n v="2933.14"/>
    <n v="122683.04000000001"/>
    <n v="40712.109999999986"/>
    <n v="18736.669999999984"/>
    <n v="0.13248980640675889"/>
    <s v="Paid"/>
    <x v="5"/>
    <x v="5"/>
    <x v="0"/>
  </r>
  <r>
    <x v="165"/>
    <s v="INV-01223"/>
    <x v="9"/>
    <x v="0"/>
    <x v="0"/>
    <s v="Port Harcourt"/>
    <s v="Amina"/>
    <s v="Retail"/>
    <n v="93"/>
    <n v="1226.07"/>
    <n v="114024.51"/>
    <n v="8286.7900000000009"/>
    <x v="663"/>
    <n v="65102.239999999998"/>
    <n v="4817.95"/>
    <n v="6184.12"/>
    <n v="5188.93"/>
    <n v="3199.93"/>
    <n v="84493.169999999984"/>
    <n v="40635.480000000003"/>
    <n v="21244.550000000017"/>
    <n v="0.20091742095441453"/>
    <s v="Paid"/>
    <x v="5"/>
    <x v="5"/>
    <x v="0"/>
  </r>
  <r>
    <x v="166"/>
    <s v="INV-01437"/>
    <x v="2"/>
    <x v="0"/>
    <x v="0"/>
    <s v="Lagos"/>
    <s v="Ibrahim"/>
    <s v="Supermarket"/>
    <n v="62"/>
    <n v="1185.1600000000001"/>
    <n v="73479.92"/>
    <n v="4550.1899999999996"/>
    <x v="664"/>
    <n v="42109.5"/>
    <n v="1805.3"/>
    <n v="5106.0600000000004"/>
    <n v="2537.87"/>
    <n v="1538.65"/>
    <n v="53097.380000000005"/>
    <n v="26820.229999999996"/>
    <n v="15832.349999999991"/>
    <n v="0.22968826368535017"/>
    <s v="Paid"/>
    <x v="5"/>
    <x v="5"/>
    <x v="0"/>
  </r>
  <r>
    <x v="166"/>
    <s v="INV-00161"/>
    <x v="1"/>
    <x v="6"/>
    <x v="0"/>
    <s v="Ibadan"/>
    <s v="Amina"/>
    <s v="Retail"/>
    <n v="119"/>
    <n v="387.21"/>
    <n v="46077.99"/>
    <n v="2562.6999999999998"/>
    <x v="665"/>
    <n v="33514.980000000003"/>
    <n v="1272.92"/>
    <n v="2966.8"/>
    <n v="1851.93"/>
    <n v="1158.94"/>
    <n v="40765.570000000007"/>
    <n v="10000.309999999998"/>
    <n v="2749.7199999999939"/>
    <n v="6.3189743191416028E-2"/>
    <s v="Paid"/>
    <x v="5"/>
    <x v="5"/>
    <x v="0"/>
  </r>
  <r>
    <x v="166"/>
    <s v="INV-00421"/>
    <x v="7"/>
    <x v="6"/>
    <x v="0"/>
    <s v="Abuja"/>
    <s v="Amina"/>
    <s v="Wholesale"/>
    <n v="162"/>
    <n v="372.44"/>
    <n v="60335.28"/>
    <n v="5026.5600000000004"/>
    <x v="666"/>
    <n v="44381.41"/>
    <n v="1942.07"/>
    <n v="3554.64"/>
    <n v="2155.8200000000002"/>
    <n v="1536.21"/>
    <n v="53570.15"/>
    <n v="10927.309999999998"/>
    <n v="1738.5699999999997"/>
    <n v="3.1433922173574068E-2"/>
    <s v="Paid"/>
    <x v="5"/>
    <x v="5"/>
    <x v="0"/>
  </r>
  <r>
    <x v="166"/>
    <s v="INV-01029"/>
    <x v="3"/>
    <x v="3"/>
    <x v="3"/>
    <s v="Ibadan"/>
    <s v="Daniel"/>
    <s v="Wholesale"/>
    <n v="100"/>
    <n v="831.44"/>
    <n v="83144"/>
    <n v="5651.98"/>
    <x v="667"/>
    <n v="50500.87"/>
    <n v="2396.71"/>
    <n v="5311.53"/>
    <n v="3030.44"/>
    <n v="2165.8200000000002"/>
    <n v="63405.37"/>
    <n v="26991.15"/>
    <n v="14086.650000000001"/>
    <n v="0.18178194348269669"/>
    <s v="Paid"/>
    <x v="5"/>
    <x v="5"/>
    <x v="0"/>
  </r>
  <r>
    <x v="167"/>
    <s v="INV-00036"/>
    <x v="10"/>
    <x v="7"/>
    <x v="5"/>
    <s v="Ibadan"/>
    <s v="Samuel"/>
    <s v="Distributor"/>
    <n v="94"/>
    <n v="5705.32"/>
    <n v="536300.07999999996"/>
    <n v="46172.68"/>
    <x v="668"/>
    <n v="379583.21"/>
    <n v="13811.18"/>
    <n v="31403.72"/>
    <n v="17937.66"/>
    <n v="12789.23"/>
    <n v="455524.99999999994"/>
    <n v="110544.18999999994"/>
    <n v="34602.400000000023"/>
    <n v="7.059878717247807E-2"/>
    <s v="Paid"/>
    <x v="5"/>
    <x v="5"/>
    <x v="0"/>
  </r>
  <r>
    <x v="167"/>
    <s v="INV-01373"/>
    <x v="2"/>
    <x v="2"/>
    <x v="2"/>
    <s v="Abuja"/>
    <s v="Amina"/>
    <s v="Supermarket"/>
    <n v="72"/>
    <n v="4602.0200000000004"/>
    <n v="331345.44000000006"/>
    <n v="29772.959999999999"/>
    <x v="669"/>
    <n v="221289.85"/>
    <n v="10502.92"/>
    <n v="21762.5"/>
    <n v="14391.52"/>
    <n v="7258.4"/>
    <n v="275205.19000000006"/>
    <n v="80282.630000000034"/>
    <n v="26367.289999999979"/>
    <n v="8.7432679533623145E-2"/>
    <s v="Paid"/>
    <x v="5"/>
    <x v="5"/>
    <x v="0"/>
  </r>
  <r>
    <x v="167"/>
    <s v="INV-00610"/>
    <x v="4"/>
    <x v="0"/>
    <x v="0"/>
    <s v="Lagos"/>
    <s v="Samuel"/>
    <s v="Distributor"/>
    <n v="64"/>
    <n v="1150.48"/>
    <n v="73630.720000000001"/>
    <n v="5330.41"/>
    <x v="670"/>
    <n v="41216.42"/>
    <n v="1668.83"/>
    <n v="4538.1099999999997"/>
    <n v="3475.68"/>
    <n v="1534.62"/>
    <n v="52433.66"/>
    <n v="27083.89"/>
    <n v="15866.649999999994"/>
    <n v="0.23230714472599018"/>
    <s v="Paid"/>
    <x v="5"/>
    <x v="5"/>
    <x v="0"/>
  </r>
  <r>
    <x v="167"/>
    <s v="INV-00609"/>
    <x v="7"/>
    <x v="6"/>
    <x v="0"/>
    <s v="Abuja"/>
    <s v="Mary"/>
    <s v="Retail"/>
    <n v="126"/>
    <n v="390.83"/>
    <n v="49244.579999999994"/>
    <n v="2716.71"/>
    <x v="671"/>
    <n v="35598.36"/>
    <n v="1773.08"/>
    <n v="3098.99"/>
    <n v="2251.96"/>
    <n v="1230.5"/>
    <n v="43952.89"/>
    <n v="10929.509999999995"/>
    <n v="2574.9799999999959"/>
    <n v="5.5342744037068452E-2"/>
    <s v="Paid"/>
    <x v="5"/>
    <x v="5"/>
    <x v="0"/>
  </r>
  <r>
    <x v="168"/>
    <s v="INV-01414"/>
    <x v="8"/>
    <x v="2"/>
    <x v="2"/>
    <s v="Lagos"/>
    <s v="Tunde"/>
    <s v="Supermarket"/>
    <n v="41"/>
    <n v="4478.49"/>
    <n v="183618.09"/>
    <n v="13621.38"/>
    <x v="672"/>
    <n v="122418.67"/>
    <n v="4740.12"/>
    <n v="11708.78"/>
    <n v="7423.28"/>
    <n v="5026.37"/>
    <n v="151317.22"/>
    <n v="47578.039999999994"/>
    <n v="18679.489999999991"/>
    <n v="0.10988147947098501"/>
    <s v="Pending"/>
    <x v="5"/>
    <x v="5"/>
    <x v="0"/>
  </r>
  <r>
    <x v="168"/>
    <s v="INV-00185"/>
    <x v="5"/>
    <x v="9"/>
    <x v="4"/>
    <s v="Abuja"/>
    <s v="Emeka"/>
    <s v="Retail"/>
    <n v="53"/>
    <n v="1870.13"/>
    <n v="99116.89"/>
    <n v="7877.5"/>
    <x v="673"/>
    <n v="65092.06"/>
    <n v="3456.2"/>
    <n v="5731.84"/>
    <n v="4049.19"/>
    <n v="2442.9899999999998"/>
    <n v="80772.28"/>
    <n v="26147.33"/>
    <n v="10467.11"/>
    <n v="0.11472139390673261"/>
    <s v="Paid"/>
    <x v="5"/>
    <x v="5"/>
    <x v="0"/>
  </r>
  <r>
    <x v="168"/>
    <s v="INV-00183"/>
    <x v="4"/>
    <x v="8"/>
    <x v="2"/>
    <s v="Abuja"/>
    <s v="Ibrahim"/>
    <s v="Retail"/>
    <n v="97"/>
    <n v="6726.8"/>
    <n v="652499.6"/>
    <n v="55353.11"/>
    <x v="674"/>
    <n v="357750.02"/>
    <n v="19958.32"/>
    <n v="44096.23"/>
    <n v="28158.89"/>
    <n v="16237.92"/>
    <n v="466201.38"/>
    <n v="239396.46999999997"/>
    <n v="130945.10999999999"/>
    <n v="0.21928473530841652"/>
    <s v="Paid"/>
    <x v="5"/>
    <x v="5"/>
    <x v="0"/>
  </r>
  <r>
    <x v="168"/>
    <s v="INV-00707"/>
    <x v="1"/>
    <x v="6"/>
    <x v="0"/>
    <s v="Lagos"/>
    <s v="Amina"/>
    <s v="Wholesale"/>
    <n v="107"/>
    <n v="383.46"/>
    <n v="41030.22"/>
    <n v="2766.95"/>
    <x v="675"/>
    <n v="29788.29"/>
    <n v="911.52"/>
    <n v="2576.13"/>
    <n v="1580.39"/>
    <n v="977.85"/>
    <n v="35834.18"/>
    <n v="8474.9800000000032"/>
    <n v="2429.0900000000038"/>
    <n v="6.3483596671168027E-2"/>
    <s v="Paid"/>
    <x v="5"/>
    <x v="5"/>
    <x v="0"/>
  </r>
  <r>
    <x v="168"/>
    <s v="INV-00288"/>
    <x v="5"/>
    <x v="9"/>
    <x v="4"/>
    <s v="Abuja"/>
    <s v="Amina"/>
    <s v="Supermarket"/>
    <n v="104"/>
    <n v="1885.95"/>
    <n v="196138.80000000002"/>
    <n v="16762.86"/>
    <x v="676"/>
    <n v="120779.93"/>
    <n v="6842.73"/>
    <n v="13397.38"/>
    <n v="7913.99"/>
    <n v="3950.23"/>
    <n v="152884.25999999998"/>
    <n v="58596.010000000009"/>
    <n v="26491.680000000022"/>
    <n v="0.14768803441531803"/>
    <s v="Paid"/>
    <x v="5"/>
    <x v="5"/>
    <x v="0"/>
  </r>
  <r>
    <x v="169"/>
    <s v="INV-00672"/>
    <x v="6"/>
    <x v="6"/>
    <x v="0"/>
    <s v="Ibadan"/>
    <s v="Amina"/>
    <s v="Wholesale"/>
    <n v="113"/>
    <n v="385.03"/>
    <n v="43508.39"/>
    <n v="2912.32"/>
    <x v="677"/>
    <n v="32089.55"/>
    <n v="1197.3399999999999"/>
    <n v="2881.2"/>
    <n v="1516.77"/>
    <n v="960.94"/>
    <n v="38645.799999999996"/>
    <n v="8506.52"/>
    <n v="1950.2700000000041"/>
    <n v="4.8040857156862821E-2"/>
    <s v="Paid"/>
    <x v="5"/>
    <x v="5"/>
    <x v="0"/>
  </r>
  <r>
    <x v="169"/>
    <s v="INV-00366"/>
    <x v="5"/>
    <x v="11"/>
    <x v="1"/>
    <s v="Lagos"/>
    <s v="Mary"/>
    <s v="Retail"/>
    <n v="50"/>
    <n v="6431.51"/>
    <n v="321575.5"/>
    <n v="20693.169999999998"/>
    <x v="678"/>
    <n v="171346.7"/>
    <n v="8249.1"/>
    <n v="19086.439999999999"/>
    <n v="14812.68"/>
    <n v="6462.35"/>
    <n v="219957.27000000002"/>
    <n v="129535.63"/>
    <n v="80925.06"/>
    <n v="0.26895916420216498"/>
    <s v="Paid"/>
    <x v="5"/>
    <x v="5"/>
    <x v="0"/>
  </r>
  <r>
    <x v="169"/>
    <s v="INV-00630"/>
    <x v="8"/>
    <x v="1"/>
    <x v="1"/>
    <s v="Lagos"/>
    <s v="Fatima"/>
    <s v="Supermarket"/>
    <n v="98"/>
    <n v="4363.25"/>
    <n v="427598.5"/>
    <n v="34088.65"/>
    <x v="679"/>
    <n v="293267.5"/>
    <n v="9318.99"/>
    <n v="22516.12"/>
    <n v="21064.080000000002"/>
    <n v="12058.23"/>
    <n v="358224.92"/>
    <n v="100242.34999999998"/>
    <n v="35284.929999999993"/>
    <n v="8.9667209092732986E-2"/>
    <s v="Pending"/>
    <x v="5"/>
    <x v="5"/>
    <x v="0"/>
  </r>
  <r>
    <x v="169"/>
    <s v="INV-01083"/>
    <x v="10"/>
    <x v="10"/>
    <x v="5"/>
    <s v="Port Harcourt"/>
    <s v="Ibrahim"/>
    <s v="Supermarket"/>
    <n v="57"/>
    <n v="7325.1"/>
    <n v="417530.7"/>
    <n v="37399.620000000003"/>
    <x v="680"/>
    <n v="231009.48"/>
    <n v="15372.18"/>
    <n v="28068.43"/>
    <n v="19599.75"/>
    <n v="8713.52"/>
    <n v="302763.36000000004"/>
    <n v="149121.60000000001"/>
    <n v="77367.719999999972"/>
    <n v="0.20352905634551105"/>
    <s v="Pending"/>
    <x v="5"/>
    <x v="5"/>
    <x v="0"/>
  </r>
  <r>
    <x v="170"/>
    <s v="INV-00961"/>
    <x v="8"/>
    <x v="7"/>
    <x v="5"/>
    <s v="Ibadan"/>
    <s v="Tunde"/>
    <s v="Retail"/>
    <n v="55"/>
    <n v="5505.94"/>
    <n v="302826.69999999995"/>
    <n v="22311.14"/>
    <x v="681"/>
    <n v="209953.66"/>
    <n v="8733.1299999999992"/>
    <n v="19084.86"/>
    <n v="11445.06"/>
    <n v="5872.42"/>
    <n v="255089.13000000003"/>
    <n v="70561.899999999936"/>
    <n v="25426.429999999906"/>
    <n v="9.0641781154670753E-2"/>
    <s v="Paid"/>
    <x v="5"/>
    <x v="5"/>
    <x v="0"/>
  </r>
  <r>
    <x v="171"/>
    <s v="INV-01040"/>
    <x v="1"/>
    <x v="3"/>
    <x v="3"/>
    <s v="Lagos"/>
    <s v="Fatima"/>
    <s v="Retail"/>
    <n v="70"/>
    <n v="851.59"/>
    <n v="59611.3"/>
    <n v="4565.5600000000004"/>
    <x v="682"/>
    <n v="38215.5"/>
    <n v="1296.7"/>
    <n v="4062.55"/>
    <n v="2175.61"/>
    <n v="1546.04"/>
    <n v="47296.4"/>
    <n v="16830.240000000005"/>
    <n v="7749.3400000000038"/>
    <n v="0.14078001313089811"/>
    <s v="Paid"/>
    <x v="5"/>
    <x v="5"/>
    <x v="0"/>
  </r>
  <r>
    <x v="171"/>
    <s v="INV-00531"/>
    <x v="8"/>
    <x v="5"/>
    <x v="3"/>
    <s v="Abuja"/>
    <s v="Amina"/>
    <s v="Wholesale"/>
    <n v="34"/>
    <n v="1503.24"/>
    <n v="51110.16"/>
    <n v="4680.1499999999996"/>
    <x v="683"/>
    <n v="25132.93"/>
    <n v="1756.6"/>
    <n v="2913.68"/>
    <n v="2145.98"/>
    <n v="1214.98"/>
    <n v="33164.17"/>
    <n v="21297.08"/>
    <n v="13265.840000000004"/>
    <n v="0.28571693178614443"/>
    <s v="Paid"/>
    <x v="5"/>
    <x v="5"/>
    <x v="0"/>
  </r>
  <r>
    <x v="172"/>
    <s v="INV-00057"/>
    <x v="8"/>
    <x v="7"/>
    <x v="5"/>
    <s v="Lagos"/>
    <s v="Tunde"/>
    <s v="Retail"/>
    <n v="68"/>
    <n v="5685.39"/>
    <n v="386606.52"/>
    <n v="28579.24"/>
    <x v="684"/>
    <n v="261615.97"/>
    <n v="9433.99"/>
    <n v="25488.16"/>
    <n v="19232.66"/>
    <n v="10501.5"/>
    <n v="326272.27999999997"/>
    <n v="96411.310000000027"/>
    <n v="31755.000000000058"/>
    <n v="8.869435870920242E-2"/>
    <s v="Paid"/>
    <x v="5"/>
    <x v="5"/>
    <x v="0"/>
  </r>
  <r>
    <x v="172"/>
    <s v="INV-00592"/>
    <x v="2"/>
    <x v="6"/>
    <x v="0"/>
    <s v="Lagos"/>
    <s v="Emeka"/>
    <s v="Retail"/>
    <n v="113"/>
    <n v="378.71"/>
    <n v="42794.229999999996"/>
    <n v="2935.85"/>
    <x v="685"/>
    <n v="30041.52"/>
    <n v="970.39"/>
    <n v="2465.77"/>
    <n v="1969.52"/>
    <n v="1251.3900000000001"/>
    <n v="36698.589999999997"/>
    <n v="9816.8599999999969"/>
    <n v="3159.7900000000009"/>
    <n v="7.9275424640941283E-2"/>
    <s v="Paid"/>
    <x v="5"/>
    <x v="5"/>
    <x v="0"/>
  </r>
  <r>
    <x v="172"/>
    <s v="INV-00155"/>
    <x v="5"/>
    <x v="6"/>
    <x v="0"/>
    <s v="Ibadan"/>
    <s v="Mary"/>
    <s v="Supermarket"/>
    <n v="143"/>
    <n v="369"/>
    <n v="52767"/>
    <n v="3505.22"/>
    <x v="686"/>
    <n v="38058.94"/>
    <n v="1601.98"/>
    <n v="3545.3"/>
    <n v="2619.9"/>
    <n v="1300.73"/>
    <n v="47126.850000000013"/>
    <n v="11202.839999999997"/>
    <n v="2134.9299999999857"/>
    <n v="4.3338466454114849E-2"/>
    <s v="Paid"/>
    <x v="5"/>
    <x v="5"/>
    <x v="0"/>
  </r>
  <r>
    <x v="172"/>
    <s v="INV-00395"/>
    <x v="7"/>
    <x v="0"/>
    <x v="0"/>
    <s v="Lagos"/>
    <s v="Amina"/>
    <s v="Wholesale"/>
    <n v="60"/>
    <n v="1212.3900000000001"/>
    <n v="72743.400000000009"/>
    <n v="6205.58"/>
    <x v="687"/>
    <n v="40326.879999999997"/>
    <n v="1689.53"/>
    <n v="3977.2"/>
    <n v="3015.09"/>
    <n v="1457.85"/>
    <n v="50466.549999999996"/>
    <n v="26210.94000000001"/>
    <n v="16071.270000000011"/>
    <n v="0.24153586636893137"/>
    <s v="Pending"/>
    <x v="5"/>
    <x v="5"/>
    <x v="0"/>
  </r>
  <r>
    <x v="172"/>
    <s v="INV-00363"/>
    <x v="1"/>
    <x v="0"/>
    <x v="0"/>
    <s v="Lagos"/>
    <s v="Fatima"/>
    <s v="Supermarket"/>
    <n v="48"/>
    <n v="1160.1500000000001"/>
    <n v="55687.200000000004"/>
    <n v="4010.13"/>
    <x v="688"/>
    <n v="31346.74"/>
    <n v="1408.76"/>
    <n v="3230.48"/>
    <n v="2715.56"/>
    <n v="1605.86"/>
    <n v="40307.4"/>
    <n v="20330.330000000005"/>
    <n v="11369.670000000006"/>
    <n v="0.22001382818337037"/>
    <s v="Paid"/>
    <x v="5"/>
    <x v="5"/>
    <x v="0"/>
  </r>
  <r>
    <x v="172"/>
    <s v="INV-01330"/>
    <x v="5"/>
    <x v="8"/>
    <x v="2"/>
    <s v="Port Harcourt"/>
    <s v="Samuel"/>
    <s v="Retail"/>
    <n v="64"/>
    <n v="6981.43"/>
    <n v="446811.52"/>
    <n v="32467.14"/>
    <x v="689"/>
    <n v="239596.35"/>
    <n v="17458.64"/>
    <n v="26511.69"/>
    <n v="21180.720000000001"/>
    <n v="8903.4699999999993"/>
    <n v="313650.87"/>
    <n v="174748.03"/>
    <n v="100693.51000000001"/>
    <n v="0.2430188868496298"/>
    <s v="Paid"/>
    <x v="5"/>
    <x v="5"/>
    <x v="0"/>
  </r>
  <r>
    <x v="173"/>
    <s v="INV-00844"/>
    <x v="11"/>
    <x v="4"/>
    <x v="4"/>
    <s v="Abuja"/>
    <s v="Mary"/>
    <s v="Retail"/>
    <n v="37"/>
    <n v="3105.63"/>
    <n v="114908.31"/>
    <n v="7892.43"/>
    <x v="690"/>
    <n v="58787.57"/>
    <n v="4211.29"/>
    <n v="6152.97"/>
    <n v="4404.16"/>
    <n v="2319.65"/>
    <n v="75875.64"/>
    <n v="48228.310000000005"/>
    <n v="31140.240000000005"/>
    <n v="0.2909870946255827"/>
    <s v="Paid"/>
    <x v="5"/>
    <x v="5"/>
    <x v="0"/>
  </r>
  <r>
    <x v="173"/>
    <s v="INV-00883"/>
    <x v="0"/>
    <x v="2"/>
    <x v="2"/>
    <s v="Lagos"/>
    <s v="Samuel"/>
    <s v="Supermarket"/>
    <n v="114"/>
    <n v="4335.5"/>
    <n v="494247"/>
    <n v="43778.33"/>
    <x v="691"/>
    <n v="318552.24"/>
    <n v="12241.08"/>
    <n v="26471.38"/>
    <n v="22758.26"/>
    <n v="9873.44"/>
    <n v="389896.4"/>
    <n v="131916.43"/>
    <n v="60572.26999999996"/>
    <n v="0.13446500064033301"/>
    <s v="Paid"/>
    <x v="5"/>
    <x v="5"/>
    <x v="0"/>
  </r>
  <r>
    <x v="173"/>
    <s v="INV-00422"/>
    <x v="1"/>
    <x v="8"/>
    <x v="2"/>
    <s v="Ibadan"/>
    <s v="Amina"/>
    <s v="Wholesale"/>
    <n v="85"/>
    <n v="6825.99"/>
    <n v="580209.15"/>
    <n v="44761.47"/>
    <x v="692"/>
    <n v="313361.37"/>
    <n v="17538.64"/>
    <n v="33140.86"/>
    <n v="21713.119999999999"/>
    <n v="13423.86"/>
    <n v="399177.85"/>
    <n v="222086.31000000006"/>
    <n v="136269.83000000007"/>
    <n v="0.25449700332999869"/>
    <s v="Paid"/>
    <x v="5"/>
    <x v="5"/>
    <x v="0"/>
  </r>
  <r>
    <x v="173"/>
    <s v="INV-00085"/>
    <x v="11"/>
    <x v="10"/>
    <x v="5"/>
    <s v="Lagos"/>
    <s v="Mary"/>
    <s v="Retail"/>
    <n v="82"/>
    <n v="6986.63"/>
    <n v="572903.66"/>
    <n v="34911.040000000001"/>
    <x v="693"/>
    <n v="315302.46000000002"/>
    <n v="14278.74"/>
    <n v="32195.27"/>
    <n v="21862.02"/>
    <n v="16721.86"/>
    <n v="400360.35000000003"/>
    <n v="222690.15999999997"/>
    <n v="137632.26999999996"/>
    <n v="0.25582557247718374"/>
    <s v="Paid"/>
    <x v="5"/>
    <x v="5"/>
    <x v="0"/>
  </r>
  <r>
    <x v="173"/>
    <s v="INV-01250"/>
    <x v="3"/>
    <x v="3"/>
    <x v="3"/>
    <s v="Abuja"/>
    <s v="Samuel"/>
    <s v="Retail"/>
    <n v="51"/>
    <n v="886.01"/>
    <n v="45186.51"/>
    <n v="2969.56"/>
    <x v="694"/>
    <n v="27908.67"/>
    <n v="1596.58"/>
    <n v="2592.1999999999998"/>
    <n v="1697.19"/>
    <n v="1334.17"/>
    <n v="35128.81"/>
    <n v="14308.280000000006"/>
    <n v="7088.1400000000067"/>
    <n v="0.16789796515380684"/>
    <s v="Pending"/>
    <x v="5"/>
    <x v="5"/>
    <x v="0"/>
  </r>
  <r>
    <x v="173"/>
    <s v="INV-01119"/>
    <x v="2"/>
    <x v="6"/>
    <x v="0"/>
    <s v="Port Harcourt"/>
    <s v="Samuel"/>
    <s v="Retail"/>
    <n v="91"/>
    <n v="384.63"/>
    <n v="35001.33"/>
    <n v="2171.66"/>
    <x v="695"/>
    <n v="25190.22"/>
    <n v="1488.54"/>
    <n v="1815.69"/>
    <n v="1359.55"/>
    <n v="965.91"/>
    <n v="30819.91"/>
    <n v="7639.4499999999971"/>
    <n v="2009.7599999999984"/>
    <n v="6.1217794756998734E-2"/>
    <s v="Paid"/>
    <x v="5"/>
    <x v="5"/>
    <x v="0"/>
  </r>
  <r>
    <x v="174"/>
    <s v="INV-00033"/>
    <x v="0"/>
    <x v="9"/>
    <x v="4"/>
    <s v="Lagos"/>
    <s v="Ibrahim"/>
    <s v="Wholesale"/>
    <n v="66"/>
    <n v="1918.87"/>
    <n v="126645.42"/>
    <n v="8289.09"/>
    <x v="696"/>
    <n v="81429.100000000006"/>
    <n v="3089.27"/>
    <n v="7629.74"/>
    <n v="6397.85"/>
    <n v="2854.39"/>
    <n v="101400.35000000002"/>
    <n v="36927.229999999996"/>
    <n v="16955.979999999981"/>
    <n v="0.14326213055102319"/>
    <s v="Pending"/>
    <x v="5"/>
    <x v="5"/>
    <x v="0"/>
  </r>
  <r>
    <x v="174"/>
    <s v="INV-00273"/>
    <x v="2"/>
    <x v="1"/>
    <x v="1"/>
    <s v="Abuja"/>
    <s v="Fatima"/>
    <s v="Wholesale"/>
    <n v="59"/>
    <n v="4698.3500000000004"/>
    <n v="277202.65000000002"/>
    <n v="23152.99"/>
    <x v="697"/>
    <n v="186248.17"/>
    <n v="9696.23"/>
    <n v="15140.68"/>
    <n v="9902.74"/>
    <n v="6398.79"/>
    <n v="227386.61000000002"/>
    <n v="67801.49000000002"/>
    <n v="26663.050000000017"/>
    <n v="0.10495211841653326"/>
    <s v="Pending"/>
    <x v="5"/>
    <x v="5"/>
    <x v="0"/>
  </r>
  <r>
    <x v="174"/>
    <s v="INV-01436"/>
    <x v="3"/>
    <x v="6"/>
    <x v="0"/>
    <s v="Lagos"/>
    <s v="Tunde"/>
    <s v="Wholesale"/>
    <n v="121"/>
    <n v="388.4"/>
    <n v="46996.399999999994"/>
    <n v="3066.9"/>
    <x v="698"/>
    <n v="33214.79"/>
    <n v="1041.19"/>
    <n v="2665.22"/>
    <n v="2265.2600000000002"/>
    <n v="1085.48"/>
    <n v="40271.94000000001"/>
    <n v="10714.709999999992"/>
    <n v="3657.5599999999831"/>
    <n v="8.3259768492698158E-2"/>
    <s v="Paid"/>
    <x v="5"/>
    <x v="5"/>
    <x v="0"/>
  </r>
  <r>
    <x v="174"/>
    <s v="INV-01363"/>
    <x v="6"/>
    <x v="7"/>
    <x v="5"/>
    <s v="Ibadan"/>
    <s v="Ibrahim"/>
    <s v="Wholesale"/>
    <n v="89"/>
    <n v="5856.64"/>
    <n v="521240.96"/>
    <n v="44585.06"/>
    <x v="699"/>
    <n v="343336.12"/>
    <n v="13396.31"/>
    <n v="32962.79"/>
    <n v="17967.77"/>
    <n v="10051.92"/>
    <n v="417714.91"/>
    <n v="133319.78000000003"/>
    <n v="58940.990000000049"/>
    <n v="0.12365521962489093"/>
    <s v="Paid"/>
    <x v="5"/>
    <x v="5"/>
    <x v="0"/>
  </r>
  <r>
    <x v="174"/>
    <s v="INV-01098"/>
    <x v="7"/>
    <x v="2"/>
    <x v="2"/>
    <s v="Lagos"/>
    <s v="Tunde"/>
    <s v="Supermarket"/>
    <n v="82"/>
    <n v="4641.9799999999996"/>
    <n v="380642.36"/>
    <n v="32835.910000000003"/>
    <x v="700"/>
    <n v="244556.59"/>
    <n v="8364.06"/>
    <n v="23215.41"/>
    <n v="17784.919999999998"/>
    <n v="7506.37"/>
    <n v="301427.34999999998"/>
    <n v="103249.85999999996"/>
    <n v="46379.099999999977"/>
    <n v="0.13334744079645441"/>
    <s v="Pending"/>
    <x v="5"/>
    <x v="5"/>
    <x v="0"/>
  </r>
  <r>
    <x v="175"/>
    <s v="INV-01365"/>
    <x v="1"/>
    <x v="0"/>
    <x v="0"/>
    <s v="Lagos"/>
    <s v="Emeka"/>
    <s v="Retail"/>
    <n v="109"/>
    <n v="1186.47"/>
    <n v="129325.23"/>
    <n v="10816.22"/>
    <x v="701"/>
    <n v="70337.48"/>
    <n v="3119.72"/>
    <n v="7276.65"/>
    <n v="6094.39"/>
    <n v="2803.84"/>
    <n v="89632.079999999987"/>
    <n v="48171.53"/>
    <n v="28876.930000000008"/>
    <n v="0.24366864595358623"/>
    <s v="Paid"/>
    <x v="5"/>
    <x v="5"/>
    <x v="0"/>
  </r>
  <r>
    <x v="175"/>
    <s v="INV-01385"/>
    <x v="2"/>
    <x v="6"/>
    <x v="0"/>
    <s v="Lagos"/>
    <s v="Ibrahim"/>
    <s v="Wholesale"/>
    <n v="93"/>
    <n v="390.23"/>
    <n v="36291.39"/>
    <n v="2738.57"/>
    <x v="702"/>
    <n v="26387.73"/>
    <n v="923.03"/>
    <n v="2482.9899999999998"/>
    <n v="1507.19"/>
    <n v="1069.33"/>
    <n v="32370.269999999997"/>
    <n v="7165.09"/>
    <n v="1182.5500000000029"/>
    <n v="3.5244429529321317E-2"/>
    <s v="Paid"/>
    <x v="5"/>
    <x v="5"/>
    <x v="0"/>
  </r>
  <r>
    <x v="175"/>
    <s v="INV-00431"/>
    <x v="10"/>
    <x v="9"/>
    <x v="4"/>
    <s v="Lagos"/>
    <s v="Tunde"/>
    <s v="Supermarket"/>
    <n v="46"/>
    <n v="1894.72"/>
    <n v="87157.119999999995"/>
    <n v="6571.53"/>
    <x v="703"/>
    <n v="55217.279999999999"/>
    <n v="2246.5700000000002"/>
    <n v="4506.5"/>
    <n v="3287.88"/>
    <n v="1688.97"/>
    <n v="66947.199999999997"/>
    <n v="25368.309999999998"/>
    <n v="13638.39"/>
    <n v="0.16924105165700221"/>
    <s v="Pending"/>
    <x v="5"/>
    <x v="5"/>
    <x v="0"/>
  </r>
  <r>
    <x v="175"/>
    <s v="INV-01420"/>
    <x v="1"/>
    <x v="6"/>
    <x v="0"/>
    <s v="Ibadan"/>
    <s v="Tunde"/>
    <s v="Wholesale"/>
    <n v="66"/>
    <n v="383.82"/>
    <n v="25332.12"/>
    <n v="2277.66"/>
    <x v="704"/>
    <n v="18435.28"/>
    <n v="688.5"/>
    <n v="1317.24"/>
    <n v="1218.8499999999999"/>
    <n v="469.87"/>
    <n v="22129.739999999998"/>
    <n v="4619.18"/>
    <n v="924.72000000000116"/>
    <n v="4.0110243310838824E-2"/>
    <s v="Paid"/>
    <x v="5"/>
    <x v="5"/>
    <x v="0"/>
  </r>
  <r>
    <x v="175"/>
    <s v="INV-00095"/>
    <x v="11"/>
    <x v="8"/>
    <x v="2"/>
    <s v="Port Harcourt"/>
    <s v="Fatima"/>
    <s v="Supermarket"/>
    <n v="86"/>
    <n v="6649.1"/>
    <n v="571822.6"/>
    <n v="34685.919999999998"/>
    <x v="705"/>
    <n v="315166.24"/>
    <n v="22535.13"/>
    <n v="31479.39"/>
    <n v="20768.52"/>
    <n v="13344.34"/>
    <n v="403293.62000000005"/>
    <n v="221970.43999999994"/>
    <n v="133843.05999999988"/>
    <n v="0.24917877513038189"/>
    <s v="Paid"/>
    <x v="5"/>
    <x v="5"/>
    <x v="0"/>
  </r>
  <r>
    <x v="176"/>
    <s v="INV-00092"/>
    <x v="9"/>
    <x v="3"/>
    <x v="3"/>
    <s v="Port Harcourt"/>
    <s v="Mary"/>
    <s v="Supermarket"/>
    <n v="58.917506090233147"/>
    <n v="845.41"/>
    <n v="49809.448823744002"/>
    <n v="2419.96"/>
    <x v="706"/>
    <n v="29544.400000000001"/>
    <n v="1599.78"/>
    <n v="2504.4699999999998"/>
    <n v="1116.07"/>
    <n v="920.71"/>
    <n v="35685.43"/>
    <n v="17845.088823744001"/>
    <n v="11704.058823744002"/>
    <n v="0.24697584030237119"/>
    <s v="Paid"/>
    <x v="6"/>
    <x v="6"/>
    <x v="1"/>
  </r>
  <r>
    <x v="176"/>
    <s v="INV-00872"/>
    <x v="11"/>
    <x v="11"/>
    <x v="1"/>
    <s v="Lagos"/>
    <s v="Fatima"/>
    <s v="Distributor"/>
    <n v="28.526179531685571"/>
    <n v="6806.72"/>
    <n v="194169.71674191483"/>
    <n v="8038.85"/>
    <x v="707"/>
    <n v="98140.33"/>
    <n v="3510.48"/>
    <n v="9907.24"/>
    <n v="3922.18"/>
    <n v="3699.12"/>
    <n v="119179.34999999999"/>
    <n v="87990.536741914824"/>
    <n v="66951.516741914835"/>
    <n v="0.35970131077049361"/>
    <s v="Paid"/>
    <x v="6"/>
    <x v="6"/>
    <x v="1"/>
  </r>
  <r>
    <x v="176"/>
    <s v="INV-00334"/>
    <x v="8"/>
    <x v="3"/>
    <x v="3"/>
    <s v="Abuja"/>
    <s v="Tunde"/>
    <s v="Supermarket"/>
    <n v="69.673816495657306"/>
    <n v="873.1"/>
    <n v="60832.209182358398"/>
    <n v="3011.71"/>
    <x v="708"/>
    <n v="35899.279999999999"/>
    <n v="1501.82"/>
    <n v="3228.49"/>
    <n v="1143.04"/>
    <n v="980.57"/>
    <n v="42753.2"/>
    <n v="21921.2191823584"/>
    <n v="15067.299182358402"/>
    <n v="0.26058749743474341"/>
    <s v="Pending"/>
    <x v="6"/>
    <x v="6"/>
    <x v="1"/>
  </r>
  <r>
    <x v="176"/>
    <s v="INV-00306"/>
    <x v="4"/>
    <x v="2"/>
    <x v="2"/>
    <s v="Port Harcourt"/>
    <s v="Emeka"/>
    <s v="Wholesale"/>
    <n v="56.49946453911349"/>
    <n v="4485.18"/>
    <n v="253410.26836154106"/>
    <n v="8057.25"/>
    <x v="709"/>
    <n v="162287.76999999999"/>
    <n v="7661.69"/>
    <n v="11859.33"/>
    <n v="7372.95"/>
    <n v="5106.7299999999996"/>
    <n v="194288.47"/>
    <n v="83065.248361541075"/>
    <n v="51064.548361541063"/>
    <n v="0.20812683985935182"/>
    <s v="Paid"/>
    <x v="6"/>
    <x v="6"/>
    <x v="1"/>
  </r>
  <r>
    <x v="176"/>
    <s v="INV-01086"/>
    <x v="7"/>
    <x v="9"/>
    <x v="4"/>
    <s v="Lagos"/>
    <s v="Fatima"/>
    <s v="Wholesale"/>
    <n v="59.446805988506412"/>
    <n v="2058.9699999999998"/>
    <n v="122399.19012615504"/>
    <n v="4195.1499999999996"/>
    <x v="710"/>
    <n v="72709.58"/>
    <n v="2227.17"/>
    <n v="6782.32"/>
    <n v="3025.28"/>
    <n v="1586.96"/>
    <n v="86331.310000000012"/>
    <n v="45494.460126155042"/>
    <n v="31872.730126155031"/>
    <n v="0.26964163062564001"/>
    <s v="Paid"/>
    <x v="6"/>
    <x v="6"/>
    <x v="1"/>
  </r>
  <r>
    <x v="176"/>
    <s v="INV-00029"/>
    <x v="9"/>
    <x v="4"/>
    <x v="4"/>
    <s v="Ibadan"/>
    <s v="Emeka"/>
    <s v="Retail"/>
    <n v="48.666085678341688"/>
    <n v="3219.05"/>
    <n v="156658.56310286582"/>
    <n v="4713.3100000000004"/>
    <x v="711"/>
    <n v="77801.41"/>
    <n v="3337.04"/>
    <n v="8694.1"/>
    <n v="4410.7"/>
    <n v="2656.99"/>
    <n v="96900.24"/>
    <n v="74143.843102865823"/>
    <n v="55045.013102865822"/>
    <n v="0.36226872494398193"/>
    <s v="Paid"/>
    <x v="6"/>
    <x v="6"/>
    <x v="1"/>
  </r>
  <r>
    <x v="176"/>
    <s v="INV-00714"/>
    <x v="8"/>
    <x v="7"/>
    <x v="5"/>
    <s v="Ibadan"/>
    <s v="Tunde"/>
    <s v="Wholesale"/>
    <n v="34.410094855092389"/>
    <n v="5551.84"/>
    <n v="191039.34102029612"/>
    <n v="9006.15"/>
    <x v="712"/>
    <n v="132265.73000000001"/>
    <n v="3457.03"/>
    <n v="9616.51"/>
    <n v="4462.46"/>
    <n v="3355.2"/>
    <n v="153156.93000000002"/>
    <n v="49767.461020296119"/>
    <n v="28876.261020296108"/>
    <n v="0.15863184542579653"/>
    <s v="Paid"/>
    <x v="6"/>
    <x v="6"/>
    <x v="1"/>
  </r>
  <r>
    <x v="177"/>
    <s v="INV-00767"/>
    <x v="6"/>
    <x v="9"/>
    <x v="4"/>
    <s v="Abuja"/>
    <s v="Amina"/>
    <s v="Retail"/>
    <n v="68.871155617469427"/>
    <n v="1933.48"/>
    <n v="133161.00196326477"/>
    <n v="5914.39"/>
    <x v="713"/>
    <n v="78385.64"/>
    <n v="3063.1"/>
    <n v="7049.83"/>
    <n v="3428.3"/>
    <n v="1803.14"/>
    <n v="93730.010000000009"/>
    <n v="48860.971963264776"/>
    <n v="33516.601963264766"/>
    <n v="0.26339877695871994"/>
    <s v="Pending"/>
    <x v="6"/>
    <x v="6"/>
    <x v="1"/>
  </r>
  <r>
    <x v="177"/>
    <s v="INV-00157"/>
    <x v="10"/>
    <x v="6"/>
    <x v="0"/>
    <s v="Lagos"/>
    <s v="Samuel"/>
    <s v="Retail"/>
    <n v="85.359273928359272"/>
    <n v="379.13"/>
    <n v="32362.261524458849"/>
    <n v="685.39"/>
    <x v="714"/>
    <n v="22564.14"/>
    <n v="586.73"/>
    <n v="1687.41"/>
    <n v="664.39"/>
    <n v="649.61"/>
    <n v="26152.28"/>
    <n v="9112.7315244588499"/>
    <n v="5524.5915244588505"/>
    <n v="0.1744045815949064"/>
    <s v="Paid"/>
    <x v="6"/>
    <x v="6"/>
    <x v="1"/>
  </r>
  <r>
    <x v="178"/>
    <s v="INV-00322"/>
    <x v="8"/>
    <x v="5"/>
    <x v="3"/>
    <s v="Abuja"/>
    <s v="Mary"/>
    <s v="Retail"/>
    <n v="47.301927304700037"/>
    <n v="1529.98"/>
    <n v="72371.002737644958"/>
    <n v="2198.35"/>
    <x v="715"/>
    <n v="32896.75"/>
    <n v="1465.86"/>
    <n v="3450.88"/>
    <n v="1609.78"/>
    <n v="1259.78"/>
    <n v="40683.049999999996"/>
    <n v="37275.902737644952"/>
    <n v="29489.602737644957"/>
    <n v="0.42024352204409265"/>
    <s v="Paid"/>
    <x v="6"/>
    <x v="6"/>
    <x v="1"/>
  </r>
  <r>
    <x v="179"/>
    <s v="INV-01032"/>
    <x v="11"/>
    <x v="1"/>
    <x v="1"/>
    <s v="Abuja"/>
    <s v="Amina"/>
    <s v="Wholesale"/>
    <n v="70.608189769568384"/>
    <n v="4446.17"/>
    <n v="313936.01510776189"/>
    <n v="11776.68"/>
    <x v="716"/>
    <n v="194157.37"/>
    <n v="8719.42"/>
    <n v="18593.849999999999"/>
    <n v="5852.6"/>
    <n v="6622.42"/>
    <n v="233945.66000000003"/>
    <n v="108001.96510776191"/>
    <n v="68213.675107761868"/>
    <n v="0.22575398864785756"/>
    <s v="Paid"/>
    <x v="6"/>
    <x v="6"/>
    <x v="1"/>
  </r>
  <r>
    <x v="179"/>
    <s v="INV-01170"/>
    <x v="2"/>
    <x v="3"/>
    <x v="3"/>
    <s v="Port Harcourt"/>
    <s v="Emeka"/>
    <s v="Supermarket"/>
    <n v="115.51611684798191"/>
    <n v="879.73"/>
    <n v="101622.99347467512"/>
    <n v="4725.84"/>
    <x v="717"/>
    <n v="55120.99"/>
    <n v="2880.45"/>
    <n v="4765.4799999999996"/>
    <n v="2401"/>
    <n v="1538.41"/>
    <n v="66706.33"/>
    <n v="41776.16347467513"/>
    <n v="30190.823474675126"/>
    <n v="0.31157595855037939"/>
    <s v="Paid"/>
    <x v="6"/>
    <x v="6"/>
    <x v="1"/>
  </r>
  <r>
    <x v="179"/>
    <s v="INV-00539"/>
    <x v="3"/>
    <x v="10"/>
    <x v="5"/>
    <s v="Lagos"/>
    <s v="Fatima"/>
    <s v="Supermarket"/>
    <n v="34.705830476492473"/>
    <n v="7420.5"/>
    <n v="257534.6150508124"/>
    <n v="10380.67"/>
    <x v="718"/>
    <n v="132951.51999999999"/>
    <n v="3723.76"/>
    <n v="14244.42"/>
    <n v="7620.38"/>
    <n v="3609.01"/>
    <n v="162149.09000000003"/>
    <n v="114202.4250508124"/>
    <n v="85004.855050812359"/>
    <n v="0.34393485013292507"/>
    <s v="Paid"/>
    <x v="6"/>
    <x v="6"/>
    <x v="1"/>
  </r>
  <r>
    <x v="179"/>
    <s v="INV-01113"/>
    <x v="4"/>
    <x v="10"/>
    <x v="5"/>
    <s v="Lagos"/>
    <s v="Mary"/>
    <s v="Distributor"/>
    <n v="45.483256986082239"/>
    <n v="7187.17"/>
    <n v="326895.90011266066"/>
    <n v="18757.7"/>
    <x v="719"/>
    <n v="160425.14000000001"/>
    <n v="6135.24"/>
    <n v="15020.66"/>
    <n v="8177.89"/>
    <n v="3958.25"/>
    <n v="193717.18000000002"/>
    <n v="147713.06011266063"/>
    <n v="114421.02011266063"/>
    <n v="0.37133020206785894"/>
    <s v="Pending"/>
    <x v="6"/>
    <x v="6"/>
    <x v="1"/>
  </r>
  <r>
    <x v="179"/>
    <s v="INV-00052"/>
    <x v="1"/>
    <x v="5"/>
    <x v="3"/>
    <s v="Lagos"/>
    <s v="Daniel"/>
    <s v="Retail"/>
    <n v="62.035307176988539"/>
    <n v="1468.01"/>
    <n v="91068.451288890938"/>
    <n v="3101.37"/>
    <x v="720"/>
    <n v="40883.440000000002"/>
    <n v="1702.08"/>
    <n v="5408.49"/>
    <n v="2735.8"/>
    <n v="1897.18"/>
    <n v="52626.990000000005"/>
    <n v="47083.64128889094"/>
    <n v="35340.091288890937"/>
    <n v="0.40174222869611015"/>
    <s v="Paid"/>
    <x v="6"/>
    <x v="6"/>
    <x v="1"/>
  </r>
  <r>
    <x v="179"/>
    <s v="INV-00202"/>
    <x v="11"/>
    <x v="6"/>
    <x v="0"/>
    <s v="Lagos"/>
    <s v="Fatima"/>
    <s v="Supermarket"/>
    <n v="105.3962933845894"/>
    <n v="399.57"/>
    <n v="42113.196947680386"/>
    <n v="1853.85"/>
    <x v="721"/>
    <n v="27481.55"/>
    <n v="680.68"/>
    <n v="2309.25"/>
    <n v="754.01"/>
    <n v="504.32"/>
    <n v="31729.809999999998"/>
    <n v="12777.796947680388"/>
    <n v="8529.5369476803899"/>
    <n v="0.21186476171024513"/>
    <s v="Paid"/>
    <x v="6"/>
    <x v="6"/>
    <x v="1"/>
  </r>
  <r>
    <x v="180"/>
    <s v="INV-00105"/>
    <x v="7"/>
    <x v="7"/>
    <x v="5"/>
    <s v="Port Harcourt"/>
    <s v="Emeka"/>
    <s v="Distributor"/>
    <n v="70.505500332865097"/>
    <n v="5942.65"/>
    <n v="418989.51155310072"/>
    <n v="21238.49"/>
    <x v="722"/>
    <n v="282776.65999999997"/>
    <n v="11041.16"/>
    <n v="20494.28"/>
    <n v="11114.35"/>
    <n v="5750.14"/>
    <n v="331176.58999999997"/>
    <n v="114974.36155310075"/>
    <n v="66574.43155310076"/>
    <n v="0.16737714787795438"/>
    <s v="Paid"/>
    <x v="6"/>
    <x v="6"/>
    <x v="1"/>
  </r>
  <r>
    <x v="180"/>
    <s v="INV-00766"/>
    <x v="7"/>
    <x v="2"/>
    <x v="2"/>
    <s v="Lagos"/>
    <s v="Emeka"/>
    <s v="Retail"/>
    <n v="60.141723778364252"/>
    <n v="4564.7700000000004"/>
    <n v="274533.1364517638"/>
    <n v="7482.66"/>
    <x v="723"/>
    <n v="177346.79"/>
    <n v="5011.1499999999996"/>
    <n v="12953.5"/>
    <n v="6546.76"/>
    <n v="4068.33"/>
    <n v="205926.53"/>
    <n v="89703.686451763817"/>
    <n v="61123.946451763826"/>
    <n v="0.22888536753015074"/>
    <s v="Paid"/>
    <x v="6"/>
    <x v="6"/>
    <x v="1"/>
  </r>
  <r>
    <x v="180"/>
    <s v="INV-01005"/>
    <x v="6"/>
    <x v="0"/>
    <x v="0"/>
    <s v="Ibadan"/>
    <s v="Ibrahim"/>
    <s v="Wholesale"/>
    <n v="62.839490058669483"/>
    <n v="1174.4000000000001"/>
    <n v="73798.697124901446"/>
    <n v="3563.8"/>
    <x v="724"/>
    <n v="36907.96"/>
    <n v="1560.88"/>
    <n v="4162.42"/>
    <n v="2058.27"/>
    <n v="868.6"/>
    <n v="45558.12999999999"/>
    <n v="33326.937124901444"/>
    <n v="24676.767124901453"/>
    <n v="0.35134624147050147"/>
    <s v="Pending"/>
    <x v="6"/>
    <x v="6"/>
    <x v="1"/>
  </r>
  <r>
    <x v="180"/>
    <s v="INV-01225"/>
    <x v="11"/>
    <x v="0"/>
    <x v="0"/>
    <s v="Lagos"/>
    <s v="Samuel"/>
    <s v="Retail"/>
    <n v="46.468076710961711"/>
    <n v="1229.3699999999999"/>
    <n v="57126.459466154993"/>
    <n v="2317.66"/>
    <x v="725"/>
    <n v="27670.02"/>
    <n v="1098.3900000000001"/>
    <n v="3106.99"/>
    <n v="1216.8900000000001"/>
    <n v="1137.55"/>
    <n v="34229.840000000004"/>
    <n v="27138.779466154989"/>
    <n v="20578.959466154985"/>
    <n v="0.37546816691109441"/>
    <s v="Paid"/>
    <x v="6"/>
    <x v="6"/>
    <x v="1"/>
  </r>
  <r>
    <x v="180"/>
    <s v="INV-00424"/>
    <x v="4"/>
    <x v="1"/>
    <x v="1"/>
    <s v="Ibadan"/>
    <s v="Samuel"/>
    <s v="Wholesale"/>
    <n v="19.739398594717859"/>
    <n v="4403.26"/>
    <n v="86917.704256177356"/>
    <n v="3506.45"/>
    <x v="726"/>
    <n v="55324.25"/>
    <n v="1680.11"/>
    <n v="4906.08"/>
    <n v="1724.75"/>
    <n v="1789.62"/>
    <n v="65424.810000000005"/>
    <n v="28087.004256177359"/>
    <n v="17986.444256177354"/>
    <n v="0.21563570068058646"/>
    <s v="Paid"/>
    <x v="6"/>
    <x v="6"/>
    <x v="1"/>
  </r>
  <r>
    <x v="180"/>
    <s v="INV-00594"/>
    <x v="7"/>
    <x v="7"/>
    <x v="5"/>
    <s v="Lagos"/>
    <s v="Amina"/>
    <s v="Supermarket"/>
    <n v="44.694678552570707"/>
    <n v="5941.08"/>
    <n v="265534.66085510678"/>
    <n v="8326.82"/>
    <x v="727"/>
    <n v="178930.06"/>
    <n v="4472.66"/>
    <n v="15259.81"/>
    <n v="7524.33"/>
    <n v="4726.2299999999996"/>
    <n v="210913.09"/>
    <n v="78277.780855106772"/>
    <n v="46294.750855106773"/>
    <n v="0.17998965622974944"/>
    <s v="Paid"/>
    <x v="6"/>
    <x v="6"/>
    <x v="1"/>
  </r>
  <r>
    <x v="180"/>
    <s v="INV-00493"/>
    <x v="11"/>
    <x v="7"/>
    <x v="5"/>
    <s v="Lagos"/>
    <s v="Mary"/>
    <s v="Supermarket"/>
    <n v="85.48614101820769"/>
    <n v="5497.74"/>
    <n v="469980.57692144113"/>
    <n v="16495.84"/>
    <x v="728"/>
    <n v="295305.27"/>
    <n v="9460.56"/>
    <n v="22883.69"/>
    <n v="12135.13"/>
    <n v="7229.57"/>
    <n v="347014.22000000003"/>
    <n v="158179.46692144108"/>
    <n v="106470.51692144107"/>
    <n v="0.23478302190330469"/>
    <s v="Paid"/>
    <x v="6"/>
    <x v="6"/>
    <x v="1"/>
  </r>
  <r>
    <x v="181"/>
    <s v="INV-00947"/>
    <x v="2"/>
    <x v="1"/>
    <x v="1"/>
    <s v="Abuja"/>
    <s v="Daniel"/>
    <s v="Retail"/>
    <n v="70.684738746635318"/>
    <n v="4397.3900000000003"/>
    <n v="310828.36331706669"/>
    <n v="9286.01"/>
    <x v="729"/>
    <n v="202557.35"/>
    <n v="7039.17"/>
    <n v="16694.580000000002"/>
    <n v="5829.77"/>
    <n v="5184.76"/>
    <n v="237305.63000000003"/>
    <n v="98985.003317066672"/>
    <n v="64236.723317066644"/>
    <n v="0.21302720035988715"/>
    <s v="Paid"/>
    <x v="6"/>
    <x v="6"/>
    <x v="1"/>
  </r>
  <r>
    <x v="181"/>
    <s v="INV-00802"/>
    <x v="2"/>
    <x v="0"/>
    <x v="0"/>
    <s v="Ibadan"/>
    <s v="Fatima"/>
    <s v="Distributor"/>
    <n v="50.970308876297707"/>
    <n v="1245.57"/>
    <n v="63487.087627050132"/>
    <n v="3175.43"/>
    <x v="730"/>
    <n v="33953.800000000003"/>
    <n v="1066.71"/>
    <n v="3274.14"/>
    <n v="1803.69"/>
    <n v="866.82"/>
    <n v="40965.160000000003"/>
    <n v="26357.857627050129"/>
    <n v="19346.497627050128"/>
    <n v="0.32077542531965014"/>
    <s v="Paid"/>
    <x v="6"/>
    <x v="6"/>
    <x v="1"/>
  </r>
  <r>
    <x v="181"/>
    <s v="INV-00233"/>
    <x v="8"/>
    <x v="6"/>
    <x v="0"/>
    <s v="Abuja"/>
    <s v="Fatima"/>
    <s v="Supermarket"/>
    <n v="91.108488696641587"/>
    <n v="396.19"/>
    <n v="36096.272136722429"/>
    <n v="1333.97"/>
    <x v="731"/>
    <n v="25457.27"/>
    <n v="891.03"/>
    <n v="1753.62"/>
    <n v="646.46"/>
    <n v="497.04"/>
    <n v="29245.42"/>
    <n v="9305.0321367224278"/>
    <n v="5516.88213672243"/>
    <n v="0.15870301440405668"/>
    <s v="Pending"/>
    <x v="6"/>
    <x v="6"/>
    <x v="1"/>
  </r>
  <r>
    <x v="182"/>
    <s v="INV-01184"/>
    <x v="7"/>
    <x v="5"/>
    <x v="3"/>
    <s v="Lagos"/>
    <s v="Fatima"/>
    <s v="Distributor"/>
    <n v="46.972673720155967"/>
    <n v="1565.31"/>
    <n v="73526.795900897341"/>
    <n v="2857.63"/>
    <x v="732"/>
    <n v="32032.83"/>
    <n v="1264.6400000000001"/>
    <n v="4369.82"/>
    <n v="1423.78"/>
    <n v="933.43"/>
    <n v="40024.5"/>
    <n v="38636.335900897335"/>
    <n v="30644.665900897337"/>
    <n v="0.43363559637695143"/>
    <s v="Paid"/>
    <x v="6"/>
    <x v="6"/>
    <x v="1"/>
  </r>
  <r>
    <x v="182"/>
    <s v="INV-00270"/>
    <x v="3"/>
    <x v="8"/>
    <x v="2"/>
    <s v="Lagos"/>
    <s v="Fatima"/>
    <s v="Wholesale"/>
    <n v="13.879941441767119"/>
    <n v="6645.2"/>
    <n v="92234.986868830863"/>
    <n v="4829.51"/>
    <x v="733"/>
    <n v="43004.32"/>
    <n v="1412.18"/>
    <n v="5095.12"/>
    <n v="2612.9899999999998"/>
    <n v="1596.41"/>
    <n v="53721.020000000004"/>
    <n v="44401.156868830869"/>
    <n v="33684.456868830865"/>
    <n v="0.38538153529419017"/>
    <s v="Paid"/>
    <x v="6"/>
    <x v="6"/>
    <x v="1"/>
  </r>
  <r>
    <x v="182"/>
    <s v="INV-00447"/>
    <x v="6"/>
    <x v="5"/>
    <x v="3"/>
    <s v="Lagos"/>
    <s v="Tunde"/>
    <s v="Wholesale"/>
    <n v="48.631211252060083"/>
    <n v="1534.56"/>
    <n v="74627.51153896132"/>
    <n v="2275.9499999999998"/>
    <x v="734"/>
    <n v="33307.11"/>
    <n v="1391.89"/>
    <n v="3981.32"/>
    <n v="2085.71"/>
    <n v="878.51"/>
    <n v="41644.54"/>
    <n v="39044.451538961323"/>
    <n v="30707.021538961322"/>
    <n v="0.42441408154578097"/>
    <s v="Paid"/>
    <x v="6"/>
    <x v="6"/>
    <x v="1"/>
  </r>
  <r>
    <x v="182"/>
    <s v="INV-00556"/>
    <x v="1"/>
    <x v="4"/>
    <x v="4"/>
    <s v="Lagos"/>
    <s v="Daniel"/>
    <s v="Wholesale"/>
    <n v="44.417019700904063"/>
    <n v="3266.85"/>
    <n v="145103.74080989845"/>
    <n v="4959.13"/>
    <x v="735"/>
    <n v="66762.2"/>
    <n v="2393.71"/>
    <n v="6989.32"/>
    <n v="4330.1000000000004"/>
    <n v="2324.14"/>
    <n v="82799.470000000016"/>
    <n v="73382.410809898443"/>
    <n v="57345.140809898425"/>
    <n v="0.40918548689457079"/>
    <s v="Paid"/>
    <x v="6"/>
    <x v="6"/>
    <x v="1"/>
  </r>
  <r>
    <x v="182"/>
    <s v="INV-00047"/>
    <x v="5"/>
    <x v="0"/>
    <x v="0"/>
    <s v="Lagos"/>
    <s v="Amina"/>
    <s v="Wholesale"/>
    <n v="50.335589320451653"/>
    <n v="1174.7"/>
    <n v="59129.216774734559"/>
    <n v="1878.15"/>
    <x v="736"/>
    <n v="30571.07"/>
    <n v="1128.6500000000001"/>
    <n v="2899.78"/>
    <n v="1768.11"/>
    <n v="749.25"/>
    <n v="37116.86"/>
    <n v="26679.996774734558"/>
    <n v="20134.206774734557"/>
    <n v="0.3516826481846444"/>
    <s v="Paid"/>
    <x v="6"/>
    <x v="6"/>
    <x v="1"/>
  </r>
  <r>
    <x v="182"/>
    <s v="INV-01221"/>
    <x v="5"/>
    <x v="3"/>
    <x v="3"/>
    <s v="Lagos"/>
    <s v="Mary"/>
    <s v="Retail"/>
    <n v="60.328508467492988"/>
    <n v="891.5"/>
    <n v="53782.865298769997"/>
    <n v="1488.48"/>
    <x v="737"/>
    <n v="32152.18"/>
    <n v="953.59"/>
    <n v="2749.71"/>
    <n v="1187.46"/>
    <n v="738.11"/>
    <n v="37781.049999999996"/>
    <n v="20142.205298769994"/>
    <n v="14513.335298769998"/>
    <n v="0.27753142552210791"/>
    <s v="Paid"/>
    <x v="6"/>
    <x v="6"/>
    <x v="1"/>
  </r>
  <r>
    <x v="182"/>
    <s v="INV-00475"/>
    <x v="7"/>
    <x v="10"/>
    <x v="5"/>
    <s v="Lagos"/>
    <s v="Samuel"/>
    <s v="Retail"/>
    <n v="13.23612840207778"/>
    <n v="6977.72"/>
    <n v="92357.997873746164"/>
    <n v="3243.85"/>
    <x v="738"/>
    <n v="52116.41"/>
    <n v="1596.43"/>
    <n v="4343.6499999999996"/>
    <n v="2567.89"/>
    <n v="1307.52"/>
    <n v="61931.9"/>
    <n v="36997.737873746155"/>
    <n v="27182.247873746157"/>
    <n v="0.30502729950643781"/>
    <s v="Paid"/>
    <x v="6"/>
    <x v="6"/>
    <x v="1"/>
  </r>
  <r>
    <x v="182"/>
    <s v="INV-01263"/>
    <x v="1"/>
    <x v="7"/>
    <x v="5"/>
    <s v="Lagos"/>
    <s v="Samuel"/>
    <s v="Wholesale"/>
    <n v="49.569924292817632"/>
    <n v="5920.31"/>
    <n v="293469.31849001115"/>
    <n v="9818.64"/>
    <x v="739"/>
    <n v="195512.09"/>
    <n v="4885"/>
    <n v="14905.22"/>
    <n v="8696.58"/>
    <n v="3606.14"/>
    <n v="227605.03"/>
    <n v="88138.588490011141"/>
    <n v="56045.648490011139"/>
    <n v="0.19758686560654501"/>
    <s v="Paid"/>
    <x v="6"/>
    <x v="6"/>
    <x v="1"/>
  </r>
  <r>
    <x v="183"/>
    <s v="INV-00317"/>
    <x v="7"/>
    <x v="4"/>
    <x v="4"/>
    <s v="Ibadan"/>
    <s v="Ibrahim"/>
    <s v="Wholesale"/>
    <n v="26.82232140847006"/>
    <n v="3227.2"/>
    <n v="86560.995649414574"/>
    <n v="4145.1000000000004"/>
    <x v="740"/>
    <n v="39691.22"/>
    <n v="1673.19"/>
    <n v="4278.7"/>
    <n v="1855.82"/>
    <n v="1493.35"/>
    <n v="48992.28"/>
    <n v="42724.675649414567"/>
    <n v="33423.615649414569"/>
    <n v="0.40554816987725095"/>
    <s v="Paid"/>
    <x v="6"/>
    <x v="6"/>
    <x v="1"/>
  </r>
  <r>
    <x v="183"/>
    <s v="INV-00572"/>
    <x v="8"/>
    <x v="3"/>
    <x v="3"/>
    <s v="Port Harcourt"/>
    <s v="Ibrahim"/>
    <s v="Wholesale"/>
    <n v="28.696134565531739"/>
    <n v="879.92"/>
    <n v="25250.302726902686"/>
    <n v="887.3"/>
    <x v="741"/>
    <n v="14805.03"/>
    <n v="723.26"/>
    <n v="1210.72"/>
    <n v="519.74"/>
    <n v="431.56"/>
    <n v="17690.310000000005"/>
    <n v="9557.9727269026862"/>
    <n v="6672.6927269026819"/>
    <n v="0.27388630218123339"/>
    <s v="Paid"/>
    <x v="6"/>
    <x v="6"/>
    <x v="1"/>
  </r>
  <r>
    <x v="183"/>
    <s v="INV-01136"/>
    <x v="3"/>
    <x v="7"/>
    <x v="5"/>
    <s v="Ibadan"/>
    <s v="Mary"/>
    <s v="Wholesale"/>
    <n v="76.116377997731377"/>
    <n v="5883.51"/>
    <n v="447831.47111343255"/>
    <n v="13455.66"/>
    <x v="742"/>
    <n v="300830.94"/>
    <n v="9249.6200000000008"/>
    <n v="21940.53"/>
    <n v="8736.1200000000008"/>
    <n v="7713.74"/>
    <n v="348470.94999999995"/>
    <n v="133544.87111343257"/>
    <n v="85904.86111343262"/>
    <n v="0.19776621744482795"/>
    <s v="Paid"/>
    <x v="6"/>
    <x v="6"/>
    <x v="1"/>
  </r>
  <r>
    <x v="183"/>
    <s v="INV-00256"/>
    <x v="3"/>
    <x v="7"/>
    <x v="5"/>
    <s v="Port Harcourt"/>
    <s v="Emeka"/>
    <s v="Distributor"/>
    <n v="87.685423849005289"/>
    <n v="5446.91"/>
    <n v="477614.61201738537"/>
    <n v="20686.07"/>
    <x v="743"/>
    <n v="311419.09999999998"/>
    <n v="12350.95"/>
    <n v="23800.32"/>
    <n v="10124.91"/>
    <n v="9683.4699999999993"/>
    <n v="367378.74999999994"/>
    <n v="145509.44201738539"/>
    <n v="89549.792017385422"/>
    <n v="0.19598204923249948"/>
    <s v="Paid"/>
    <x v="6"/>
    <x v="6"/>
    <x v="1"/>
  </r>
  <r>
    <x v="183"/>
    <s v="INV-01059"/>
    <x v="2"/>
    <x v="6"/>
    <x v="0"/>
    <s v="Lagos"/>
    <s v="Ibrahim"/>
    <s v="Distributor"/>
    <n v="112.9495591902494"/>
    <n v="377.09"/>
    <n v="42592.149275051146"/>
    <n v="1546.22"/>
    <x v="744"/>
    <n v="30821.53"/>
    <n v="721.86"/>
    <n v="2310.0100000000002"/>
    <n v="1203.79"/>
    <n v="722.08"/>
    <n v="35779.270000000004"/>
    <n v="10224.399275051146"/>
    <n v="5266.6592750511409"/>
    <n v="0.12831136651235139"/>
    <s v="Paid"/>
    <x v="6"/>
    <x v="6"/>
    <x v="1"/>
  </r>
  <r>
    <x v="184"/>
    <s v="INV-00677"/>
    <x v="0"/>
    <x v="1"/>
    <x v="1"/>
    <s v="Lagos"/>
    <s v="Ibrahim"/>
    <s v="Distributor"/>
    <n v="34.131322586516511"/>
    <n v="4580.9799999999996"/>
    <n v="156354.90614238038"/>
    <n v="7210.76"/>
    <x v="745"/>
    <n v="99049.32"/>
    <n v="2562.8000000000002"/>
    <n v="8443.7000000000007"/>
    <n v="3601.6"/>
    <n v="2302.08"/>
    <n v="115959.50000000001"/>
    <n v="50094.826142380363"/>
    <n v="33184.646142380356"/>
    <n v="0.22250049365464639"/>
    <s v="Paid"/>
    <x v="6"/>
    <x v="6"/>
    <x v="1"/>
  </r>
  <r>
    <x v="184"/>
    <s v="INV-00120"/>
    <x v="8"/>
    <x v="2"/>
    <x v="2"/>
    <s v="Lagos"/>
    <s v="Daniel"/>
    <s v="Distributor"/>
    <n v="77.752214034161099"/>
    <n v="4485.6899999999996"/>
    <n v="348772.32897089608"/>
    <n v="12798.37"/>
    <x v="746"/>
    <n v="223839.67"/>
    <n v="5543.81"/>
    <n v="16935.23"/>
    <n v="7850.59"/>
    <n v="5033.5200000000004"/>
    <n v="259202.82"/>
    <n v="112134.28897089607"/>
    <n v="76771.138970896078"/>
    <n v="0.22850324235262059"/>
    <s v="Paid"/>
    <x v="6"/>
    <x v="6"/>
    <x v="1"/>
  </r>
  <r>
    <x v="184"/>
    <s v="INV-00841"/>
    <x v="5"/>
    <x v="10"/>
    <x v="5"/>
    <s v="Port Harcourt"/>
    <s v="Daniel"/>
    <s v="Wholesale"/>
    <n v="35.774034799702328"/>
    <n v="7413.84"/>
    <n v="265222.97015942511"/>
    <n v="12765.06"/>
    <x v="747"/>
    <n v="142962.78"/>
    <n v="7280.1"/>
    <n v="13003.68"/>
    <n v="6747.33"/>
    <n v="4520.76"/>
    <n v="174514.65"/>
    <n v="109495.13015942511"/>
    <n v="77943.260159425117"/>
    <n v="0.3087376430796111"/>
    <s v="Pending"/>
    <x v="6"/>
    <x v="6"/>
    <x v="1"/>
  </r>
  <r>
    <x v="184"/>
    <s v="INV-00175"/>
    <x v="10"/>
    <x v="10"/>
    <x v="5"/>
    <s v="Ibadan"/>
    <s v="Daniel"/>
    <s v="Retail"/>
    <n v="27.13899181816247"/>
    <n v="6917.93"/>
    <n v="187745.64566862071"/>
    <n v="5071.6000000000004"/>
    <x v="748"/>
    <n v="103063.84"/>
    <n v="3246.7"/>
    <n v="10416.6"/>
    <n v="5160.37"/>
    <n v="2431.23"/>
    <n v="124318.73999999999"/>
    <n v="79610.205668620707"/>
    <n v="58355.305668620713"/>
    <n v="0.3194504476814401"/>
    <s v="Paid"/>
    <x v="6"/>
    <x v="6"/>
    <x v="1"/>
  </r>
  <r>
    <x v="184"/>
    <s v="INV-01359"/>
    <x v="11"/>
    <x v="11"/>
    <x v="1"/>
    <s v="Lagos"/>
    <s v="Daniel"/>
    <s v="Wholesale"/>
    <n v="47.135087904044482"/>
    <n v="6541.84"/>
    <n v="308350.20345419436"/>
    <n v="16036.63"/>
    <x v="749"/>
    <n v="151807.04999999999"/>
    <n v="5540.42"/>
    <n v="17171.150000000001"/>
    <n v="7587.35"/>
    <n v="4848.8"/>
    <n v="186954.77"/>
    <n v="140506.52345419436"/>
    <n v="105358.80345419436"/>
    <n v="0.36043076005399433"/>
    <s v="Paid"/>
    <x v="6"/>
    <x v="6"/>
    <x v="1"/>
  </r>
  <r>
    <x v="184"/>
    <s v="INV-00893"/>
    <x v="3"/>
    <x v="8"/>
    <x v="2"/>
    <s v="Lagos"/>
    <s v="Samuel"/>
    <s v="Retail"/>
    <n v="57.619410318853078"/>
    <n v="6849.51"/>
    <n v="394664.72717308736"/>
    <n v="8991.24"/>
    <x v="750"/>
    <n v="208732.93"/>
    <n v="6605.47"/>
    <n v="18779.54"/>
    <n v="11832.4"/>
    <n v="8323.99"/>
    <n v="254274.33"/>
    <n v="176940.55717308738"/>
    <n v="131399.15717308738"/>
    <n v="0.34070051881506813"/>
    <s v="Paid"/>
    <x v="6"/>
    <x v="6"/>
    <x v="1"/>
  </r>
  <r>
    <x v="185"/>
    <s v="INV-01100"/>
    <x v="3"/>
    <x v="0"/>
    <x v="0"/>
    <s v="Lagos"/>
    <s v="Mary"/>
    <s v="Retail"/>
    <n v="46.072344385160257"/>
    <n v="1206.93"/>
    <n v="55606.094608781474"/>
    <n v="1505.88"/>
    <x v="751"/>
    <n v="27092.880000000001"/>
    <n v="794.04"/>
    <n v="3344.21"/>
    <n v="1537.28"/>
    <n v="961.35"/>
    <n v="33729.760000000002"/>
    <n v="27007.334608781475"/>
    <n v="20370.454608781474"/>
    <n v="0.37653186324837551"/>
    <s v="Pending"/>
    <x v="6"/>
    <x v="6"/>
    <x v="1"/>
  </r>
  <r>
    <x v="185"/>
    <s v="INV-01244"/>
    <x v="1"/>
    <x v="8"/>
    <x v="2"/>
    <s v="Lagos"/>
    <s v="Amina"/>
    <s v="Wholesale"/>
    <n v="56.961717370542267"/>
    <n v="6973.43"/>
    <n v="397218.54876326059"/>
    <n v="13223.66"/>
    <x v="752"/>
    <n v="195380.45"/>
    <n v="6300.24"/>
    <n v="21486.17"/>
    <n v="11026.54"/>
    <n v="5385.42"/>
    <n v="239578.82"/>
    <n v="188614.43876326061"/>
    <n v="144416.06876326061"/>
    <n v="0.37608851833518953"/>
    <s v="Pending"/>
    <x v="6"/>
    <x v="6"/>
    <x v="1"/>
  </r>
  <r>
    <x v="185"/>
    <s v="INV-00055"/>
    <x v="9"/>
    <x v="0"/>
    <x v="0"/>
    <s v="Abuja"/>
    <s v="Mary"/>
    <s v="Supermarket"/>
    <n v="73.892552527759591"/>
    <n v="1170.98"/>
    <n v="86526.701158955926"/>
    <n v="3587.41"/>
    <x v="753"/>
    <n v="43104.17"/>
    <n v="2212.21"/>
    <n v="4469.87"/>
    <n v="1740.65"/>
    <n v="1599.73"/>
    <n v="53126.630000000005"/>
    <n v="39835.121158955924"/>
    <n v="29812.661158955918"/>
    <n v="0.35945160300223639"/>
    <s v="Paid"/>
    <x v="6"/>
    <x v="6"/>
    <x v="1"/>
  </r>
  <r>
    <x v="185"/>
    <s v="INV-00513"/>
    <x v="6"/>
    <x v="11"/>
    <x v="1"/>
    <s v="Lagos"/>
    <s v="Samuel"/>
    <s v="Retail"/>
    <n v="15.66012747657645"/>
    <n v="7061.82"/>
    <n v="110589.00141663711"/>
    <n v="3794.36"/>
    <x v="754"/>
    <n v="52377.93"/>
    <n v="1613.87"/>
    <n v="6545.29"/>
    <n v="2920.54"/>
    <n v="1517.49"/>
    <n v="64975.12"/>
    <n v="54416.71141663711"/>
    <n v="41819.521416637108"/>
    <n v="0.39158820013718604"/>
    <s v="Paid"/>
    <x v="6"/>
    <x v="6"/>
    <x v="1"/>
  </r>
  <r>
    <x v="186"/>
    <s v="INV-00662"/>
    <x v="6"/>
    <x v="8"/>
    <x v="2"/>
    <s v="Lagos"/>
    <s v="Emeka"/>
    <s v="Supermarket"/>
    <n v="52.386370711494251"/>
    <n v="6660.18"/>
    <n v="348902.65848527983"/>
    <n v="16435.22"/>
    <x v="755"/>
    <n v="168528.66"/>
    <n v="6628.88"/>
    <n v="17811.669999999998"/>
    <n v="6939.97"/>
    <n v="4228.34"/>
    <n v="204137.52000000002"/>
    <n v="163938.77848527979"/>
    <n v="128329.91848527978"/>
    <n v="0.38599244205673294"/>
    <s v="Paid"/>
    <x v="6"/>
    <x v="6"/>
    <x v="1"/>
  </r>
  <r>
    <x v="186"/>
    <s v="INV-00545"/>
    <x v="0"/>
    <x v="8"/>
    <x v="2"/>
    <s v="Abuja"/>
    <s v="Amina"/>
    <s v="Wholesale"/>
    <n v="53.178208849954608"/>
    <n v="6543.89"/>
    <n v="347992.34911112947"/>
    <n v="10839.41"/>
    <x v="756"/>
    <n v="170034.84"/>
    <n v="8393"/>
    <n v="20729.8"/>
    <n v="7241.1"/>
    <n v="6990.52"/>
    <n v="213389.25999999998"/>
    <n v="167118.0991111295"/>
    <n v="123763.67911112952"/>
    <n v="0.367084681027608"/>
    <s v="Paid"/>
    <x v="6"/>
    <x v="6"/>
    <x v="1"/>
  </r>
  <r>
    <x v="186"/>
    <s v="INV-00842"/>
    <x v="9"/>
    <x v="9"/>
    <x v="4"/>
    <s v="Ibadan"/>
    <s v="Emeka"/>
    <s v="Wholesale"/>
    <n v="63.759695840832492"/>
    <n v="2049.1799999999998"/>
    <n v="130655.09352311712"/>
    <n v="6730.44"/>
    <x v="757"/>
    <n v="76367.289999999994"/>
    <n v="2872.12"/>
    <n v="7258.97"/>
    <n v="2597.13"/>
    <n v="2020.37"/>
    <n v="91115.87999999999"/>
    <n v="47557.363523117121"/>
    <n v="32808.773523117125"/>
    <n v="0.26474775268987877"/>
    <s v="Pending"/>
    <x v="6"/>
    <x v="6"/>
    <x v="1"/>
  </r>
  <r>
    <x v="187"/>
    <s v="INV-01354"/>
    <x v="9"/>
    <x v="6"/>
    <x v="0"/>
    <s v="Lagos"/>
    <s v="Mary"/>
    <s v="Supermarket"/>
    <n v="133.94768073753971"/>
    <n v="380.7"/>
    <n v="50993.882056781367"/>
    <n v="1436.55"/>
    <x v="758"/>
    <n v="33620.449999999997"/>
    <n v="915.27"/>
    <n v="2575.9899999999998"/>
    <n v="1439.45"/>
    <n v="827.56"/>
    <n v="39378.719999999987"/>
    <n v="15936.882056781367"/>
    <n v="10178.612056781378"/>
    <n v="0.20539063816266415"/>
    <s v="Paid"/>
    <x v="6"/>
    <x v="6"/>
    <x v="1"/>
  </r>
  <r>
    <x v="187"/>
    <s v="INV-00179"/>
    <x v="2"/>
    <x v="6"/>
    <x v="0"/>
    <s v="Ibadan"/>
    <s v="Ibrahim"/>
    <s v="Retail"/>
    <n v="73.470178931753139"/>
    <n v="393.02"/>
    <n v="28875.249723757617"/>
    <n v="1251.4000000000001"/>
    <x v="759"/>
    <n v="19885.39"/>
    <n v="618.97"/>
    <n v="1657.15"/>
    <n v="615.59"/>
    <n v="447.4"/>
    <n v="23224.500000000004"/>
    <n v="7738.4597237576163"/>
    <n v="4399.3497237576121"/>
    <n v="0.15925911007161306"/>
    <s v="Paid"/>
    <x v="6"/>
    <x v="6"/>
    <x v="1"/>
  </r>
  <r>
    <x v="187"/>
    <s v="INV-00925"/>
    <x v="10"/>
    <x v="7"/>
    <x v="5"/>
    <s v="Lagos"/>
    <s v="Emeka"/>
    <s v="Retail"/>
    <n v="90.348971312789502"/>
    <n v="5801.24"/>
    <n v="524136.06633860694"/>
    <n v="10883.96"/>
    <x v="760"/>
    <n v="358649.25"/>
    <n v="8555.84"/>
    <n v="30814.19"/>
    <n v="14371.2"/>
    <n v="9732.4699999999993"/>
    <n v="422122.95"/>
    <n v="154602.85633860691"/>
    <n v="91129.156338606903"/>
    <n v="0.17755242543220354"/>
    <s v="Paid"/>
    <x v="6"/>
    <x v="6"/>
    <x v="1"/>
  </r>
  <r>
    <x v="187"/>
    <s v="INV-01332"/>
    <x v="1"/>
    <x v="9"/>
    <x v="4"/>
    <s v="Lagos"/>
    <s v="Amina"/>
    <s v="Distributor"/>
    <n v="52.337864027222302"/>
    <n v="1952.2"/>
    <n v="102173.97815394338"/>
    <n v="4720.68"/>
    <x v="761"/>
    <n v="60962.61"/>
    <n v="1923.52"/>
    <n v="5873"/>
    <n v="2792.67"/>
    <n v="1919.18"/>
    <n v="73470.98"/>
    <n v="36490.688153943382"/>
    <n v="23982.318153943386"/>
    <n v="0.24609036952304481"/>
    <s v="Paid"/>
    <x v="6"/>
    <x v="6"/>
    <x v="1"/>
  </r>
  <r>
    <x v="187"/>
    <s v="INV-01106"/>
    <x v="9"/>
    <x v="6"/>
    <x v="0"/>
    <s v="Abuja"/>
    <s v="Tunde"/>
    <s v="Wholesale"/>
    <n v="114.7805402287636"/>
    <n v="394.29"/>
    <n v="45256.819206799199"/>
    <n v="2303"/>
    <x v="762"/>
    <n v="28989.49"/>
    <n v="975.99"/>
    <n v="2298.5"/>
    <n v="1113.6400000000001"/>
    <n v="834.65"/>
    <n v="34212.270000000004"/>
    <n v="13964.329206799197"/>
    <n v="8741.5492067991945"/>
    <n v="0.20351040648360988"/>
    <s v="Paid"/>
    <x v="6"/>
    <x v="6"/>
    <x v="1"/>
  </r>
  <r>
    <x v="188"/>
    <s v="INV-01199"/>
    <x v="11"/>
    <x v="2"/>
    <x v="2"/>
    <s v="Lagos"/>
    <s v="Mary"/>
    <s v="Retail"/>
    <n v="74.820282487322629"/>
    <n v="4658.49"/>
    <n v="348549.53776436759"/>
    <n v="15394.63"/>
    <x v="763"/>
    <n v="221571.71"/>
    <n v="5498.1"/>
    <n v="18125.72"/>
    <n v="6438.97"/>
    <n v="4420.78"/>
    <n v="256055.28"/>
    <n v="111583.19776436759"/>
    <n v="77099.627764367586"/>
    <n v="0.23142275850517649"/>
    <s v="Paid"/>
    <x v="6"/>
    <x v="6"/>
    <x v="1"/>
  </r>
  <r>
    <x v="188"/>
    <s v="INV-00084"/>
    <x v="1"/>
    <x v="3"/>
    <x v="3"/>
    <s v="Abuja"/>
    <s v="Emeka"/>
    <s v="Retail"/>
    <n v="84.311411954771302"/>
    <n v="911.29"/>
    <n v="76832.146600263542"/>
    <n v="2488.11"/>
    <x v="764"/>
    <n v="45056.98"/>
    <n v="1562.8"/>
    <n v="4489.68"/>
    <n v="1518.05"/>
    <n v="1546.85"/>
    <n v="54174.360000000008"/>
    <n v="29287.056600263539"/>
    <n v="20169.676600263534"/>
    <n v="0.27130187601613276"/>
    <s v="Paid"/>
    <x v="6"/>
    <x v="6"/>
    <x v="1"/>
  </r>
  <r>
    <x v="188"/>
    <s v="INV-00852"/>
    <x v="11"/>
    <x v="0"/>
    <x v="0"/>
    <s v="Port Harcourt"/>
    <s v="Samuel"/>
    <s v="Wholesale"/>
    <n v="47.727481679382812"/>
    <n v="1257.54"/>
    <n v="60019.217311091059"/>
    <n v="2120.38"/>
    <x v="765"/>
    <n v="31879.62"/>
    <n v="1576.97"/>
    <n v="2821"/>
    <n v="1128.57"/>
    <n v="1256.9000000000001"/>
    <n v="38663.06"/>
    <n v="26019.217311091063"/>
    <n v="19235.777311091064"/>
    <n v="0.33223080470056815"/>
    <s v="Paid"/>
    <x v="6"/>
    <x v="6"/>
    <x v="1"/>
  </r>
  <r>
    <x v="188"/>
    <s v="INV-01055"/>
    <x v="0"/>
    <x v="4"/>
    <x v="4"/>
    <s v="Ibadan"/>
    <s v="Ibrahim"/>
    <s v="Wholesale"/>
    <n v="57.054327555137633"/>
    <n v="3144.11"/>
    <n v="179385.08180938379"/>
    <n v="9604.2199999999993"/>
    <x v="766"/>
    <n v="83919.02"/>
    <n v="3809.71"/>
    <n v="8221.6299999999992"/>
    <n v="3702.56"/>
    <n v="2374.6999999999998"/>
    <n v="102027.62000000001"/>
    <n v="85861.841809383783"/>
    <n v="67753.241809383777"/>
    <n v="0.39906289252702482"/>
    <s v="Paid"/>
    <x v="6"/>
    <x v="6"/>
    <x v="1"/>
  </r>
  <r>
    <x v="189"/>
    <s v="INV-01146"/>
    <x v="2"/>
    <x v="6"/>
    <x v="0"/>
    <s v="Abuja"/>
    <s v="Daniel"/>
    <s v="Retail"/>
    <n v="147.4620086199875"/>
    <n v="386.14"/>
    <n v="56940.980008521969"/>
    <n v="2269.61"/>
    <x v="767"/>
    <n v="37522.9"/>
    <n v="1480.24"/>
    <n v="3219.38"/>
    <n v="1140.0899999999999"/>
    <n v="724.06"/>
    <n v="44086.669999999991"/>
    <n v="17148.470008521967"/>
    <n v="10584.700008521977"/>
    <n v="0.1936059039104393"/>
    <s v="Paid"/>
    <x v="6"/>
    <x v="6"/>
    <x v="1"/>
  </r>
  <r>
    <x v="189"/>
    <s v="INV-00715"/>
    <x v="4"/>
    <x v="2"/>
    <x v="2"/>
    <s v="Lagos"/>
    <s v="Samuel"/>
    <s v="Retail"/>
    <n v="27.960527102519102"/>
    <n v="4761.68"/>
    <n v="133139.08269352317"/>
    <n v="4914.3"/>
    <x v="768"/>
    <n v="80550.570000000007"/>
    <n v="2198.09"/>
    <n v="6576.46"/>
    <n v="3966.2"/>
    <n v="1617.87"/>
    <n v="94909.19"/>
    <n v="47674.212693523164"/>
    <n v="33315.592693523169"/>
    <n v="0.25982179102734398"/>
    <s v="Pending"/>
    <x v="6"/>
    <x v="6"/>
    <x v="1"/>
  </r>
  <r>
    <x v="189"/>
    <s v="INV-00772"/>
    <x v="7"/>
    <x v="7"/>
    <x v="5"/>
    <s v="Lagos"/>
    <s v="Amina"/>
    <s v="Wholesale"/>
    <n v="55.195101975607443"/>
    <n v="5792.62"/>
    <n v="319724.25160594319"/>
    <n v="16597.099999999999"/>
    <x v="769"/>
    <n v="209879.31"/>
    <n v="5630.73"/>
    <n v="15266.72"/>
    <n v="6555.45"/>
    <n v="4766.2299999999996"/>
    <n v="242098.44000000003"/>
    <n v="93247.84160594322"/>
    <n v="61028.711605943186"/>
    <n v="0.20133040304247901"/>
    <s v="Paid"/>
    <x v="6"/>
    <x v="6"/>
    <x v="1"/>
  </r>
  <r>
    <x v="189"/>
    <s v="INV-00286"/>
    <x v="0"/>
    <x v="6"/>
    <x v="0"/>
    <s v="Port Harcourt"/>
    <s v="Ibrahim"/>
    <s v="Retail"/>
    <n v="130.72482241703071"/>
    <n v="371.01"/>
    <n v="48500.216364942564"/>
    <n v="1922.65"/>
    <x v="770"/>
    <n v="32138.51"/>
    <n v="1413.04"/>
    <n v="2620.9499999999998"/>
    <n v="1018.78"/>
    <n v="901.98"/>
    <n v="38093.259999999995"/>
    <n v="14439.056364942564"/>
    <n v="8484.3063649425676"/>
    <n v="0.182154350840632"/>
    <s v="Paid"/>
    <x v="6"/>
    <x v="6"/>
    <x v="1"/>
  </r>
  <r>
    <x v="189"/>
    <s v="INV-00679"/>
    <x v="11"/>
    <x v="3"/>
    <x v="3"/>
    <s v="Abuja"/>
    <s v="Samuel"/>
    <s v="Retail"/>
    <n v="52.105369586912772"/>
    <n v="865.97"/>
    <n v="45121.686901178851"/>
    <n v="1682.7"/>
    <x v="771"/>
    <n v="26568.7"/>
    <n v="1005.3"/>
    <n v="2284.61"/>
    <n v="1184.8499999999999"/>
    <n v="880.61"/>
    <n v="31924.07"/>
    <n v="16870.286901178853"/>
    <n v="11514.916901178854"/>
    <n v="0.26508253812121851"/>
    <s v="Paid"/>
    <x v="6"/>
    <x v="6"/>
    <x v="1"/>
  </r>
  <r>
    <x v="189"/>
    <s v="INV-01297"/>
    <x v="9"/>
    <x v="8"/>
    <x v="2"/>
    <s v="Port Harcourt"/>
    <s v="Amina"/>
    <s v="Distributor"/>
    <n v="47.696090634733217"/>
    <n v="6530.99"/>
    <n v="311502.69097453629"/>
    <n v="16213.33"/>
    <x v="772"/>
    <n v="158885.64000000001"/>
    <n v="8702.1"/>
    <n v="14737.55"/>
    <n v="8946.59"/>
    <n v="5365.92"/>
    <n v="196637.80000000002"/>
    <n v="136403.72097453626"/>
    <n v="98651.56097453626"/>
    <n v="0.33408437286382048"/>
    <s v="Pending"/>
    <x v="6"/>
    <x v="6"/>
    <x v="1"/>
  </r>
  <r>
    <x v="190"/>
    <s v="INV-00564"/>
    <x v="6"/>
    <x v="7"/>
    <x v="5"/>
    <s v="Lagos"/>
    <s v="Ibrahim"/>
    <s v="Supermarket"/>
    <n v="99.225100857037233"/>
    <n v="5596.23"/>
    <n v="555286.48616917746"/>
    <n v="24929.52"/>
    <x v="773"/>
    <n v="356571.46"/>
    <n v="8064.03"/>
    <n v="29277.02"/>
    <n v="9606.93"/>
    <n v="11481.16"/>
    <n v="415000.60000000003"/>
    <n v="173785.50616917742"/>
    <n v="115356.3661691774"/>
    <n v="0.21750702550851406"/>
    <s v="Paid"/>
    <x v="6"/>
    <x v="6"/>
    <x v="1"/>
  </r>
  <r>
    <x v="190"/>
    <s v="INV-00396"/>
    <x v="2"/>
    <x v="2"/>
    <x v="2"/>
    <s v="Lagos"/>
    <s v="Mary"/>
    <s v="Wholesale"/>
    <n v="82.598958662377029"/>
    <n v="4545.5"/>
    <n v="375453.56659983477"/>
    <n v="20279.830000000002"/>
    <x v="774"/>
    <n v="240112.01"/>
    <n v="6791.25"/>
    <n v="17653.259999999998"/>
    <n v="6944.94"/>
    <n v="5189.25"/>
    <n v="276690.71000000002"/>
    <n v="115061.72659983474"/>
    <n v="78483.026599834731"/>
    <n v="0.22097080530551608"/>
    <s v="Paid"/>
    <x v="6"/>
    <x v="6"/>
    <x v="1"/>
  </r>
  <r>
    <x v="190"/>
    <s v="INV-00788"/>
    <x v="9"/>
    <x v="10"/>
    <x v="5"/>
    <s v="Ibadan"/>
    <s v="Tunde"/>
    <s v="Distributor"/>
    <n v="48.656678441140933"/>
    <n v="7111.16"/>
    <n v="346005.42546350375"/>
    <n v="18210.189999999999"/>
    <x v="775"/>
    <n v="180135.11"/>
    <n v="6531.55"/>
    <n v="20013.72"/>
    <n v="6111.36"/>
    <n v="7106.81"/>
    <n v="219898.54999999996"/>
    <n v="147660.12546350376"/>
    <n v="107896.68546350379"/>
    <n v="0.3291587972928815"/>
    <s v="Paid"/>
    <x v="6"/>
    <x v="6"/>
    <x v="1"/>
  </r>
  <r>
    <x v="190"/>
    <s v="INV-01267"/>
    <x v="3"/>
    <x v="10"/>
    <x v="5"/>
    <s v="Abuja"/>
    <s v="Fatima"/>
    <s v="Distributor"/>
    <n v="30.667196426577391"/>
    <n v="6831.02"/>
    <n v="209488.23213387872"/>
    <n v="11538.74"/>
    <x v="776"/>
    <n v="108047.58"/>
    <n v="5720.41"/>
    <n v="11485.65"/>
    <n v="4563.4799999999996"/>
    <n v="4311.91"/>
    <n v="134129.03"/>
    <n v="89901.912133878723"/>
    <n v="63820.462133878726"/>
    <n v="0.32240780941592506"/>
    <s v="Pending"/>
    <x v="6"/>
    <x v="6"/>
    <x v="1"/>
  </r>
  <r>
    <x v="191"/>
    <s v="INV-00977"/>
    <x v="7"/>
    <x v="5"/>
    <x v="3"/>
    <s v="Lagos"/>
    <s v="Mary"/>
    <s v="Supermarket"/>
    <n v="60.445326801263093"/>
    <n v="1572.42"/>
    <n v="95045.44076884212"/>
    <n v="2553.81"/>
    <x v="777"/>
    <n v="43461.27"/>
    <n v="1499.95"/>
    <n v="4442.3100000000004"/>
    <n v="2553.64"/>
    <n v="1646.55"/>
    <n v="53603.719999999994"/>
    <n v="49030.360768842125"/>
    <n v="38887.910768842128"/>
    <n v="0.42044788750705425"/>
    <s v="Paid"/>
    <x v="6"/>
    <x v="6"/>
    <x v="1"/>
  </r>
  <r>
    <x v="191"/>
    <s v="INV-01426"/>
    <x v="6"/>
    <x v="11"/>
    <x v="1"/>
    <s v="Abuja"/>
    <s v="Emeka"/>
    <s v="Distributor"/>
    <n v="57.66070529314451"/>
    <n v="6957.68"/>
    <n v="401184.73600400571"/>
    <n v="14968.68"/>
    <x v="778"/>
    <n v="201677.55"/>
    <n v="10523.06"/>
    <n v="20871.939999999999"/>
    <n v="9864.75"/>
    <n v="8447.17"/>
    <n v="251384.47"/>
    <n v="184538.50600400573"/>
    <n v="134831.58600400572"/>
    <n v="0.34910921984716059"/>
    <s v="Paid"/>
    <x v="6"/>
    <x v="6"/>
    <x v="1"/>
  </r>
  <r>
    <x v="191"/>
    <s v="INV-00622"/>
    <x v="1"/>
    <x v="0"/>
    <x v="0"/>
    <s v="Port Harcourt"/>
    <s v="Mary"/>
    <s v="Distributor"/>
    <n v="82.870117437205991"/>
    <n v="1247.8499999999999"/>
    <n v="103409.47604401749"/>
    <n v="5386.41"/>
    <x v="779"/>
    <n v="52217.63"/>
    <n v="2861.03"/>
    <n v="6043.39"/>
    <n v="2440.62"/>
    <n v="1271.73"/>
    <n v="64834.400000000001"/>
    <n v="45805.436044017486"/>
    <n v="33188.666044017482"/>
    <n v="0.33858016672437113"/>
    <s v="Paid"/>
    <x v="6"/>
    <x v="6"/>
    <x v="1"/>
  </r>
  <r>
    <x v="191"/>
    <s v="INV-01260"/>
    <x v="7"/>
    <x v="11"/>
    <x v="1"/>
    <s v="Lagos"/>
    <s v="Tunde"/>
    <s v="Distributor"/>
    <n v="45.327676639575188"/>
    <n v="6543.99"/>
    <n v="296623.86265261361"/>
    <n v="15886.5"/>
    <x v="780"/>
    <n v="147960.54999999999"/>
    <n v="5002.29"/>
    <n v="15234.07"/>
    <n v="5128.32"/>
    <n v="4706.49"/>
    <n v="178031.72"/>
    <n v="132776.81265261362"/>
    <n v="102705.64265261361"/>
    <n v="0.3658424432080396"/>
    <s v="Paid"/>
    <x v="6"/>
    <x v="6"/>
    <x v="1"/>
  </r>
  <r>
    <x v="191"/>
    <s v="INV-00604"/>
    <x v="7"/>
    <x v="0"/>
    <x v="0"/>
    <s v="Lagos"/>
    <s v="Amina"/>
    <s v="Retail"/>
    <n v="77.472060883587901"/>
    <n v="1212.6199999999999"/>
    <n v="93944.170468656346"/>
    <n v="3049.85"/>
    <x v="781"/>
    <n v="49448.19"/>
    <n v="1519.95"/>
    <n v="4862.24"/>
    <n v="2314.33"/>
    <n v="1675.65"/>
    <n v="59820.36"/>
    <n v="41446.130468656338"/>
    <n v="31073.96046865634"/>
    <n v="0.3418691102858486"/>
    <s v="Paid"/>
    <x v="6"/>
    <x v="6"/>
    <x v="1"/>
  </r>
  <r>
    <x v="192"/>
    <s v="INV-00444"/>
    <x v="0"/>
    <x v="6"/>
    <x v="0"/>
    <s v="Lagos"/>
    <s v="Samuel"/>
    <s v="Wholesale"/>
    <n v="67.827196862969103"/>
    <n v="381.43"/>
    <n v="25871.327699442307"/>
    <n v="1130.48"/>
    <x v="782"/>
    <n v="18542.36"/>
    <n v="446.22"/>
    <n v="1516.33"/>
    <n v="583.25"/>
    <n v="348.78"/>
    <n v="21436.940000000002"/>
    <n v="6198.4876994423066"/>
    <n v="3303.9076994423049"/>
    <n v="0.13354060214827559"/>
    <s v="Paid"/>
    <x v="6"/>
    <x v="6"/>
    <x v="1"/>
  </r>
  <r>
    <x v="192"/>
    <s v="INV-00509"/>
    <x v="3"/>
    <x v="8"/>
    <x v="2"/>
    <s v="Lagos"/>
    <s v="Ibrahim"/>
    <s v="Distributor"/>
    <n v="49.53864158972911"/>
    <n v="6919.49"/>
    <n v="342782.13509371469"/>
    <n v="17720.439999999999"/>
    <x v="783"/>
    <n v="170214.87"/>
    <n v="6146.52"/>
    <n v="16992.43"/>
    <n v="10274.06"/>
    <n v="3928.8"/>
    <n v="207556.67999999996"/>
    <n v="154846.82509371469"/>
    <n v="117505.01509371473"/>
    <n v="0.36148527146466225"/>
    <s v="Paid"/>
    <x v="6"/>
    <x v="6"/>
    <x v="1"/>
  </r>
  <r>
    <x v="193"/>
    <s v="INV-01033"/>
    <x v="11"/>
    <x v="10"/>
    <x v="5"/>
    <s v="Lagos"/>
    <s v="Fatima"/>
    <s v="Retail"/>
    <n v="49.215433372569088"/>
    <n v="7045.56"/>
    <n v="346750.28875243786"/>
    <n v="11727.08"/>
    <x v="784"/>
    <n v="193583.53"/>
    <n v="7131.3"/>
    <n v="16572.439999999999"/>
    <n v="6734.33"/>
    <n v="5794.1"/>
    <n v="229815.69999999998"/>
    <n v="141439.67875243785"/>
    <n v="105207.50875243786"/>
    <n v="0.3140305089435757"/>
    <s v="Pending"/>
    <x v="6"/>
    <x v="6"/>
    <x v="1"/>
  </r>
  <r>
    <x v="193"/>
    <s v="INV-00086"/>
    <x v="8"/>
    <x v="10"/>
    <x v="5"/>
    <s v="Abuja"/>
    <s v="Emeka"/>
    <s v="Distributor"/>
    <n v="38.765677668385543"/>
    <n v="7190.03"/>
    <n v="278726.38540602208"/>
    <n v="15608.34"/>
    <x v="785"/>
    <n v="150141.12"/>
    <n v="6705.72"/>
    <n v="14539.77"/>
    <n v="6466.07"/>
    <n v="3195.97"/>
    <n v="181048.65"/>
    <n v="112976.92540602206"/>
    <n v="82069.395406022057"/>
    <n v="0.31191093442253015"/>
    <s v="Paid"/>
    <x v="6"/>
    <x v="6"/>
    <x v="1"/>
  </r>
  <r>
    <x v="193"/>
    <s v="INV-01360"/>
    <x v="4"/>
    <x v="10"/>
    <x v="5"/>
    <s v="Ibadan"/>
    <s v="Daniel"/>
    <s v="Supermarket"/>
    <n v="34.355973236695007"/>
    <n v="7304.43"/>
    <n v="250950.80158931212"/>
    <n v="8599.4500000000007"/>
    <x v="786"/>
    <n v="137278.04"/>
    <n v="5847.99"/>
    <n v="14939.09"/>
    <n v="6669.83"/>
    <n v="3452.88"/>
    <n v="168187.83"/>
    <n v="105073.3115893121"/>
    <n v="74163.52158931212"/>
    <n v="0.30601653798485684"/>
    <s v="Paid"/>
    <x v="6"/>
    <x v="6"/>
    <x v="1"/>
  </r>
  <r>
    <x v="193"/>
    <s v="INV-00549"/>
    <x v="0"/>
    <x v="5"/>
    <x v="3"/>
    <s v="Lagos"/>
    <s v="Tunde"/>
    <s v="Supermarket"/>
    <n v="29.14208929923165"/>
    <n v="1490.93"/>
    <n v="43448.815198903445"/>
    <n v="1694.33"/>
    <x v="787"/>
    <n v="20349.64"/>
    <n v="719.03"/>
    <n v="2296.09"/>
    <n v="1143.07"/>
    <n v="688.53"/>
    <n v="25196.359999999997"/>
    <n v="21404.845198903444"/>
    <n v="16558.125198903446"/>
    <n v="0.39655919885076912"/>
    <s v="Paid"/>
    <x v="6"/>
    <x v="6"/>
    <x v="1"/>
  </r>
  <r>
    <x v="193"/>
    <s v="INV-00817"/>
    <x v="3"/>
    <x v="10"/>
    <x v="5"/>
    <s v="Lagos"/>
    <s v="Emeka"/>
    <s v="Retail"/>
    <n v="38.462550629927527"/>
    <n v="7333.24"/>
    <n v="282055.11478140973"/>
    <n v="9280.32"/>
    <x v="788"/>
    <n v="147610.97"/>
    <n v="4796.91"/>
    <n v="15953.23"/>
    <n v="5834.72"/>
    <n v="3411.2"/>
    <n v="177607.03000000003"/>
    <n v="125163.82478140973"/>
    <n v="95167.7647814097"/>
    <n v="0.34888767804838111"/>
    <s v="Paid"/>
    <x v="6"/>
    <x v="6"/>
    <x v="1"/>
  </r>
  <r>
    <x v="194"/>
    <s v="INV-00254"/>
    <x v="7"/>
    <x v="4"/>
    <x v="4"/>
    <s v="Port Harcourt"/>
    <s v="Tunde"/>
    <s v="Retail"/>
    <n v="57.890217820650292"/>
    <n v="3157.38"/>
    <n v="182781.41594256484"/>
    <n v="6971.28"/>
    <x v="789"/>
    <n v="89662.66"/>
    <n v="4230.6499999999996"/>
    <n v="10708.08"/>
    <n v="4267.87"/>
    <n v="2510.14"/>
    <n v="111379.4"/>
    <n v="86147.475942564837"/>
    <n v="64430.735942564846"/>
    <n v="0.36647907469688568"/>
    <s v="Paid"/>
    <x v="6"/>
    <x v="6"/>
    <x v="1"/>
  </r>
  <r>
    <x v="194"/>
    <s v="INV-00205"/>
    <x v="2"/>
    <x v="3"/>
    <x v="3"/>
    <s v="Port Harcourt"/>
    <s v="Mary"/>
    <s v="Wholesale"/>
    <n v="83.763126553433949"/>
    <n v="903.37"/>
    <n v="75669.095634575628"/>
    <n v="2656.92"/>
    <x v="790"/>
    <n v="42936.12"/>
    <n v="1901.88"/>
    <n v="4097.6400000000003"/>
    <n v="1976.64"/>
    <n v="1592.13"/>
    <n v="52504.409999999996"/>
    <n v="30076.055634575627"/>
    <n v="20507.765634575633"/>
    <n v="0.28088144828359257"/>
    <s v="Paid"/>
    <x v="6"/>
    <x v="6"/>
    <x v="1"/>
  </r>
  <r>
    <x v="195"/>
    <s v="INV-00124"/>
    <x v="1"/>
    <x v="10"/>
    <x v="5"/>
    <s v="Port Harcourt"/>
    <s v="Amina"/>
    <s v="Retail"/>
    <n v="28.288310666890212"/>
    <n v="7407.14"/>
    <n v="209535.47747314916"/>
    <n v="9156.8700000000008"/>
    <x v="791"/>
    <n v="104097.55"/>
    <n v="6475.51"/>
    <n v="11124.73"/>
    <n v="4199.3500000000004"/>
    <n v="2775.51"/>
    <n v="128672.65"/>
    <n v="96281.057473149165"/>
    <n v="71705.957473149174"/>
    <n v="0.357852359477834"/>
    <s v="Paid"/>
    <x v="6"/>
    <x v="6"/>
    <x v="1"/>
  </r>
  <r>
    <x v="195"/>
    <s v="INV-00553"/>
    <x v="7"/>
    <x v="10"/>
    <x v="5"/>
    <s v="Ibadan"/>
    <s v="Fatima"/>
    <s v="Wholesale"/>
    <n v="10.856535212180081"/>
    <n v="7040.27"/>
    <n v="76432.93915825506"/>
    <n v="2553.25"/>
    <x v="792"/>
    <n v="41607.449999999997"/>
    <n v="1767.57"/>
    <n v="3776.56"/>
    <n v="1816.61"/>
    <n v="1281.3599999999999"/>
    <n v="50249.549999999996"/>
    <n v="32272.239158255063"/>
    <n v="23630.139158255064"/>
    <n v="0.31984621791840218"/>
    <s v="Paid"/>
    <x v="6"/>
    <x v="6"/>
    <x v="1"/>
  </r>
  <r>
    <x v="195"/>
    <s v="INV-00252"/>
    <x v="8"/>
    <x v="6"/>
    <x v="0"/>
    <s v="Lagos"/>
    <s v="Ibrahim"/>
    <s v="Distributor"/>
    <n v="104.08837307607359"/>
    <n v="374.66"/>
    <n v="38997.749856681738"/>
    <n v="2198.7600000000002"/>
    <x v="793"/>
    <n v="26992.66"/>
    <n v="693.39"/>
    <n v="2051.64"/>
    <n v="1125.04"/>
    <n v="582.79999999999995"/>
    <n v="31445.53"/>
    <n v="9806.3298566817357"/>
    <n v="5353.4598566817367"/>
    <n v="0.14547844594461573"/>
    <s v="Paid"/>
    <x v="6"/>
    <x v="6"/>
    <x v="1"/>
  </r>
  <r>
    <x v="195"/>
    <s v="INV-01220"/>
    <x v="4"/>
    <x v="6"/>
    <x v="0"/>
    <s v="Lagos"/>
    <s v="Amina"/>
    <s v="Supermarket"/>
    <n v="75.386372770175853"/>
    <n v="394.12"/>
    <n v="29711.277236181708"/>
    <n v="1011.46"/>
    <x v="794"/>
    <n v="20529.650000000001"/>
    <n v="549.33000000000004"/>
    <n v="1762.53"/>
    <n v="537.79999999999995"/>
    <n v="409.97"/>
    <n v="23789.280000000002"/>
    <n v="8170.1672361817073"/>
    <n v="4910.5372361817062"/>
    <n v="0.17109994798123723"/>
    <s v="Paid"/>
    <x v="6"/>
    <x v="6"/>
    <x v="1"/>
  </r>
  <r>
    <x v="195"/>
    <s v="INV-00551"/>
    <x v="0"/>
    <x v="4"/>
    <x v="4"/>
    <s v="Port Harcourt"/>
    <s v="Mary"/>
    <s v="Supermarket"/>
    <n v="27.71126492660348"/>
    <n v="3146.2"/>
    <n v="87185.181712079866"/>
    <n v="2729.9"/>
    <x v="795"/>
    <n v="44446.27"/>
    <n v="2429.35"/>
    <n v="4824.38"/>
    <n v="2513.12"/>
    <n v="1598.68"/>
    <n v="55811.799999999996"/>
    <n v="40009.011712079875"/>
    <n v="28643.481712079876"/>
    <n v="0.33915559964301106"/>
    <s v="Paid"/>
    <x v="6"/>
    <x v="6"/>
    <x v="1"/>
  </r>
  <r>
    <x v="195"/>
    <s v="INV-00482"/>
    <x v="7"/>
    <x v="10"/>
    <x v="5"/>
    <s v="Abuja"/>
    <s v="Amina"/>
    <s v="Retail"/>
    <n v="48.254867364210831"/>
    <n v="6979.01"/>
    <n v="336771.20188350102"/>
    <n v="8203.86"/>
    <x v="796"/>
    <n v="176993.21"/>
    <n v="8997.09"/>
    <n v="16566.73"/>
    <n v="8259.3700000000008"/>
    <n v="4625.82"/>
    <n v="215442.22"/>
    <n v="151574.13188350105"/>
    <n v="113125.12188350104"/>
    <n v="0.34429813150331723"/>
    <s v="Paid"/>
    <x v="6"/>
    <x v="6"/>
    <x v="1"/>
  </r>
  <r>
    <x v="195"/>
    <s v="INV-00027"/>
    <x v="11"/>
    <x v="10"/>
    <x v="5"/>
    <s v="Ibadan"/>
    <s v="Fatima"/>
    <s v="Retail"/>
    <n v="30.357157188884969"/>
    <n v="7018.05"/>
    <n v="213048.04700945417"/>
    <n v="7669.69"/>
    <x v="797"/>
    <n v="104897.9"/>
    <n v="3532.52"/>
    <n v="9882.36"/>
    <n v="5385.72"/>
    <n v="3590.36"/>
    <n v="127288.86"/>
    <n v="100480.45700945417"/>
    <n v="78089.497009454164"/>
    <n v="0.38022262007802254"/>
    <s v="Pending"/>
    <x v="6"/>
    <x v="6"/>
    <x v="1"/>
  </r>
  <r>
    <x v="196"/>
    <s v="INV-00811"/>
    <x v="7"/>
    <x v="7"/>
    <x v="5"/>
    <s v="Port Harcourt"/>
    <s v="Fatima"/>
    <s v="Supermarket"/>
    <n v="69.160070120398103"/>
    <n v="5472.03"/>
    <n v="378445.97850092204"/>
    <n v="13757.37"/>
    <x v="798"/>
    <n v="255158.74"/>
    <n v="9206.43"/>
    <n v="19805.099999999999"/>
    <n v="7234.46"/>
    <n v="5327.5"/>
    <n v="296732.23"/>
    <n v="109529.86850092205"/>
    <n v="67956.378500922059"/>
    <n v="0.18634083137463903"/>
    <s v="Paid"/>
    <x v="6"/>
    <x v="6"/>
    <x v="1"/>
  </r>
  <r>
    <x v="196"/>
    <s v="INV-00861"/>
    <x v="6"/>
    <x v="3"/>
    <x v="3"/>
    <s v="Lagos"/>
    <s v="Ibrahim"/>
    <s v="Distributor"/>
    <n v="60.277661441816399"/>
    <n v="890.27"/>
    <n v="53663.393651805884"/>
    <n v="3018.63"/>
    <x v="799"/>
    <n v="32391.97"/>
    <n v="1002.35"/>
    <n v="2492.34"/>
    <n v="1426.28"/>
    <n v="843.75"/>
    <n v="38156.69"/>
    <n v="18252.793651805885"/>
    <n v="12488.073651805884"/>
    <n v="0.24658173424727958"/>
    <s v="Paid"/>
    <x v="6"/>
    <x v="6"/>
    <x v="1"/>
  </r>
  <r>
    <x v="196"/>
    <s v="INV-00726"/>
    <x v="1"/>
    <x v="4"/>
    <x v="4"/>
    <s v="Ibadan"/>
    <s v="Emeka"/>
    <s v="Wholesale"/>
    <n v="36.159649353837267"/>
    <n v="3311.5"/>
    <n v="119742.67883523212"/>
    <n v="4799.5"/>
    <x v="800"/>
    <n v="54815.66"/>
    <n v="2346.15"/>
    <n v="5530.64"/>
    <n v="3224.09"/>
    <n v="2512.4699999999998"/>
    <n v="68429.010000000009"/>
    <n v="60127.518835232113"/>
    <n v="46514.168835232107"/>
    <n v="0.40467098010147162"/>
    <s v="Paid"/>
    <x v="6"/>
    <x v="6"/>
    <x v="1"/>
  </r>
  <r>
    <x v="197"/>
    <s v="INV-00663"/>
    <x v="7"/>
    <x v="1"/>
    <x v="1"/>
    <s v="Abuja"/>
    <s v="Tunde"/>
    <s v="Supermarket"/>
    <n v="45.525660967405457"/>
    <n v="4592.87"/>
    <n v="209093.44248736749"/>
    <n v="9783.27"/>
    <x v="801"/>
    <n v="127794.25"/>
    <n v="5405.45"/>
    <n v="9653.33"/>
    <n v="3838.8"/>
    <n v="3983.19"/>
    <n v="150675.01999999999"/>
    <n v="71515.922487367498"/>
    <n v="48635.152487367508"/>
    <n v="0.24401741205883537"/>
    <s v="Paid"/>
    <x v="6"/>
    <x v="6"/>
    <x v="1"/>
  </r>
  <r>
    <x v="197"/>
    <s v="INV-00804"/>
    <x v="10"/>
    <x v="10"/>
    <x v="5"/>
    <s v="Port Harcourt"/>
    <s v="Amina"/>
    <s v="Wholesale"/>
    <n v="39.404047694378981"/>
    <n v="7082.48"/>
    <n v="279078.37971448526"/>
    <n v="14014.77"/>
    <x v="802"/>
    <n v="146319.96"/>
    <n v="8264.2900000000009"/>
    <n v="13133.59"/>
    <n v="6927.72"/>
    <n v="5568.28"/>
    <n v="180213.84"/>
    <n v="118743.64971448525"/>
    <n v="84849.769714485243"/>
    <n v="0.32011097187532322"/>
    <s v="Paid"/>
    <x v="6"/>
    <x v="6"/>
    <x v="1"/>
  </r>
  <r>
    <x v="197"/>
    <s v="INV-00299"/>
    <x v="6"/>
    <x v="0"/>
    <x v="0"/>
    <s v="Lagos"/>
    <s v="Tunde"/>
    <s v="Wholesale"/>
    <n v="72.211499513463508"/>
    <n v="1180.31"/>
    <n v="85231.954990736107"/>
    <n v="3642.92"/>
    <x v="803"/>
    <n v="41819.72"/>
    <n v="1582.66"/>
    <n v="4487.47"/>
    <n v="1474.82"/>
    <n v="1712.58"/>
    <n v="51077.250000000007"/>
    <n v="39769.314990736108"/>
    <n v="30511.784990736101"/>
    <n v="0.37396918586180744"/>
    <s v="Paid"/>
    <x v="6"/>
    <x v="6"/>
    <x v="1"/>
  </r>
  <r>
    <x v="197"/>
    <s v="INV-00193"/>
    <x v="1"/>
    <x v="0"/>
    <x v="0"/>
    <s v="Abuja"/>
    <s v="Ibrahim"/>
    <s v="Wholesale"/>
    <n v="90.055387317725916"/>
    <n v="1255.8800000000001"/>
    <n v="113098.75982458564"/>
    <n v="4639.17"/>
    <x v="804"/>
    <n v="55993.56"/>
    <n v="2513.7199999999998"/>
    <n v="5545.93"/>
    <n v="3372.5"/>
    <n v="1398.94"/>
    <n v="68824.649999999994"/>
    <n v="52466.029824585639"/>
    <n v="39634.939824585643"/>
    <n v="0.36543508866932106"/>
    <s v="Paid"/>
    <x v="6"/>
    <x v="6"/>
    <x v="1"/>
  </r>
  <r>
    <x v="197"/>
    <s v="INV-00081"/>
    <x v="2"/>
    <x v="10"/>
    <x v="5"/>
    <s v="Lagos"/>
    <s v="Amina"/>
    <s v="Distributor"/>
    <n v="57.955838620564897"/>
    <n v="7366.9"/>
    <n v="426954.86753383954"/>
    <n v="20575.939999999999"/>
    <x v="805"/>
    <n v="224741.13"/>
    <n v="7788.96"/>
    <n v="24835.99"/>
    <n v="8921.68"/>
    <n v="8326.86"/>
    <n v="274614.62"/>
    <n v="181637.79753383953"/>
    <n v="131764.30753383954"/>
    <n v="0.3242400100159411"/>
    <s v="Paid"/>
    <x v="6"/>
    <x v="6"/>
    <x v="1"/>
  </r>
  <r>
    <x v="197"/>
    <s v="INV-00854"/>
    <x v="11"/>
    <x v="0"/>
    <x v="0"/>
    <s v="Abuja"/>
    <s v="Ibrahim"/>
    <s v="Wholesale"/>
    <n v="52.785178758918008"/>
    <n v="1195.02"/>
    <n v="63079.344320482196"/>
    <n v="2385.5500000000002"/>
    <x v="806"/>
    <n v="32083.84"/>
    <n v="1527.31"/>
    <n v="3660.27"/>
    <n v="1612.21"/>
    <n v="1136.0899999999999"/>
    <n v="40019.719999999994"/>
    <n v="28609.954320482193"/>
    <n v="20674.074320482199"/>
    <n v="0.34062912941834922"/>
    <s v="Paid"/>
    <x v="6"/>
    <x v="6"/>
    <x v="1"/>
  </r>
  <r>
    <x v="198"/>
    <s v="INV-00858"/>
    <x v="0"/>
    <x v="0"/>
    <x v="0"/>
    <s v="Lagos"/>
    <s v="Fatima"/>
    <s v="Wholesale"/>
    <n v="135.6986479066897"/>
    <n v="1240.83"/>
    <n v="168378.95328205777"/>
    <n v="6484.75"/>
    <x v="807"/>
    <n v="90711.57"/>
    <n v="2698.6"/>
    <n v="9180.61"/>
    <n v="3858.19"/>
    <n v="2487.33"/>
    <n v="108936.30000000002"/>
    <n v="71182.633282057766"/>
    <n v="52957.903282057756"/>
    <n v="0.32711426480040567"/>
    <s v="Paid"/>
    <x v="6"/>
    <x v="6"/>
    <x v="1"/>
  </r>
  <r>
    <x v="198"/>
    <s v="INV-00371"/>
    <x v="5"/>
    <x v="9"/>
    <x v="4"/>
    <s v="Lagos"/>
    <s v="Amina"/>
    <s v="Retail"/>
    <n v="55.533948718675752"/>
    <n v="1916.99"/>
    <n v="106458.02435421423"/>
    <n v="3802.35"/>
    <x v="808"/>
    <n v="66226.460000000006"/>
    <n v="1987.88"/>
    <n v="6228.22"/>
    <n v="2773.32"/>
    <n v="1715.25"/>
    <n v="78931.130000000019"/>
    <n v="36429.214354214215"/>
    <n v="23724.544354214202"/>
    <n v="0.23110796849234533"/>
    <s v="Pending"/>
    <x v="6"/>
    <x v="6"/>
    <x v="1"/>
  </r>
  <r>
    <x v="199"/>
    <s v="INV-00886"/>
    <x v="11"/>
    <x v="9"/>
    <x v="4"/>
    <s v="Port Harcourt"/>
    <s v="Mary"/>
    <s v="Distributor"/>
    <n v="47.861989239359019"/>
    <n v="1950.79"/>
    <n v="93368.689988249185"/>
    <n v="3293.02"/>
    <x v="809"/>
    <n v="55613.22"/>
    <n v="2958.36"/>
    <n v="5423.23"/>
    <n v="2253.65"/>
    <n v="1612.81"/>
    <n v="67861.26999999999"/>
    <n v="34462.44998824918"/>
    <n v="22214.399988249192"/>
    <n v="0.24661931452907507"/>
    <s v="Pending"/>
    <x v="6"/>
    <x v="6"/>
    <x v="1"/>
  </r>
  <r>
    <x v="199"/>
    <s v="INV-00538"/>
    <x v="0"/>
    <x v="8"/>
    <x v="2"/>
    <s v="Abuja"/>
    <s v="Daniel"/>
    <s v="Wholesale"/>
    <n v="45.023551491742673"/>
    <n v="6572.31"/>
    <n v="295908.73770469532"/>
    <n v="13282.92"/>
    <x v="810"/>
    <n v="144251.01"/>
    <n v="5807.29"/>
    <n v="15963.77"/>
    <n v="7160.12"/>
    <n v="4505.41"/>
    <n v="177687.6"/>
    <n v="138374.80770469533"/>
    <n v="104938.21770469533"/>
    <n v="0.37129735194376745"/>
    <s v="Paid"/>
    <x v="6"/>
    <x v="6"/>
    <x v="1"/>
  </r>
  <r>
    <x v="199"/>
    <s v="INV-00230"/>
    <x v="10"/>
    <x v="0"/>
    <x v="0"/>
    <s v="Abuja"/>
    <s v="Fatima"/>
    <s v="Supermarket"/>
    <n v="55.665959255243067"/>
    <n v="1169.1400000000001"/>
    <n v="65081.299603674881"/>
    <n v="1976.21"/>
    <x v="811"/>
    <n v="34133.1"/>
    <n v="1714.89"/>
    <n v="3226.36"/>
    <n v="1913.73"/>
    <n v="809.33"/>
    <n v="41797.410000000003"/>
    <n v="28971.989603674883"/>
    <n v="21307.679603674878"/>
    <n v="0.337653899827979"/>
    <s v="Paid"/>
    <x v="6"/>
    <x v="6"/>
    <x v="1"/>
  </r>
  <r>
    <x v="200"/>
    <s v="INV-00619"/>
    <x v="0"/>
    <x v="9"/>
    <x v="4"/>
    <s v="Abuja"/>
    <s v="Fatima"/>
    <s v="Wholesale"/>
    <n v="57.193311152542208"/>
    <n v="1979.78"/>
    <n v="113230.17355358001"/>
    <n v="5681.27"/>
    <x v="812"/>
    <n v="69776.350000000006"/>
    <n v="2711.54"/>
    <n v="5483.94"/>
    <n v="2596.7800000000002"/>
    <n v="1341.13"/>
    <n v="81909.740000000005"/>
    <n v="37772.553553580001"/>
    <n v="25639.163553580001"/>
    <n v="0.23839539694430054"/>
    <s v="Paid"/>
    <x v="6"/>
    <x v="6"/>
    <x v="1"/>
  </r>
  <r>
    <x v="200"/>
    <s v="INV-01112"/>
    <x v="5"/>
    <x v="0"/>
    <x v="0"/>
    <s v="Port Harcourt"/>
    <s v="Tunde"/>
    <s v="Distributor"/>
    <n v="88.759313746124405"/>
    <n v="1197.8399999999999"/>
    <n v="106319.45637765765"/>
    <n v="4076.78"/>
    <x v="813"/>
    <n v="51331.25"/>
    <n v="2604.11"/>
    <n v="5503.56"/>
    <n v="1930.52"/>
    <n v="2201.41"/>
    <n v="63570.849999999991"/>
    <n v="50911.426377657655"/>
    <n v="38671.826377657664"/>
    <n v="0.37823566193449465"/>
    <s v="Paid"/>
    <x v="6"/>
    <x v="6"/>
    <x v="1"/>
  </r>
  <r>
    <x v="200"/>
    <s v="INV-00025"/>
    <x v="8"/>
    <x v="3"/>
    <x v="3"/>
    <s v="Ibadan"/>
    <s v="Daniel"/>
    <s v="Wholesale"/>
    <n v="62.487101412130059"/>
    <n v="869.96"/>
    <n v="54361.278744496667"/>
    <n v="1872.33"/>
    <x v="814"/>
    <n v="31092.92"/>
    <n v="1076.31"/>
    <n v="2697.7"/>
    <n v="1318.61"/>
    <n v="672.82"/>
    <n v="36858.36"/>
    <n v="21396.028744496667"/>
    <n v="15630.588744496665"/>
    <n v="0.29778818433919374"/>
    <s v="Paid"/>
    <x v="6"/>
    <x v="6"/>
    <x v="1"/>
  </r>
  <r>
    <x v="201"/>
    <s v="INV-01190"/>
    <x v="5"/>
    <x v="9"/>
    <x v="4"/>
    <s v="Port Harcourt"/>
    <s v="Ibrahim"/>
    <s v="Wholesale"/>
    <n v="99.322437513549787"/>
    <n v="2044.11"/>
    <n v="203025.98774582223"/>
    <n v="9605.74"/>
    <x v="815"/>
    <n v="119786.56"/>
    <n v="5218.88"/>
    <n v="10442.719999999999"/>
    <n v="4328.3100000000004"/>
    <n v="3114.11"/>
    <n v="142890.57999999999"/>
    <n v="73633.687745822244"/>
    <n v="50529.667745822255"/>
    <n v="0.26124290675206036"/>
    <s v="Paid"/>
    <x v="6"/>
    <x v="6"/>
    <x v="1"/>
  </r>
  <r>
    <x v="202"/>
    <s v="INV-00414"/>
    <x v="4"/>
    <x v="9"/>
    <x v="4"/>
    <s v="Lagos"/>
    <s v="Mary"/>
    <s v="Wholesale"/>
    <n v="71.043604282533693"/>
    <n v="1909.93"/>
    <n v="135688.31112733958"/>
    <n v="7183.82"/>
    <x v="816"/>
    <n v="81121.41"/>
    <n v="2335.64"/>
    <n v="6512.85"/>
    <n v="3892.87"/>
    <n v="2083.06"/>
    <n v="95945.83"/>
    <n v="47383.081127339567"/>
    <n v="32558.661127339568"/>
    <n v="0.25336593952250319"/>
    <s v="Paid"/>
    <x v="6"/>
    <x v="6"/>
    <x v="1"/>
  </r>
  <r>
    <x v="202"/>
    <s v="INV-00765"/>
    <x v="8"/>
    <x v="10"/>
    <x v="5"/>
    <s v="Lagos"/>
    <s v="Daniel"/>
    <s v="Supermarket"/>
    <n v="45.481900504908182"/>
    <n v="7004.86"/>
    <n v="318594.34557081113"/>
    <n v="10110.219999999999"/>
    <x v="817"/>
    <n v="171314.48"/>
    <n v="4987.1400000000003"/>
    <n v="16337.5"/>
    <n v="7040.92"/>
    <n v="5554.48"/>
    <n v="205234.52000000005"/>
    <n v="137169.64557081115"/>
    <n v="103249.60557081111"/>
    <n v="0.33469989867310246"/>
    <s v="Paid"/>
    <x v="6"/>
    <x v="6"/>
    <x v="1"/>
  </r>
  <r>
    <x v="202"/>
    <s v="INV-01143"/>
    <x v="1"/>
    <x v="7"/>
    <x v="5"/>
    <s v="Lagos"/>
    <s v="Samuel"/>
    <s v="Distributor"/>
    <n v="44.386651990836313"/>
    <n v="5568.19"/>
    <n v="247153.31174885485"/>
    <n v="12379.37"/>
    <x v="818"/>
    <n v="166288.25"/>
    <n v="3991.01"/>
    <n v="13769.24"/>
    <n v="4598.2299999999996"/>
    <n v="4947.41"/>
    <n v="193594.14"/>
    <n v="68485.69174885485"/>
    <n v="41179.801748854836"/>
    <n v="0.17540192681565223"/>
    <s v="Paid"/>
    <x v="6"/>
    <x v="6"/>
    <x v="1"/>
  </r>
  <r>
    <x v="202"/>
    <s v="INV-00063"/>
    <x v="6"/>
    <x v="10"/>
    <x v="5"/>
    <s v="Abuja"/>
    <s v="Daniel"/>
    <s v="Supermarket"/>
    <n v="50.468050078968162"/>
    <n v="6954.59"/>
    <n v="350984.59639869118"/>
    <n v="13288.53"/>
    <x v="819"/>
    <n v="177283.04"/>
    <n v="7823.6"/>
    <n v="20565.080000000002"/>
    <n v="7177.27"/>
    <n v="6832.12"/>
    <n v="219681.11000000002"/>
    <n v="160413.02639869115"/>
    <n v="118014.95639869114"/>
    <n v="0.34947092412785219"/>
    <s v="Paid"/>
    <x v="6"/>
    <x v="6"/>
    <x v="1"/>
  </r>
  <r>
    <x v="203"/>
    <s v="INV-00089"/>
    <x v="6"/>
    <x v="11"/>
    <x v="1"/>
    <s v="Lagos"/>
    <s v="Amina"/>
    <s v="Wholesale"/>
    <n v="47.597849037592198"/>
    <n v="7038.62"/>
    <n v="335023.17219297722"/>
    <n v="17544.55"/>
    <x v="820"/>
    <n v="165133.47"/>
    <n v="4613.6400000000003"/>
    <n v="16395.330000000002"/>
    <n v="9699.39"/>
    <n v="4866.3599999999997"/>
    <n v="200708.19"/>
    <n v="152345.15219297723"/>
    <n v="116770.43219297723"/>
    <n v="0.36780565376776492"/>
    <s v="Paid"/>
    <x v="6"/>
    <x v="6"/>
    <x v="1"/>
  </r>
  <r>
    <x v="203"/>
    <s v="INV-00708"/>
    <x v="6"/>
    <x v="0"/>
    <x v="0"/>
    <s v="Lagos"/>
    <s v="Daniel"/>
    <s v="Wholesale"/>
    <n v="78.130215611247309"/>
    <n v="1246.6099999999999"/>
    <n v="97397.908083136994"/>
    <n v="3956.27"/>
    <x v="821"/>
    <n v="50316.23"/>
    <n v="1717.24"/>
    <n v="4758.0600000000004"/>
    <n v="2828.46"/>
    <n v="1227.18"/>
    <n v="60847.17"/>
    <n v="43125.408083136987"/>
    <n v="32594.468083136991"/>
    <n v="0.34882166828172478"/>
    <s v="Paid"/>
    <x v="6"/>
    <x v="6"/>
    <x v="1"/>
  </r>
  <r>
    <x v="203"/>
    <s v="INV-00809"/>
    <x v="9"/>
    <x v="10"/>
    <x v="5"/>
    <s v="Port Harcourt"/>
    <s v="Fatima"/>
    <s v="Wholesale"/>
    <n v="29.65027333159702"/>
    <n v="7143.46"/>
    <n v="211805.54153333005"/>
    <n v="10666.7"/>
    <x v="822"/>
    <n v="111857.77"/>
    <n v="5437.38"/>
    <n v="10705.05"/>
    <n v="4610.29"/>
    <n v="3583.18"/>
    <n v="136193.67000000001"/>
    <n v="89281.071533330032"/>
    <n v="64945.171533330024"/>
    <n v="0.32288727049553073"/>
    <s v="Paid"/>
    <x v="6"/>
    <x v="6"/>
    <x v="1"/>
  </r>
  <r>
    <x v="203"/>
    <s v="INV-00419"/>
    <x v="2"/>
    <x v="0"/>
    <x v="0"/>
    <s v="Abuja"/>
    <s v="Emeka"/>
    <s v="Wholesale"/>
    <n v="79.489733549425651"/>
    <n v="1249.02"/>
    <n v="99284.266997903629"/>
    <n v="5317.36"/>
    <x v="823"/>
    <n v="51820.02"/>
    <n v="2232.71"/>
    <n v="4965.12"/>
    <n v="2645.76"/>
    <n v="1656.9"/>
    <n v="63320.51"/>
    <n v="42146.886997903632"/>
    <n v="30646.396997903626"/>
    <n v="0.32614031872505217"/>
    <s v="Paid"/>
    <x v="6"/>
    <x v="6"/>
    <x v="1"/>
  </r>
  <r>
    <x v="203"/>
    <s v="INV-01093"/>
    <x v="7"/>
    <x v="0"/>
    <x v="0"/>
    <s v="Port Harcourt"/>
    <s v="Ibrahim"/>
    <s v="Distributor"/>
    <n v="82.988309268454259"/>
    <n v="1224.3"/>
    <n v="101602.58703736855"/>
    <n v="5520.42"/>
    <x v="824"/>
    <n v="51593.11"/>
    <n v="3301.57"/>
    <n v="5136.13"/>
    <n v="1746.32"/>
    <n v="1333.53"/>
    <n v="63110.659999999996"/>
    <n v="44489.057037368548"/>
    <n v="32971.507037368552"/>
    <n v="0.34315948582368233"/>
    <s v="Paid"/>
    <x v="6"/>
    <x v="6"/>
    <x v="1"/>
  </r>
  <r>
    <x v="203"/>
    <s v="INV-00721"/>
    <x v="6"/>
    <x v="0"/>
    <x v="0"/>
    <s v="Abuja"/>
    <s v="Ibrahim"/>
    <s v="Wholesale"/>
    <n v="41.262216951076333"/>
    <n v="1196.74"/>
    <n v="49380.145514031094"/>
    <n v="2286.85"/>
    <x v="825"/>
    <n v="25344.35"/>
    <n v="1343.11"/>
    <n v="2909.89"/>
    <n v="1135.23"/>
    <n v="731.21"/>
    <n v="31463.789999999997"/>
    <n v="21748.945514031097"/>
    <n v="15629.505514031098"/>
    <n v="0.33188387738493269"/>
    <s v="Paid"/>
    <x v="6"/>
    <x v="6"/>
    <x v="1"/>
  </r>
  <r>
    <x v="204"/>
    <s v="INV-00293"/>
    <x v="4"/>
    <x v="8"/>
    <x v="2"/>
    <s v="Lagos"/>
    <s v="Daniel"/>
    <s v="Wholesale"/>
    <n v="45.64548113313348"/>
    <n v="6703.13"/>
    <n v="305967.59394794103"/>
    <n v="10629.5"/>
    <x v="826"/>
    <n v="150195.91"/>
    <n v="4577.3"/>
    <n v="18184.75"/>
    <n v="9381.39"/>
    <n v="5000.63"/>
    <n v="187339.97999999998"/>
    <n v="145142.18394794103"/>
    <n v="107998.11394794105"/>
    <n v="0.36567620689993946"/>
    <s v="Paid"/>
    <x v="6"/>
    <x v="6"/>
    <x v="1"/>
  </r>
  <r>
    <x v="204"/>
    <s v="INV-00870"/>
    <x v="2"/>
    <x v="4"/>
    <x v="4"/>
    <s v="Lagos"/>
    <s v="Emeka"/>
    <s v="Distributor"/>
    <n v="34.337166325672143"/>
    <n v="3389.92"/>
    <n v="116400.24687072252"/>
    <n v="6578.93"/>
    <x v="827"/>
    <n v="54548.03"/>
    <n v="1907.76"/>
    <n v="6274.21"/>
    <n v="2021.82"/>
    <n v="1439.19"/>
    <n v="66191.009999999995"/>
    <n v="55273.286870722513"/>
    <n v="43630.306870722517"/>
    <n v="0.39728449916588104"/>
    <s v="Paid"/>
    <x v="6"/>
    <x v="6"/>
    <x v="1"/>
  </r>
  <r>
    <x v="204"/>
    <s v="INV-01018"/>
    <x v="5"/>
    <x v="5"/>
    <x v="3"/>
    <s v="Abuja"/>
    <s v="Fatima"/>
    <s v="Distributor"/>
    <n v="47.012072760618452"/>
    <n v="1586.07"/>
    <n v="74564.43824343411"/>
    <n v="3765.97"/>
    <x v="828"/>
    <n v="32807.879999999997"/>
    <n v="1900.11"/>
    <n v="4350.5"/>
    <n v="1361.01"/>
    <n v="1133.3"/>
    <n v="41552.800000000003"/>
    <n v="37990.588243434111"/>
    <n v="29245.668243434106"/>
    <n v="0.41308334726784668"/>
    <s v="Paid"/>
    <x v="6"/>
    <x v="6"/>
    <x v="1"/>
  </r>
  <r>
    <x v="204"/>
    <s v="INV-01340"/>
    <x v="4"/>
    <x v="10"/>
    <x v="5"/>
    <s v="Abuja"/>
    <s v="Ibrahim"/>
    <s v="Wholesale"/>
    <n v="50.777354808589422"/>
    <n v="7108.31"/>
    <n v="360941.17895944428"/>
    <n v="15455.47"/>
    <x v="829"/>
    <n v="189700.7"/>
    <n v="8863.33"/>
    <n v="19929.560000000001"/>
    <n v="7002.68"/>
    <n v="7416.81"/>
    <n v="232913.08"/>
    <n v="155785.0089594443"/>
    <n v="112572.62895944432"/>
    <n v="0.32583874250109413"/>
    <s v="Paid"/>
    <x v="6"/>
    <x v="6"/>
    <x v="1"/>
  </r>
  <r>
    <x v="205"/>
    <s v="INV-00115"/>
    <x v="10"/>
    <x v="11"/>
    <x v="1"/>
    <s v="Ibadan"/>
    <s v="Amina"/>
    <s v="Retail"/>
    <n v="43.627009401920652"/>
    <n v="6989.7"/>
    <n v="304939.70761660475"/>
    <n v="6197.42"/>
    <x v="830"/>
    <n v="150676.75"/>
    <n v="5277.95"/>
    <n v="18188.87"/>
    <n v="5485.58"/>
    <n v="5120.51"/>
    <n v="184749.66"/>
    <n v="148065.53761660476"/>
    <n v="113992.62761660476"/>
    <n v="0.38157513128137671"/>
    <s v="Paid"/>
    <x v="6"/>
    <x v="6"/>
    <x v="1"/>
  </r>
  <r>
    <x v="205"/>
    <s v="INV-00621"/>
    <x v="1"/>
    <x v="3"/>
    <x v="3"/>
    <s v="Lagos"/>
    <s v="Emeka"/>
    <s v="Wholesale"/>
    <n v="57.901626140571899"/>
    <n v="842.61"/>
    <n v="48788.48920230729"/>
    <n v="2093.9"/>
    <x v="831"/>
    <n v="28044.75"/>
    <n v="902.67"/>
    <n v="2734.37"/>
    <n v="877.95"/>
    <n v="567.37"/>
    <n v="33127.11"/>
    <n v="18649.839202307288"/>
    <n v="13567.479202307288"/>
    <n v="0.29055784479707741"/>
    <s v="Paid"/>
    <x v="6"/>
    <x v="6"/>
    <x v="1"/>
  </r>
  <r>
    <x v="205"/>
    <s v="INV-01151"/>
    <x v="0"/>
    <x v="4"/>
    <x v="4"/>
    <s v="Lagos"/>
    <s v="Samuel"/>
    <s v="Distributor"/>
    <n v="36.69162036024337"/>
    <n v="3408.25"/>
    <n v="125054.21509279947"/>
    <n v="7132.71"/>
    <x v="832"/>
    <n v="56836.639999999999"/>
    <n v="2279.15"/>
    <n v="5894.63"/>
    <n v="2433.92"/>
    <n v="1498.71"/>
    <n v="68943.05"/>
    <n v="61084.86509279946"/>
    <n v="48978.455092799457"/>
    <n v="0.41534794738462161"/>
    <s v="Paid"/>
    <x v="6"/>
    <x v="6"/>
    <x v="1"/>
  </r>
  <r>
    <x v="205"/>
    <s v="INV-01417"/>
    <x v="8"/>
    <x v="5"/>
    <x v="3"/>
    <s v="Abuja"/>
    <s v="Emeka"/>
    <s v="Distributor"/>
    <n v="59.136022253198021"/>
    <n v="1587.8"/>
    <n v="93896.176133627814"/>
    <n v="3330.99"/>
    <x v="833"/>
    <n v="43360.04"/>
    <n v="2031.52"/>
    <n v="4923.28"/>
    <n v="2121.56"/>
    <n v="1313.12"/>
    <n v="53749.52"/>
    <n v="47205.146133627808"/>
    <n v="36815.666133627812"/>
    <n v="0.40651013601746211"/>
    <s v="Paid"/>
    <x v="6"/>
    <x v="6"/>
    <x v="1"/>
  </r>
  <r>
    <x v="205"/>
    <s v="INV-00914"/>
    <x v="0"/>
    <x v="11"/>
    <x v="1"/>
    <s v="Abuja"/>
    <s v="Ibrahim"/>
    <s v="Retail"/>
    <n v="74.466481721955361"/>
    <n v="6616.5"/>
    <n v="492707.47631331766"/>
    <n v="12413.52"/>
    <x v="834"/>
    <n v="242912.46"/>
    <n v="11239.66"/>
    <n v="25276.66"/>
    <n v="13196.39"/>
    <n v="6993.1"/>
    <n v="299618.26999999996"/>
    <n v="237381.49631331765"/>
    <n v="180675.68631331768"/>
    <n v="0.37617730545719108"/>
    <s v="Pending"/>
    <x v="6"/>
    <x v="6"/>
    <x v="1"/>
  </r>
  <r>
    <x v="205"/>
    <s v="INV-00035"/>
    <x v="10"/>
    <x v="0"/>
    <x v="0"/>
    <s v="Ibadan"/>
    <s v="Mary"/>
    <s v="Distributor"/>
    <n v="95.677019019486423"/>
    <n v="1173.06"/>
    <n v="112234.88393099874"/>
    <n v="6369.02"/>
    <x v="835"/>
    <n v="53306"/>
    <n v="2156.9499999999998"/>
    <n v="6169.07"/>
    <n v="2447.81"/>
    <n v="1433.15"/>
    <n v="65512.979999999996"/>
    <n v="52559.863930998734"/>
    <n v="40352.883930998738"/>
    <n v="0.38116992987749049"/>
    <s v="Paid"/>
    <x v="6"/>
    <x v="6"/>
    <x v="1"/>
  </r>
  <r>
    <x v="205"/>
    <s v="INV-00518"/>
    <x v="1"/>
    <x v="11"/>
    <x v="1"/>
    <s v="Lagos"/>
    <s v="Tunde"/>
    <s v="Retail"/>
    <n v="33.79414971251628"/>
    <n v="6783.09"/>
    <n v="229228.75897347205"/>
    <n v="6760.42"/>
    <x v="836"/>
    <n v="119506.79"/>
    <n v="3830.88"/>
    <n v="12256.23"/>
    <n v="4160.91"/>
    <n v="4471.79"/>
    <n v="144226.6"/>
    <n v="102961.54897347205"/>
    <n v="78241.738973472035"/>
    <n v="0.35169831057533935"/>
    <s v="Paid"/>
    <x v="6"/>
    <x v="6"/>
    <x v="1"/>
  </r>
  <r>
    <x v="205"/>
    <s v="INV-00212"/>
    <x v="3"/>
    <x v="0"/>
    <x v="0"/>
    <s v="Lagos"/>
    <s v="Ibrahim"/>
    <s v="Supermarket"/>
    <n v="114.9509199357622"/>
    <n v="1211.48"/>
    <n v="139260.74048377719"/>
    <n v="4190.4399999999996"/>
    <x v="837"/>
    <n v="72452.05"/>
    <n v="2895.61"/>
    <n v="7757.75"/>
    <n v="4242.2299999999996"/>
    <n v="1714.79"/>
    <n v="89062.43"/>
    <n v="62618.250483777185"/>
    <n v="46007.870483777195"/>
    <n v="0.34062166382241105"/>
    <s v="Paid"/>
    <x v="6"/>
    <x v="6"/>
    <x v="1"/>
  </r>
  <r>
    <x v="206"/>
    <s v="INV-00094"/>
    <x v="3"/>
    <x v="1"/>
    <x v="1"/>
    <s v="Lagos"/>
    <s v="Daniel"/>
    <s v="Retail"/>
    <n v="62.974317282664963"/>
    <n v="4819.93"/>
    <n v="303531.80110023537"/>
    <n v="11214.6"/>
    <x v="838"/>
    <n v="198462.6"/>
    <n v="5319.88"/>
    <n v="15317.8"/>
    <n v="8352.14"/>
    <n v="3959.32"/>
    <n v="231411.74"/>
    <n v="93854.601100235392"/>
    <n v="60905.461100235407"/>
    <n v="0.2083540102019209"/>
    <s v="Paid"/>
    <x v="7"/>
    <x v="7"/>
    <x v="1"/>
  </r>
  <r>
    <x v="206"/>
    <s v="INV-00471"/>
    <x v="5"/>
    <x v="9"/>
    <x v="4"/>
    <s v="Abuja"/>
    <s v="Emeka"/>
    <s v="Wholesale"/>
    <n v="33.729055600444809"/>
    <n v="2043.92"/>
    <n v="68939.491322861155"/>
    <n v="2992.56"/>
    <x v="839"/>
    <n v="41126.11"/>
    <n v="1434.31"/>
    <n v="3290.32"/>
    <n v="1725.07"/>
    <n v="1298.47"/>
    <n v="48874.28"/>
    <n v="24820.821322861157"/>
    <n v="17072.651322861158"/>
    <n v="0.25888469683717874"/>
    <s v="Paid"/>
    <x v="7"/>
    <x v="7"/>
    <x v="1"/>
  </r>
  <r>
    <x v="206"/>
    <s v="INV-00873"/>
    <x v="7"/>
    <x v="11"/>
    <x v="1"/>
    <s v="Lagos"/>
    <s v="Amina"/>
    <s v="Supermarket"/>
    <n v="53.847237298058737"/>
    <n v="6812.84"/>
    <n v="366852.61215370649"/>
    <n v="13167.79"/>
    <x v="840"/>
    <n v="179378.07"/>
    <n v="5894.84"/>
    <n v="18428.580000000002"/>
    <n v="7919.61"/>
    <n v="6129.97"/>
    <n v="217751.06999999998"/>
    <n v="174306.7521537065"/>
    <n v="135933.75215370653"/>
    <n v="0.38433583699170332"/>
    <s v="Pending"/>
    <x v="7"/>
    <x v="7"/>
    <x v="1"/>
  </r>
  <r>
    <x v="206"/>
    <s v="INV-00218"/>
    <x v="10"/>
    <x v="4"/>
    <x v="4"/>
    <s v="Abuja"/>
    <s v="Daniel"/>
    <s v="Wholesale"/>
    <n v="4.6346263147408013"/>
    <n v="3238.69"/>
    <n v="15010.117899287887"/>
    <n v="681.56"/>
    <x v="841"/>
    <n v="7062.09"/>
    <n v="317.98"/>
    <n v="762.85"/>
    <n v="321.52"/>
    <n v="246.76"/>
    <n v="8711.2000000000007"/>
    <n v="7266.4678992878871"/>
    <n v="5617.3578992878865"/>
    <n v="0.39203930631198153"/>
    <s v="Paid"/>
    <x v="7"/>
    <x v="7"/>
    <x v="1"/>
  </r>
  <r>
    <x v="206"/>
    <s v="INV-00423"/>
    <x v="9"/>
    <x v="6"/>
    <x v="0"/>
    <s v="Ibadan"/>
    <s v="Daniel"/>
    <s v="Wholesale"/>
    <n v="92.372809820521169"/>
    <n v="399.91"/>
    <n v="36940.810375324625"/>
    <n v="1914.52"/>
    <x v="842"/>
    <n v="25599.69"/>
    <n v="735.86"/>
    <n v="2052.9299999999998"/>
    <n v="751.03"/>
    <n v="674.83"/>
    <n v="29814.34"/>
    <n v="9426.6003753246296"/>
    <n v="5211.9503753246281"/>
    <n v="0.14880109539080252"/>
    <s v="Paid"/>
    <x v="7"/>
    <x v="7"/>
    <x v="1"/>
  </r>
  <r>
    <x v="206"/>
    <s v="INV-01185"/>
    <x v="7"/>
    <x v="10"/>
    <x v="5"/>
    <s v="Ibadan"/>
    <s v="Ibrahim"/>
    <s v="Wholesale"/>
    <n v="63.913674697116832"/>
    <n v="6982.52"/>
    <n v="446278.51184611226"/>
    <n v="17031.52"/>
    <x v="843"/>
    <n v="237941.55"/>
    <n v="8031.8"/>
    <n v="24054.34"/>
    <n v="8911.77"/>
    <n v="8539.33"/>
    <n v="287478.79000000004"/>
    <n v="191305.44184611226"/>
    <n v="141768.20184611221"/>
    <n v="0.3302718587179686"/>
    <s v="Paid"/>
    <x v="7"/>
    <x v="7"/>
    <x v="1"/>
  </r>
  <r>
    <x v="207"/>
    <s v="INV-00180"/>
    <x v="4"/>
    <x v="4"/>
    <x v="4"/>
    <s v="Abuja"/>
    <s v="Fatima"/>
    <s v="Distributor"/>
    <n v="35.899555638129833"/>
    <n v="3471.09"/>
    <n v="124610.58857995609"/>
    <n v="5183.83"/>
    <x v="844"/>
    <n v="61161.17"/>
    <n v="2434.21"/>
    <n v="6099.55"/>
    <n v="2679.04"/>
    <n v="1969.97"/>
    <n v="74343.939999999988"/>
    <n v="58265.588579956093"/>
    <n v="45082.818579956103"/>
    <n v="0.37749344548921338"/>
    <s v="Paid"/>
    <x v="7"/>
    <x v="7"/>
    <x v="1"/>
  </r>
  <r>
    <x v="207"/>
    <s v="INV-00452"/>
    <x v="7"/>
    <x v="11"/>
    <x v="1"/>
    <s v="Lagos"/>
    <s v="Daniel"/>
    <s v="Distributor"/>
    <n v="20.595750528307729"/>
    <n v="6892.38"/>
    <n v="141953.73902629764"/>
    <n v="7708.55"/>
    <x v="845"/>
    <n v="69382.880000000005"/>
    <n v="2474.2600000000002"/>
    <n v="7150.22"/>
    <n v="3502.88"/>
    <n v="2743.51"/>
    <n v="85253.75"/>
    <n v="64862.309026297648"/>
    <n v="48991.439026297652"/>
    <n v="0.36493999808589483"/>
    <s v="Paid"/>
    <x v="7"/>
    <x v="7"/>
    <x v="1"/>
  </r>
  <r>
    <x v="207"/>
    <s v="INV-00357"/>
    <x v="2"/>
    <x v="7"/>
    <x v="5"/>
    <s v="Lagos"/>
    <s v="Fatima"/>
    <s v="Distributor"/>
    <n v="81.98903583332708"/>
    <n v="5740.62"/>
    <n v="470667.89888551406"/>
    <n v="16726.5"/>
    <x v="846"/>
    <n v="306932.90999999997"/>
    <n v="9002.7199999999993"/>
    <n v="27080.79"/>
    <n v="9883.7199999999993"/>
    <n v="7410.51"/>
    <n v="360310.64999999991"/>
    <n v="147008.48888551409"/>
    <n v="93630.748885514156"/>
    <n v="0.20626175342321715"/>
    <s v="Paid"/>
    <x v="7"/>
    <x v="7"/>
    <x v="1"/>
  </r>
  <r>
    <x v="207"/>
    <s v="INV-00524"/>
    <x v="6"/>
    <x v="8"/>
    <x v="2"/>
    <s v="Port Harcourt"/>
    <s v="Fatima"/>
    <s v="Supermarket"/>
    <n v="76.976273034751799"/>
    <n v="6755.32"/>
    <n v="519999.35675711947"/>
    <n v="17215.38"/>
    <x v="847"/>
    <n v="263013.74"/>
    <n v="13247.6"/>
    <n v="27474.85"/>
    <n v="14359.72"/>
    <n v="8551.3700000000008"/>
    <n v="326647.27999999991"/>
    <n v="239770.23675711948"/>
    <n v="176136.69675711956"/>
    <n v="0.35032281237993024"/>
    <s v="Paid"/>
    <x v="7"/>
    <x v="7"/>
    <x v="1"/>
  </r>
  <r>
    <x v="207"/>
    <s v="INV-00106"/>
    <x v="2"/>
    <x v="6"/>
    <x v="0"/>
    <s v="Lagos"/>
    <s v="Fatima"/>
    <s v="Wholesale"/>
    <n v="60.314942660794891"/>
    <n v="376.78"/>
    <n v="22725.464095734296"/>
    <n v="695.6"/>
    <x v="848"/>
    <n v="16022.66"/>
    <n v="433"/>
    <n v="1354.88"/>
    <n v="445.92"/>
    <n v="343.55"/>
    <n v="18600.009999999998"/>
    <n v="6007.2040957342979"/>
    <n v="3429.8540957342993"/>
    <n v="0.15569111460830262"/>
    <s v="Paid"/>
    <x v="7"/>
    <x v="7"/>
    <x v="1"/>
  </r>
  <r>
    <x v="208"/>
    <s v="INV-00771"/>
    <x v="4"/>
    <x v="8"/>
    <x v="2"/>
    <s v="Ibadan"/>
    <s v="Daniel"/>
    <s v="Supermarket"/>
    <n v="17.991746120632449"/>
    <n v="6802.07"/>
    <n v="122381.11653477035"/>
    <n v="5029.5"/>
    <x v="849"/>
    <n v="58451.54"/>
    <n v="2286.66"/>
    <n v="6536.12"/>
    <n v="2495.67"/>
    <n v="2158.92"/>
    <n v="71928.909999999989"/>
    <n v="58900.076534770349"/>
    <n v="45422.706534770361"/>
    <n v="0.38706502625221167"/>
    <s v="Paid"/>
    <x v="7"/>
    <x v="7"/>
    <x v="1"/>
  </r>
  <r>
    <x v="208"/>
    <s v="INV-00924"/>
    <x v="8"/>
    <x v="5"/>
    <x v="3"/>
    <s v="Lagos"/>
    <s v="Daniel"/>
    <s v="Distributor"/>
    <n v="18.73295282642971"/>
    <n v="1593.29"/>
    <n v="29847.026408822192"/>
    <n v="1619.9"/>
    <x v="850"/>
    <n v="14176.96"/>
    <n v="480.74"/>
    <n v="1590.13"/>
    <n v="875.26"/>
    <n v="562.51"/>
    <n v="17685.599999999995"/>
    <n v="14050.166408822191"/>
    <n v="10541.526408822196"/>
    <n v="0.37345375707558798"/>
    <s v="Paid"/>
    <x v="7"/>
    <x v="7"/>
    <x v="1"/>
  </r>
  <r>
    <x v="209"/>
    <s v="INV-00330"/>
    <x v="2"/>
    <x v="11"/>
    <x v="1"/>
    <s v="Lagos"/>
    <s v="Samuel"/>
    <s v="Wholesale"/>
    <n v="86.094096231537662"/>
    <n v="6643.41"/>
    <n v="571958.3798455596"/>
    <n v="28247.53"/>
    <x v="851"/>
    <n v="291883"/>
    <n v="9706.73"/>
    <n v="30988.37"/>
    <n v="16542.419999999998"/>
    <n v="8889.9599999999991"/>
    <n v="358010.48"/>
    <n v="251827.84984555957"/>
    <n v="185700.36984555959"/>
    <n v="0.3415425127129752"/>
    <s v="Pending"/>
    <x v="7"/>
    <x v="7"/>
    <x v="1"/>
  </r>
  <r>
    <x v="209"/>
    <s v="INV-01160"/>
    <x v="3"/>
    <x v="9"/>
    <x v="4"/>
    <s v="Port Harcourt"/>
    <s v="Mary"/>
    <s v="Wholesale"/>
    <n v="60.028662403747617"/>
    <n v="2060.54"/>
    <n v="123691.46002941811"/>
    <n v="3790.76"/>
    <x v="852"/>
    <n v="73283.06"/>
    <n v="3504.47"/>
    <n v="5885.77"/>
    <n v="3366.68"/>
    <n v="1869.84"/>
    <n v="87909.819999999992"/>
    <n v="46617.640029418122"/>
    <n v="31990.880029418127"/>
    <n v="0.26681145332403428"/>
    <s v="Pending"/>
    <x v="7"/>
    <x v="7"/>
    <x v="1"/>
  </r>
  <r>
    <x v="209"/>
    <s v="INV-00631"/>
    <x v="7"/>
    <x v="3"/>
    <x v="3"/>
    <s v="Abuja"/>
    <s v="Mary"/>
    <s v="Wholesale"/>
    <n v="69.372926758367925"/>
    <n v="914.65"/>
    <n v="63451.947459541218"/>
    <n v="1958.95"/>
    <x v="853"/>
    <n v="35963"/>
    <n v="1451.03"/>
    <n v="3477.96"/>
    <n v="1795.61"/>
    <n v="834.44"/>
    <n v="43522.04"/>
    <n v="25529.99745954122"/>
    <n v="17970.95745954122"/>
    <n v="0.2922439660119846"/>
    <s v="Paid"/>
    <x v="7"/>
    <x v="7"/>
    <x v="1"/>
  </r>
  <r>
    <x v="209"/>
    <s v="INV-00919"/>
    <x v="4"/>
    <x v="6"/>
    <x v="0"/>
    <s v="Lagos"/>
    <s v="Tunde"/>
    <s v="Retail"/>
    <n v="105.99549246566789"/>
    <n v="386.94"/>
    <n v="41013.895854665534"/>
    <n v="933.56"/>
    <x v="854"/>
    <n v="27452.97"/>
    <n v="648.89"/>
    <n v="1989.26"/>
    <n v="894.33"/>
    <n v="589.33000000000004"/>
    <n v="31574.780000000002"/>
    <n v="12627.365854665535"/>
    <n v="8505.5558546655338"/>
    <n v="0.21221268917274924"/>
    <s v="Paid"/>
    <x v="7"/>
    <x v="7"/>
    <x v="1"/>
  </r>
  <r>
    <x v="209"/>
    <s v="INV-01209"/>
    <x v="1"/>
    <x v="6"/>
    <x v="0"/>
    <s v="Lagos"/>
    <s v="Samuel"/>
    <s v="Supermarket"/>
    <n v="87.775164627711334"/>
    <n v="393.7"/>
    <n v="34557.082313929954"/>
    <n v="1552.57"/>
    <x v="855"/>
    <n v="23472.26"/>
    <n v="655.20000000000005"/>
    <n v="1694.72"/>
    <n v="728.43"/>
    <n v="430.17"/>
    <n v="26980.78"/>
    <n v="9532.2523139299556"/>
    <n v="6023.7323139299551"/>
    <n v="0.18251238668924569"/>
    <s v="Paid"/>
    <x v="7"/>
    <x v="7"/>
    <x v="1"/>
  </r>
  <r>
    <x v="209"/>
    <s v="INV-00244"/>
    <x v="8"/>
    <x v="5"/>
    <x v="3"/>
    <s v="Ibadan"/>
    <s v="Daniel"/>
    <s v="Wholesale"/>
    <n v="35.077063298465028"/>
    <n v="1537.55"/>
    <n v="53932.738674554901"/>
    <n v="2679.86"/>
    <x v="856"/>
    <n v="23428.22"/>
    <n v="1142.69"/>
    <n v="2929.28"/>
    <n v="1023.41"/>
    <n v="679.76"/>
    <n v="29203.359999999997"/>
    <n v="27824.658674554899"/>
    <n v="22049.518674554904"/>
    <n v="0.43021034612640496"/>
    <s v="Pending"/>
    <x v="7"/>
    <x v="7"/>
    <x v="1"/>
  </r>
  <r>
    <x v="210"/>
    <s v="INV-01249"/>
    <x v="9"/>
    <x v="8"/>
    <x v="2"/>
    <s v="Lagos"/>
    <s v="Tunde"/>
    <s v="Retail"/>
    <n v="90.929328242810215"/>
    <n v="7183.84"/>
    <n v="653221.74540382973"/>
    <n v="28206.49"/>
    <x v="857"/>
    <n v="324362.2"/>
    <n v="11552.2"/>
    <n v="35101.81"/>
    <n v="16291.5"/>
    <n v="13552.32"/>
    <n v="400860.03"/>
    <n v="300653.05540382973"/>
    <n v="224155.22540382971"/>
    <n v="0.35863960673887929"/>
    <s v="Paid"/>
    <x v="7"/>
    <x v="7"/>
    <x v="1"/>
  </r>
  <r>
    <x v="211"/>
    <s v="INV-00241"/>
    <x v="9"/>
    <x v="1"/>
    <x v="1"/>
    <s v="Lagos"/>
    <s v="Amina"/>
    <s v="Retail"/>
    <n v="56.121991820076651"/>
    <n v="4480.78"/>
    <n v="251470.29850756304"/>
    <n v="10826.01"/>
    <x v="858"/>
    <n v="158441.42000000001"/>
    <n v="3907.16"/>
    <n v="13772.59"/>
    <n v="7134.57"/>
    <n v="3626.98"/>
    <n v="186882.72000000003"/>
    <n v="82202.86850756302"/>
    <n v="53761.568507563003"/>
    <n v="0.22340679199570268"/>
    <s v="Paid"/>
    <x v="7"/>
    <x v="7"/>
    <x v="1"/>
  </r>
  <r>
    <x v="211"/>
    <s v="INV-01346"/>
    <x v="6"/>
    <x v="1"/>
    <x v="1"/>
    <s v="Lagos"/>
    <s v="Mary"/>
    <s v="Wholesale"/>
    <n v="75.826397487228434"/>
    <n v="4570.38"/>
    <n v="346555.45054767909"/>
    <n v="14073.33"/>
    <x v="859"/>
    <n v="208979.35"/>
    <n v="6186.61"/>
    <n v="16948.53"/>
    <n v="10195.209999999999"/>
    <n v="6808.42"/>
    <n v="249118.12"/>
    <n v="123502.77054767907"/>
    <n v="83364.000547679083"/>
    <n v="0.25073228121367325"/>
    <s v="Paid"/>
    <x v="7"/>
    <x v="7"/>
    <x v="1"/>
  </r>
  <r>
    <x v="211"/>
    <s v="INV-01391"/>
    <x v="7"/>
    <x v="2"/>
    <x v="2"/>
    <s v="Lagos"/>
    <s v="Emeka"/>
    <s v="Distributor"/>
    <n v="82.725148748685612"/>
    <n v="4800.2299999999996"/>
    <n v="397099.74077790312"/>
    <n v="16816.759999999998"/>
    <x v="860"/>
    <n v="262420.90999999997"/>
    <n v="6545.63"/>
    <n v="18756.46"/>
    <n v="11962.93"/>
    <n v="7290.57"/>
    <n v="306976.5"/>
    <n v="117862.07077790314"/>
    <n v="73306.480777903111"/>
    <n v="0.19276823966181211"/>
    <s v="Paid"/>
    <x v="7"/>
    <x v="7"/>
    <x v="1"/>
  </r>
  <r>
    <x v="212"/>
    <s v="INV-00709"/>
    <x v="6"/>
    <x v="10"/>
    <x v="5"/>
    <s v="Lagos"/>
    <s v="Mary"/>
    <s v="Wholesale"/>
    <n v="25.883148612201719"/>
    <n v="7531.1"/>
    <n v="194928.58051335238"/>
    <n v="10202.629999999999"/>
    <x v="861"/>
    <n v="103390.25"/>
    <n v="3095.91"/>
    <n v="9454.84"/>
    <n v="4859.92"/>
    <n v="3413.79"/>
    <n v="124214.70999999999"/>
    <n v="81335.700513352378"/>
    <n v="60511.240513352386"/>
    <n v="0.32757303640983843"/>
    <s v="Paid"/>
    <x v="7"/>
    <x v="7"/>
    <x v="1"/>
  </r>
  <r>
    <x v="212"/>
    <s v="INV-00582"/>
    <x v="8"/>
    <x v="8"/>
    <x v="2"/>
    <s v="Lagos"/>
    <s v="Amina"/>
    <s v="Wholesale"/>
    <n v="43.505037181197267"/>
    <n v="6952.65"/>
    <n v="302475.29675785115"/>
    <n v="10651.96"/>
    <x v="862"/>
    <n v="153279.60999999999"/>
    <n v="5267.18"/>
    <n v="15483.49"/>
    <n v="6910.76"/>
    <n v="5831.74"/>
    <n v="186772.77999999997"/>
    <n v="138543.72675785114"/>
    <n v="105050.55675785115"/>
    <n v="0.35997997255791747"/>
    <s v="Paid"/>
    <x v="7"/>
    <x v="7"/>
    <x v="1"/>
  </r>
  <r>
    <x v="212"/>
    <s v="INV-00031"/>
    <x v="8"/>
    <x v="3"/>
    <x v="3"/>
    <s v="Port Harcourt"/>
    <s v="Daniel"/>
    <s v="Distributor"/>
    <n v="66.747526215444793"/>
    <n v="898.89"/>
    <n v="59998.683839801168"/>
    <n v="2389.0500000000002"/>
    <x v="863"/>
    <n v="37277.56"/>
    <n v="1594.27"/>
    <n v="2950.8"/>
    <n v="1830.51"/>
    <n v="694.52"/>
    <n v="44347.659999999996"/>
    <n v="20332.073839801167"/>
    <n v="13261.973839801169"/>
    <n v="0.23020409879152498"/>
    <s v="Paid"/>
    <x v="7"/>
    <x v="7"/>
    <x v="1"/>
  </r>
  <r>
    <x v="212"/>
    <s v="INV-00430"/>
    <x v="4"/>
    <x v="5"/>
    <x v="3"/>
    <s v="Lagos"/>
    <s v="Samuel"/>
    <s v="Distributor"/>
    <n v="46.138652544213109"/>
    <n v="1595.84"/>
    <n v="73629.907276157042"/>
    <n v="2725.6"/>
    <x v="864"/>
    <n v="34863.35"/>
    <n v="1115.02"/>
    <n v="4166.05"/>
    <n v="1996.53"/>
    <n v="961.05"/>
    <n v="43102"/>
    <n v="36040.957276157038"/>
    <n v="27802.307276157037"/>
    <n v="0.39211027290447992"/>
    <s v="Paid"/>
    <x v="7"/>
    <x v="7"/>
    <x v="1"/>
  </r>
  <r>
    <x v="212"/>
    <s v="INV-00133"/>
    <x v="3"/>
    <x v="9"/>
    <x v="4"/>
    <s v="Lagos"/>
    <s v="Tunde"/>
    <s v="Wholesale"/>
    <n v="47.685520083896641"/>
    <n v="2045.63"/>
    <n v="97546.930449221487"/>
    <n v="3056.33"/>
    <x v="865"/>
    <n v="61935.66"/>
    <n v="1817.22"/>
    <n v="5730.57"/>
    <n v="2950.5"/>
    <n v="1342.51"/>
    <n v="73776.460000000006"/>
    <n v="32554.940449221482"/>
    <n v="20714.140449221479"/>
    <n v="0.21921905830573166"/>
    <s v="Paid"/>
    <x v="7"/>
    <x v="7"/>
    <x v="1"/>
  </r>
  <r>
    <x v="213"/>
    <s v="INV-00490"/>
    <x v="3"/>
    <x v="4"/>
    <x v="4"/>
    <s v="Ibadan"/>
    <s v="Daniel"/>
    <s v="Retail"/>
    <n v="43.587623107818082"/>
    <n v="3431.51"/>
    <n v="149571.36457070883"/>
    <n v="6728.95"/>
    <x v="866"/>
    <n v="75101.31"/>
    <n v="3057.63"/>
    <n v="8014.77"/>
    <n v="4061.8"/>
    <n v="2187.42"/>
    <n v="92422.930000000008"/>
    <n v="67741.10457070882"/>
    <n v="50419.48457070881"/>
    <n v="0.35297278278469957"/>
    <s v="Paid"/>
    <x v="7"/>
    <x v="7"/>
    <x v="1"/>
  </r>
  <r>
    <x v="213"/>
    <s v="INV-00142"/>
    <x v="7"/>
    <x v="0"/>
    <x v="0"/>
    <s v="Lagos"/>
    <s v="Emeka"/>
    <s v="Wholesale"/>
    <n v="93.460086793767147"/>
    <n v="1170.57"/>
    <n v="109401.57379818"/>
    <n v="5241.28"/>
    <x v="867"/>
    <n v="58658.02"/>
    <n v="1871.26"/>
    <n v="6139.88"/>
    <n v="2749.57"/>
    <n v="2071.08"/>
    <n v="71489.810000000012"/>
    <n v="45502.273798180009"/>
    <n v="32670.483798179994"/>
    <n v="0.31365583378136408"/>
    <s v="Paid"/>
    <x v="7"/>
    <x v="7"/>
    <x v="1"/>
  </r>
  <r>
    <x v="213"/>
    <s v="INV-00791"/>
    <x v="0"/>
    <x v="4"/>
    <x v="4"/>
    <s v="Lagos"/>
    <s v="Amina"/>
    <s v="Wholesale"/>
    <n v="49.182181531066412"/>
    <n v="3266.38"/>
    <n v="160647.69410944471"/>
    <n v="7999.06"/>
    <x v="868"/>
    <n v="81881.399999999994"/>
    <n v="2559.5500000000002"/>
    <n v="7788.67"/>
    <n v="4045.37"/>
    <n v="3011.27"/>
    <n v="99286.26"/>
    <n v="70767.234109444718"/>
    <n v="53362.374109444718"/>
    <n v="0.34957649258220952"/>
    <s v="Paid"/>
    <x v="7"/>
    <x v="7"/>
    <x v="1"/>
  </r>
  <r>
    <x v="214"/>
    <s v="INV-01064"/>
    <x v="7"/>
    <x v="10"/>
    <x v="5"/>
    <s v="Abuja"/>
    <s v="Daniel"/>
    <s v="Retail"/>
    <n v="69.526803954480343"/>
    <n v="7203.65"/>
    <n v="500846.76130669232"/>
    <n v="20043.580000000002"/>
    <x v="869"/>
    <n v="258068.17"/>
    <n v="13234.03"/>
    <n v="28946.1"/>
    <n v="10982.88"/>
    <n v="8244.58"/>
    <n v="319475.76"/>
    <n v="222735.01130669229"/>
    <n v="161327.4213066923"/>
    <n v="0.33553734163789894"/>
    <s v="Pending"/>
    <x v="7"/>
    <x v="7"/>
    <x v="1"/>
  </r>
  <r>
    <x v="214"/>
    <s v="INV-01087"/>
    <x v="6"/>
    <x v="0"/>
    <x v="0"/>
    <s v="Lagos"/>
    <s v="Mary"/>
    <s v="Supermarket"/>
    <n v="65.616610634458226"/>
    <n v="1246.77"/>
    <n v="81808.821640723487"/>
    <n v="3244.42"/>
    <x v="870"/>
    <n v="41352.17"/>
    <n v="1699.94"/>
    <n v="3779.92"/>
    <n v="1729.35"/>
    <n v="1613.47"/>
    <n v="50174.85"/>
    <n v="37212.23164072349"/>
    <n v="28389.55164072349"/>
    <n v="0.36135388353811249"/>
    <s v="Paid"/>
    <x v="7"/>
    <x v="7"/>
    <x v="1"/>
  </r>
  <r>
    <x v="215"/>
    <s v="INV-00129"/>
    <x v="7"/>
    <x v="2"/>
    <x v="2"/>
    <s v="Lagos"/>
    <s v="Daniel"/>
    <s v="Retail"/>
    <n v="62.056008761597802"/>
    <n v="4634.8500000000004"/>
    <n v="287620.29220869159"/>
    <n v="9914.41"/>
    <x v="871"/>
    <n v="193496.59"/>
    <n v="5114.6899999999996"/>
    <n v="13848.21"/>
    <n v="5167.24"/>
    <n v="5708.72"/>
    <n v="223335.44999999998"/>
    <n v="84209.292208691622"/>
    <n v="54370.432208691636"/>
    <n v="0.1957842296182733"/>
    <s v="Paid"/>
    <x v="7"/>
    <x v="7"/>
    <x v="1"/>
  </r>
  <r>
    <x v="215"/>
    <s v="INV-00017"/>
    <x v="11"/>
    <x v="9"/>
    <x v="4"/>
    <s v="Lagos"/>
    <s v="Amina"/>
    <s v="Supermarket"/>
    <n v="99.262261658658645"/>
    <n v="2055.89"/>
    <n v="204072.29112141969"/>
    <n v="6084.53"/>
    <x v="872"/>
    <n v="123536.33"/>
    <n v="3750.39"/>
    <n v="11544.24"/>
    <n v="6105.53"/>
    <n v="3072.3"/>
    <n v="148008.78999999998"/>
    <n v="74451.431121419693"/>
    <n v="49978.971121419716"/>
    <n v="0.25243464968912488"/>
    <s v="Paid"/>
    <x v="7"/>
    <x v="7"/>
    <x v="1"/>
  </r>
  <r>
    <x v="215"/>
    <s v="INV-01037"/>
    <x v="1"/>
    <x v="6"/>
    <x v="0"/>
    <s v="Lagos"/>
    <s v="Ibrahim"/>
    <s v="Wholesale"/>
    <n v="131.280168894219"/>
    <n v="388.7"/>
    <n v="51028.601649182921"/>
    <n v="2082.83"/>
    <x v="873"/>
    <n v="34439.69"/>
    <n v="894.41"/>
    <n v="2404.5"/>
    <n v="993.67"/>
    <n v="767.25"/>
    <n v="39499.520000000004"/>
    <n v="14506.081649182917"/>
    <n v="9446.2516491829156"/>
    <n v="0.19299423281930436"/>
    <s v="Paid"/>
    <x v="7"/>
    <x v="7"/>
    <x v="1"/>
  </r>
  <r>
    <x v="215"/>
    <s v="INV-00938"/>
    <x v="2"/>
    <x v="2"/>
    <x v="2"/>
    <s v="Ibadan"/>
    <s v="Tunde"/>
    <s v="Retail"/>
    <n v="33.615216734530613"/>
    <n v="4790.63"/>
    <n v="161038.06574494438"/>
    <n v="6569.8"/>
    <x v="874"/>
    <n v="102969.63"/>
    <n v="3315.81"/>
    <n v="8014.83"/>
    <n v="4769.33"/>
    <n v="2864.77"/>
    <n v="121934.37000000001"/>
    <n v="51498.635744944389"/>
    <n v="32533.895744944384"/>
    <n v="0.21061863799690642"/>
    <s v="Paid"/>
    <x v="7"/>
    <x v="7"/>
    <x v="1"/>
  </r>
  <r>
    <x v="215"/>
    <s v="INV-00461"/>
    <x v="5"/>
    <x v="7"/>
    <x v="5"/>
    <s v="Abuja"/>
    <s v="Fatima"/>
    <s v="Retail"/>
    <n v="72.450347719258289"/>
    <n v="5950.18"/>
    <n v="431092.60999217629"/>
    <n v="15261.1"/>
    <x v="875"/>
    <n v="275195"/>
    <n v="9951.5300000000007"/>
    <n v="20255.560000000001"/>
    <n v="8042.76"/>
    <n v="5498.27"/>
    <n v="318943.12000000005"/>
    <n v="140636.50999217632"/>
    <n v="96888.389992176264"/>
    <n v="0.23299915389769085"/>
    <s v="Paid"/>
    <x v="7"/>
    <x v="7"/>
    <x v="1"/>
  </r>
  <r>
    <x v="216"/>
    <s v="INV-00521"/>
    <x v="11"/>
    <x v="10"/>
    <x v="5"/>
    <s v="Lagos"/>
    <s v="Ibrahim"/>
    <s v="Retail"/>
    <n v="28.583636720244659"/>
    <n v="7388.16"/>
    <n v="211180.48147104279"/>
    <n v="5714.66"/>
    <x v="876"/>
    <n v="106857.77"/>
    <n v="4028.9"/>
    <n v="12598.54"/>
    <n v="4942.34"/>
    <n v="2888.07"/>
    <n v="131315.62"/>
    <n v="98608.051471042781"/>
    <n v="74150.20147104279"/>
    <n v="0.3608882535312235"/>
    <s v="Paid"/>
    <x v="7"/>
    <x v="7"/>
    <x v="1"/>
  </r>
  <r>
    <x v="216"/>
    <s v="INV-00008"/>
    <x v="0"/>
    <x v="4"/>
    <x v="4"/>
    <s v="Abuja"/>
    <s v="Daniel"/>
    <s v="Wholesale"/>
    <n v="57.967828449956912"/>
    <n v="3443.8"/>
    <n v="199629.60761596164"/>
    <n v="7651.09"/>
    <x v="877"/>
    <n v="94632.63"/>
    <n v="4336.99"/>
    <n v="9524.57"/>
    <n v="5421.06"/>
    <n v="2443.54"/>
    <n v="116358.79"/>
    <n v="97345.887615961634"/>
    <n v="75619.727615961645"/>
    <n v="0.39389682009751287"/>
    <s v="Pending"/>
    <x v="7"/>
    <x v="7"/>
    <x v="1"/>
  </r>
  <r>
    <x v="216"/>
    <s v="INV-01269"/>
    <x v="7"/>
    <x v="10"/>
    <x v="5"/>
    <s v="Lagos"/>
    <s v="Tunde"/>
    <s v="Wholesale"/>
    <n v="39.237515181038283"/>
    <n v="7364.13"/>
    <n v="288950.16267013946"/>
    <n v="15393.74"/>
    <x v="878"/>
    <n v="148902.92000000001"/>
    <n v="5201.41"/>
    <n v="15431.9"/>
    <n v="6157.38"/>
    <n v="4794.54"/>
    <n v="180488.15000000002"/>
    <n v="124653.50267013945"/>
    <n v="93068.272670139442"/>
    <n v="0.34021600283303627"/>
    <s v="Paid"/>
    <x v="7"/>
    <x v="7"/>
    <x v="1"/>
  </r>
  <r>
    <x v="217"/>
    <s v="INV-00194"/>
    <x v="9"/>
    <x v="8"/>
    <x v="2"/>
    <s v="Port Harcourt"/>
    <s v="Samuel"/>
    <s v="Wholesale"/>
    <n v="25.973004591298789"/>
    <n v="6878.01"/>
    <n v="178642.585308999"/>
    <n v="8911.43"/>
    <x v="879"/>
    <n v="88800"/>
    <n v="5196.7"/>
    <n v="8268.7199999999993"/>
    <n v="3986.32"/>
    <n v="2120.52"/>
    <n v="108372.26000000001"/>
    <n v="80931.155308999005"/>
    <n v="61358.895308998995"/>
    <n v="0.36150637870397972"/>
    <s v="Pending"/>
    <x v="7"/>
    <x v="7"/>
    <x v="1"/>
  </r>
  <r>
    <x v="217"/>
    <s v="INV-00333"/>
    <x v="3"/>
    <x v="11"/>
    <x v="1"/>
    <s v="Lagos"/>
    <s v="Tunde"/>
    <s v="Wholesale"/>
    <n v="51.99792974911982"/>
    <n v="7083.92"/>
    <n v="368349.17450838489"/>
    <n v="11173.1"/>
    <x v="880"/>
    <n v="190351.57"/>
    <n v="6194.18"/>
    <n v="19874.03"/>
    <n v="7484"/>
    <n v="6317.73"/>
    <n v="230221.51"/>
    <n v="166824.50450838491"/>
    <n v="126954.56450838491"/>
    <n v="0.35543972166423643"/>
    <s v="Paid"/>
    <x v="7"/>
    <x v="7"/>
    <x v="1"/>
  </r>
  <r>
    <x v="217"/>
    <s v="INV-00667"/>
    <x v="11"/>
    <x v="8"/>
    <x v="2"/>
    <s v="Lagos"/>
    <s v="Fatima"/>
    <s v="Retail"/>
    <n v="16.717787451581181"/>
    <n v="6955.99"/>
    <n v="116288.76233532418"/>
    <n v="3090.87"/>
    <x v="881"/>
    <n v="56412.11"/>
    <n v="1810.08"/>
    <n v="6973.64"/>
    <n v="2977.72"/>
    <n v="1424.87"/>
    <n v="69598.42"/>
    <n v="56785.782335324184"/>
    <n v="43599.472335324186"/>
    <n v="0.38516152055349417"/>
    <s v="Paid"/>
    <x v="7"/>
    <x v="7"/>
    <x v="1"/>
  </r>
  <r>
    <x v="217"/>
    <s v="INV-00758"/>
    <x v="7"/>
    <x v="0"/>
    <x v="0"/>
    <s v="Ibadan"/>
    <s v="Fatima"/>
    <s v="Retail"/>
    <n v="92.116983850359844"/>
    <n v="1233.79"/>
    <n v="113653.01350473547"/>
    <n v="4142.99"/>
    <x v="882"/>
    <n v="58576.639999999999"/>
    <n v="2299.6799999999998"/>
    <n v="6330.06"/>
    <n v="2035.06"/>
    <n v="1590.78"/>
    <n v="70832.22"/>
    <n v="50933.383504735466"/>
    <n v="38677.803504735464"/>
    <n v="0.35318961924122816"/>
    <s v="Paid"/>
    <x v="7"/>
    <x v="7"/>
    <x v="1"/>
  </r>
  <r>
    <x v="218"/>
    <s v="INV-01068"/>
    <x v="8"/>
    <x v="3"/>
    <x v="3"/>
    <s v="Lagos"/>
    <s v="Fatima"/>
    <s v="Wholesale"/>
    <n v="63.265294641898528"/>
    <n v="905.64"/>
    <n v="57295.581439488982"/>
    <n v="2930.24"/>
    <x v="883"/>
    <n v="32746.35"/>
    <n v="999.56"/>
    <n v="3041.01"/>
    <n v="1498.72"/>
    <n v="682.18"/>
    <n v="38967.82"/>
    <n v="21618.991439488986"/>
    <n v="15397.521439488984"/>
    <n v="0.28322311663630595"/>
    <s v="Paid"/>
    <x v="7"/>
    <x v="7"/>
    <x v="1"/>
  </r>
  <r>
    <x v="219"/>
    <s v="INV-00658"/>
    <x v="5"/>
    <x v="6"/>
    <x v="0"/>
    <s v="Lagos"/>
    <s v="Ibrahim"/>
    <s v="Retail"/>
    <n v="131.3110022132482"/>
    <n v="371.93"/>
    <n v="48838.501053173408"/>
    <n v="1145.79"/>
    <x v="884"/>
    <n v="32847.06"/>
    <n v="937.74"/>
    <n v="2490.09"/>
    <n v="1090.68"/>
    <n v="834.17"/>
    <n v="38199.74"/>
    <n v="14845.651053173409"/>
    <n v="9492.971053173409"/>
    <n v="0.19904448381199247"/>
    <s v="Paid"/>
    <x v="7"/>
    <x v="7"/>
    <x v="1"/>
  </r>
  <r>
    <x v="219"/>
    <s v="INV-01140"/>
    <x v="8"/>
    <x v="0"/>
    <x v="0"/>
    <s v="Lagos"/>
    <s v="Emeka"/>
    <s v="Wholesale"/>
    <n v="57.450586462310433"/>
    <n v="1196.8399999999999"/>
    <n v="68759.159901551611"/>
    <n v="3704.29"/>
    <x v="885"/>
    <n v="36622.33"/>
    <n v="1029.79"/>
    <n v="3309.79"/>
    <n v="1537.45"/>
    <n v="1112.26"/>
    <n v="43611.62"/>
    <n v="28432.539901551609"/>
    <n v="21443.249901551608"/>
    <n v="0.32961790460886264"/>
    <s v="Paid"/>
    <x v="7"/>
    <x v="7"/>
    <x v="1"/>
  </r>
  <r>
    <x v="219"/>
    <s v="INV-00652"/>
    <x v="8"/>
    <x v="5"/>
    <x v="3"/>
    <s v="Lagos"/>
    <s v="Samuel"/>
    <s v="Distributor"/>
    <n v="43.431427106300269"/>
    <n v="1507.89"/>
    <n v="65489.814619319121"/>
    <n v="2759.48"/>
    <x v="886"/>
    <n v="31200.17"/>
    <n v="970.42"/>
    <n v="3435.92"/>
    <n v="1999.78"/>
    <n v="802.44"/>
    <n v="38408.729999999996"/>
    <n v="31530.164619319119"/>
    <n v="24321.604619319121"/>
    <n v="0.38771680028355493"/>
    <s v="Paid"/>
    <x v="7"/>
    <x v="7"/>
    <x v="1"/>
  </r>
  <r>
    <x v="219"/>
    <s v="INV-01022"/>
    <x v="4"/>
    <x v="4"/>
    <x v="4"/>
    <s v="Lagos"/>
    <s v="Fatima"/>
    <s v="Distributor"/>
    <n v="43.024798656172358"/>
    <n v="3229.34"/>
    <n v="138941.70329232365"/>
    <n v="7496.67"/>
    <x v="887"/>
    <n v="67073.37"/>
    <n v="2182.9499999999998"/>
    <n v="7657.48"/>
    <n v="3240.33"/>
    <n v="1822.63"/>
    <n v="81976.759999999995"/>
    <n v="64371.663292323647"/>
    <n v="49468.273292323647"/>
    <n v="0.37634189785102046"/>
    <s v="Paid"/>
    <x v="7"/>
    <x v="7"/>
    <x v="1"/>
  </r>
  <r>
    <x v="219"/>
    <s v="INV-00022"/>
    <x v="1"/>
    <x v="11"/>
    <x v="1"/>
    <s v="Abuja"/>
    <s v="Fatima"/>
    <s v="Wholesale"/>
    <n v="65.141799451285081"/>
    <n v="6584.8"/>
    <n v="428945.72102682199"/>
    <n v="15682.43"/>
    <x v="888"/>
    <n v="228243.5"/>
    <n v="10817.84"/>
    <n v="24137.31"/>
    <n v="12391.46"/>
    <n v="6290.42"/>
    <n v="281880.53000000003"/>
    <n v="185019.791026822"/>
    <n v="131382.76102682197"/>
    <n v="0.31791539166321658"/>
    <s v="Paid"/>
    <x v="7"/>
    <x v="7"/>
    <x v="1"/>
  </r>
  <r>
    <x v="220"/>
    <s v="INV-00615"/>
    <x v="4"/>
    <x v="2"/>
    <x v="2"/>
    <s v="Lagos"/>
    <s v="Samuel"/>
    <s v="Distributor"/>
    <n v="85.8882395985964"/>
    <n v="4538.53"/>
    <n v="389806.35206541768"/>
    <n v="22886.52"/>
    <x v="889"/>
    <n v="247898.67"/>
    <n v="6804.86"/>
    <n v="21181.22"/>
    <n v="11596.57"/>
    <n v="5171.2299999999996"/>
    <n v="292652.55"/>
    <n v="119021.16206541765"/>
    <n v="74267.282065417676"/>
    <n v="0.20240738050969306"/>
    <s v="Paid"/>
    <x v="7"/>
    <x v="7"/>
    <x v="1"/>
  </r>
  <r>
    <x v="220"/>
    <s v="INV-00990"/>
    <x v="0"/>
    <x v="3"/>
    <x v="3"/>
    <s v="Lagos"/>
    <s v="Mary"/>
    <s v="Retail"/>
    <n v="62.453296121958843"/>
    <n v="867.6"/>
    <n v="54184.479715411493"/>
    <n v="1131.57"/>
    <x v="890"/>
    <n v="31804.69"/>
    <n v="942.89"/>
    <n v="2922.9"/>
    <n v="1042.94"/>
    <n v="829.15"/>
    <n v="37542.57"/>
    <n v="21248.219715411495"/>
    <n v="15510.339715411494"/>
    <n v="0.29235606112110851"/>
    <s v="Pending"/>
    <x v="7"/>
    <x v="7"/>
    <x v="1"/>
  </r>
  <r>
    <x v="220"/>
    <s v="INV-00111"/>
    <x v="7"/>
    <x v="3"/>
    <x v="3"/>
    <s v="Lagos"/>
    <s v="Daniel"/>
    <s v="Supermarket"/>
    <n v="62.412343946816819"/>
    <n v="868.62"/>
    <n v="54212.610199084025"/>
    <n v="1413.48"/>
    <x v="891"/>
    <n v="33184.32"/>
    <n v="857.1"/>
    <n v="2931.23"/>
    <n v="977.82"/>
    <n v="651.54999999999995"/>
    <n v="38602.020000000004"/>
    <n v="19614.810199084022"/>
    <n v="14197.110199084018"/>
    <n v="0.26888909240649411"/>
    <s v="Pending"/>
    <x v="7"/>
    <x v="7"/>
    <x v="1"/>
  </r>
  <r>
    <x v="220"/>
    <s v="INV-01015"/>
    <x v="11"/>
    <x v="10"/>
    <x v="5"/>
    <s v="Abuja"/>
    <s v="Amina"/>
    <s v="Wholesale"/>
    <n v="60.521660057820753"/>
    <n v="7393.89"/>
    <n v="447490.49708492029"/>
    <n v="18929.990000000002"/>
    <x v="892"/>
    <n v="225978.19"/>
    <n v="9975.67"/>
    <n v="21764.77"/>
    <n v="9967.1200000000008"/>
    <n v="8566.64"/>
    <n v="276252.39"/>
    <n v="202582.3170849203"/>
    <n v="152308.11708492029"/>
    <n v="0.35539466322019275"/>
    <s v="Paid"/>
    <x v="7"/>
    <x v="7"/>
    <x v="1"/>
  </r>
  <r>
    <x v="220"/>
    <s v="INV-00404"/>
    <x v="10"/>
    <x v="9"/>
    <x v="4"/>
    <s v="Lagos"/>
    <s v="Daniel"/>
    <s v="Wholesale"/>
    <n v="75.56877906835733"/>
    <n v="1913.39"/>
    <n v="144592.54618160424"/>
    <n v="7799.71"/>
    <x v="893"/>
    <n v="89191.11"/>
    <n v="2339.88"/>
    <n v="6637.78"/>
    <n v="2949.18"/>
    <n v="2331.62"/>
    <n v="103449.56999999999"/>
    <n v="47601.726181604245"/>
    <n v="33343.266181604253"/>
    <n v="0.24375009037270198"/>
    <s v="Paid"/>
    <x v="7"/>
    <x v="7"/>
    <x v="1"/>
  </r>
  <r>
    <x v="221"/>
    <s v="INV-00860"/>
    <x v="7"/>
    <x v="8"/>
    <x v="2"/>
    <s v="Ibadan"/>
    <s v="Fatima"/>
    <s v="Retail"/>
    <n v="59.789149311901497"/>
    <n v="6979.9"/>
    <n v="417322.28328214126"/>
    <n v="9034.7999999999993"/>
    <x v="894"/>
    <n v="211674.19"/>
    <n v="8272.16"/>
    <n v="20034.009999999998"/>
    <n v="8795.7999999999993"/>
    <n v="7742.33"/>
    <n v="256518.49"/>
    <n v="196613.29328214127"/>
    <n v="151768.99328214128"/>
    <n v="0.37172090621564186"/>
    <s v="Paid"/>
    <x v="7"/>
    <x v="7"/>
    <x v="1"/>
  </r>
  <r>
    <x v="221"/>
    <s v="INV-00825"/>
    <x v="1"/>
    <x v="9"/>
    <x v="4"/>
    <s v="Lagos"/>
    <s v="Tunde"/>
    <s v="Wholesale"/>
    <n v="49.840949656318038"/>
    <n v="1955.33"/>
    <n v="97455.504091488343"/>
    <n v="3025.69"/>
    <x v="895"/>
    <n v="61890.33"/>
    <n v="1670.19"/>
    <n v="5103.95"/>
    <n v="2854.92"/>
    <n v="2072.85"/>
    <n v="73592.240000000005"/>
    <n v="32539.484091488339"/>
    <n v="20837.574091488335"/>
    <n v="0.22066732093001737"/>
    <s v="Pending"/>
    <x v="7"/>
    <x v="7"/>
    <x v="1"/>
  </r>
  <r>
    <x v="221"/>
    <s v="INV-01377"/>
    <x v="4"/>
    <x v="2"/>
    <x v="2"/>
    <s v="Ibadan"/>
    <s v="Emeka"/>
    <s v="Supermarket"/>
    <n v="67.42781153117636"/>
    <n v="4607.25"/>
    <n v="310656.7846770123"/>
    <n v="9738.9599999999991"/>
    <x v="896"/>
    <n v="194310.6"/>
    <n v="6058.57"/>
    <n v="14452.2"/>
    <n v="6425.92"/>
    <n v="5269.31"/>
    <n v="226516.60000000003"/>
    <n v="106607.22467701227"/>
    <n v="74401.224677012244"/>
    <n v="0.2472476489449244"/>
    <s v="Paid"/>
    <x v="7"/>
    <x v="7"/>
    <x v="1"/>
  </r>
  <r>
    <x v="222"/>
    <s v="INV-00441"/>
    <x v="10"/>
    <x v="8"/>
    <x v="2"/>
    <s v="Lagos"/>
    <s v="Fatima"/>
    <s v="Retail"/>
    <n v="33.275109102538508"/>
    <n v="6807.33"/>
    <n v="226514.64844698345"/>
    <n v="5249.63"/>
    <x v="897"/>
    <n v="111518.39999999999"/>
    <n v="4009.58"/>
    <n v="12311.85"/>
    <n v="6043.06"/>
    <n v="3802.54"/>
    <n v="137685.43000000002"/>
    <n v="109746.61844698346"/>
    <n v="83579.588446983427"/>
    <n v="0.37773521107680041"/>
    <s v="Paid"/>
    <x v="7"/>
    <x v="7"/>
    <x v="1"/>
  </r>
  <r>
    <x v="222"/>
    <s v="INV-01435"/>
    <x v="10"/>
    <x v="2"/>
    <x v="2"/>
    <s v="Lagos"/>
    <s v="Amina"/>
    <s v="Supermarket"/>
    <n v="67.967862175454087"/>
    <n v="4621.25"/>
    <n v="314096.48307831719"/>
    <n v="9236.15"/>
    <x v="898"/>
    <n v="201424.93"/>
    <n v="4641.82"/>
    <n v="18027.34"/>
    <n v="6741.54"/>
    <n v="5276.41"/>
    <n v="236112.04"/>
    <n v="103435.40307831718"/>
    <n v="68748.293078317161"/>
    <n v="0.22550750497492913"/>
    <s v="Paid"/>
    <x v="7"/>
    <x v="7"/>
    <x v="1"/>
  </r>
  <r>
    <x v="223"/>
    <s v="INV-01026"/>
    <x v="1"/>
    <x v="6"/>
    <x v="0"/>
    <s v="Ibadan"/>
    <s v="Tunde"/>
    <s v="Wholesale"/>
    <n v="96.277224759734167"/>
    <n v="375.16"/>
    <n v="36119.363640861869"/>
    <n v="1470.71"/>
    <x v="899"/>
    <n v="25365.919999999998"/>
    <n v="871.5"/>
    <n v="1758.57"/>
    <n v="1099.6300000000001"/>
    <n v="706.45"/>
    <n v="29802.07"/>
    <n v="9282.7336408618721"/>
    <n v="4846.5836408618707"/>
    <n v="0.13987797884146919"/>
    <s v="Paid"/>
    <x v="7"/>
    <x v="7"/>
    <x v="1"/>
  </r>
  <r>
    <x v="223"/>
    <s v="INV-00435"/>
    <x v="1"/>
    <x v="7"/>
    <x v="5"/>
    <s v="Lagos"/>
    <s v="Emeka"/>
    <s v="Wholesale"/>
    <n v="45.027752601994877"/>
    <n v="5751.33"/>
    <n v="258969.46437243119"/>
    <n v="13302.4"/>
    <x v="900"/>
    <n v="173432.84"/>
    <n v="3845.42"/>
    <n v="15210.44"/>
    <n v="6232.81"/>
    <n v="5365.99"/>
    <n v="204087.5"/>
    <n v="72234.224372431199"/>
    <n v="41579.564372431196"/>
    <n v="0.16925168409794072"/>
    <s v="Pending"/>
    <x v="7"/>
    <x v="7"/>
    <x v="1"/>
  </r>
  <r>
    <x v="223"/>
    <s v="INV-01265"/>
    <x v="1"/>
    <x v="3"/>
    <x v="3"/>
    <s v="Port Harcourt"/>
    <s v="Tunde"/>
    <s v="Wholesale"/>
    <n v="57.971986192425568"/>
    <n v="855.11"/>
    <n v="49572.425113005025"/>
    <n v="1912.13"/>
    <x v="901"/>
    <n v="29522.79"/>
    <n v="1356.28"/>
    <n v="2519.19"/>
    <n v="1411.6"/>
    <n v="619.17999999999995"/>
    <n v="35429.040000000001"/>
    <n v="18137.505113005027"/>
    <n v="12231.255113005027"/>
    <n v="0.25663406162307822"/>
    <s v="Paid"/>
    <x v="7"/>
    <x v="7"/>
    <x v="1"/>
  </r>
  <r>
    <x v="223"/>
    <s v="INV-01138"/>
    <x v="1"/>
    <x v="11"/>
    <x v="1"/>
    <s v="Abuja"/>
    <s v="Daniel"/>
    <s v="Distributor"/>
    <n v="44.244439185805938"/>
    <n v="6600.07"/>
    <n v="292016.39573706221"/>
    <n v="13145.15"/>
    <x v="902"/>
    <n v="150665.29"/>
    <n v="7390.17"/>
    <n v="13868.58"/>
    <n v="6442.54"/>
    <n v="3952.18"/>
    <n v="182318.76"/>
    <n v="128205.95573706218"/>
    <n v="96552.485737062176"/>
    <n v="0.34622603517932465"/>
    <s v="Paid"/>
    <x v="7"/>
    <x v="7"/>
    <x v="1"/>
  </r>
  <r>
    <x v="223"/>
    <s v="INV-01342"/>
    <x v="0"/>
    <x v="2"/>
    <x v="2"/>
    <s v="Abuja"/>
    <s v="Amina"/>
    <s v="Supermarket"/>
    <n v="71.146980269927226"/>
    <n v="4528.96"/>
    <n v="322221.82776328962"/>
    <n v="9581.9500000000007"/>
    <x v="903"/>
    <n v="216352.09"/>
    <n v="7943.18"/>
    <n v="15849.32"/>
    <n v="9703.4599999999991"/>
    <n v="5098.26"/>
    <n v="254946.31"/>
    <n v="96287.787763289612"/>
    <n v="57693.567763289611"/>
    <n v="0.18453681653167545"/>
    <s v="Paid"/>
    <x v="7"/>
    <x v="7"/>
    <x v="1"/>
  </r>
  <r>
    <x v="223"/>
    <s v="INV-01429"/>
    <x v="5"/>
    <x v="10"/>
    <x v="5"/>
    <s v="Ibadan"/>
    <s v="Samuel"/>
    <s v="Distributor"/>
    <n v="49.236549170164793"/>
    <n v="7294.33"/>
    <n v="359147.63770840818"/>
    <n v="15308.2"/>
    <x v="904"/>
    <n v="181658.13"/>
    <n v="6629.85"/>
    <n v="20224.21"/>
    <n v="10720.23"/>
    <n v="5090.46"/>
    <n v="224322.88"/>
    <n v="162181.30770840816"/>
    <n v="119516.55770840816"/>
    <n v="0.34759409364135757"/>
    <s v="Paid"/>
    <x v="7"/>
    <x v="7"/>
    <x v="1"/>
  </r>
  <r>
    <x v="223"/>
    <s v="INV-01428"/>
    <x v="3"/>
    <x v="9"/>
    <x v="4"/>
    <s v="Lagos"/>
    <s v="Mary"/>
    <s v="Supermarket"/>
    <n v="59.196024043768809"/>
    <n v="1966.02"/>
    <n v="116380.56719053035"/>
    <n v="4835.1899999999996"/>
    <x v="905"/>
    <n v="69755.600000000006"/>
    <n v="2206.9299999999998"/>
    <n v="5522.84"/>
    <n v="2322.13"/>
    <n v="1554.34"/>
    <n v="81361.84"/>
    <n v="41789.777190530338"/>
    <n v="30183.537190530347"/>
    <n v="0.27059424559543988"/>
    <s v="Paid"/>
    <x v="7"/>
    <x v="7"/>
    <x v="1"/>
  </r>
  <r>
    <x v="223"/>
    <s v="INV-00559"/>
    <x v="11"/>
    <x v="6"/>
    <x v="0"/>
    <s v="Lagos"/>
    <s v="Emeka"/>
    <s v="Retail"/>
    <n v="92.615331794452601"/>
    <n v="392.14"/>
    <n v="36318.176209876641"/>
    <n v="772.07"/>
    <x v="906"/>
    <n v="25776.98"/>
    <n v="721.42"/>
    <n v="1857.22"/>
    <n v="1100.29"/>
    <n v="514.39"/>
    <n v="29970.3"/>
    <n v="9769.126209876642"/>
    <n v="5575.8062098766422"/>
    <n v="0.15686123754188808"/>
    <s v="Paid"/>
    <x v="7"/>
    <x v="7"/>
    <x v="1"/>
  </r>
  <r>
    <x v="223"/>
    <s v="INV-01188"/>
    <x v="4"/>
    <x v="5"/>
    <x v="3"/>
    <s v="Ibadan"/>
    <s v="Ibrahim"/>
    <s v="Distributor"/>
    <n v="45.705042533020752"/>
    <n v="1555.65"/>
    <n v="71101.049416493741"/>
    <n v="3180.06"/>
    <x v="907"/>
    <n v="33887.769999999997"/>
    <n v="1285.8900000000001"/>
    <n v="3410.56"/>
    <n v="2071.1799999999998"/>
    <n v="932.51"/>
    <n v="41587.909999999996"/>
    <n v="34033.219416493746"/>
    <n v="26333.079416493747"/>
    <n v="0.38770164632052745"/>
    <s v="Paid"/>
    <x v="7"/>
    <x v="7"/>
    <x v="1"/>
  </r>
  <r>
    <x v="223"/>
    <s v="INV-01422"/>
    <x v="0"/>
    <x v="11"/>
    <x v="1"/>
    <s v="Lagos"/>
    <s v="Ibrahim"/>
    <s v="Wholesale"/>
    <n v="62.643369125510041"/>
    <n v="6976.32"/>
    <n v="437020.18889767822"/>
    <n v="15290.14"/>
    <x v="908"/>
    <n v="219036"/>
    <n v="6924.5"/>
    <n v="22641.94"/>
    <n v="7848.3"/>
    <n v="9134.44"/>
    <n v="265585.18"/>
    <n v="202694.04889767821"/>
    <n v="156144.86889767821"/>
    <n v="0.37024838354727407"/>
    <s v="Paid"/>
    <x v="7"/>
    <x v="7"/>
    <x v="1"/>
  </r>
  <r>
    <x v="223"/>
    <s v="INV-01019"/>
    <x v="2"/>
    <x v="0"/>
    <x v="0"/>
    <s v="Abuja"/>
    <s v="Emeka"/>
    <s v="Retail"/>
    <n v="85.037116966889613"/>
    <n v="1194.52"/>
    <n v="101578.53695928898"/>
    <n v="2597.44"/>
    <x v="909"/>
    <n v="52302.21"/>
    <n v="2457.71"/>
    <n v="5005.3100000000004"/>
    <n v="2983.51"/>
    <n v="1675.17"/>
    <n v="64423.909999999996"/>
    <n v="46678.886959288975"/>
    <n v="34557.186959288978"/>
    <n v="0.34912915719152299"/>
    <s v="Paid"/>
    <x v="7"/>
    <x v="7"/>
    <x v="1"/>
  </r>
  <r>
    <x v="223"/>
    <s v="INV-01232"/>
    <x v="11"/>
    <x v="0"/>
    <x v="0"/>
    <s v="Lagos"/>
    <s v="Fatima"/>
    <s v="Retail"/>
    <n v="85.147262796736058"/>
    <n v="1222.3800000000001"/>
    <n v="104082.31109747423"/>
    <n v="3833.43"/>
    <x v="910"/>
    <n v="51199.46"/>
    <n v="1498.19"/>
    <n v="5634.24"/>
    <n v="2619.64"/>
    <n v="2065.9299999999998"/>
    <n v="63017.46"/>
    <n v="49049.421097474238"/>
    <n v="37231.421097474238"/>
    <n v="0.37138989173628073"/>
    <s v="Paid"/>
    <x v="7"/>
    <x v="7"/>
    <x v="1"/>
  </r>
  <r>
    <x v="224"/>
    <s v="INV-00162"/>
    <x v="2"/>
    <x v="11"/>
    <x v="1"/>
    <s v="Lagos"/>
    <s v="Samuel"/>
    <s v="Wholesale"/>
    <n v="44.11971640216823"/>
    <n v="7145.56"/>
    <n v="315260.08073467721"/>
    <n v="13945.62"/>
    <x v="911"/>
    <n v="149383.29999999999"/>
    <n v="5392.71"/>
    <n v="17073.3"/>
    <n v="6660.41"/>
    <n v="4403.6000000000004"/>
    <n v="182913.31999999998"/>
    <n v="151931.16073467722"/>
    <n v="118401.14073467723"/>
    <n v="0.39294875010640623"/>
    <s v="Pending"/>
    <x v="7"/>
    <x v="7"/>
    <x v="1"/>
  </r>
  <r>
    <x v="225"/>
    <s v="INV-00346"/>
    <x v="8"/>
    <x v="4"/>
    <x v="4"/>
    <s v="Abuja"/>
    <s v="Amina"/>
    <s v="Wholesale"/>
    <n v="62.541212728528677"/>
    <n v="3273.52"/>
    <n v="204729.91069109319"/>
    <n v="7177.61"/>
    <x v="912"/>
    <n v="99126.84"/>
    <n v="5324.36"/>
    <n v="10131.17"/>
    <n v="4520.67"/>
    <n v="3022.39"/>
    <n v="122125.43"/>
    <n v="98425.460691093205"/>
    <n v="75426.870691093209"/>
    <n v="0.38180709830879678"/>
    <s v="Paid"/>
    <x v="7"/>
    <x v="7"/>
    <x v="1"/>
  </r>
  <r>
    <x v="225"/>
    <s v="INV-01046"/>
    <x v="1"/>
    <x v="4"/>
    <x v="4"/>
    <s v="Ibadan"/>
    <s v="Emeka"/>
    <s v="Distributor"/>
    <n v="60.196450718204467"/>
    <n v="3434.52"/>
    <n v="206745.9139206876"/>
    <n v="9495.73"/>
    <x v="913"/>
    <n v="98901.41"/>
    <n v="4038.41"/>
    <n v="11871.93"/>
    <n v="5635.31"/>
    <n v="3968.64"/>
    <n v="124415.7"/>
    <n v="98348.773920687585"/>
    <n v="72834.483920687591"/>
    <n v="0.3692492573288228"/>
    <s v="Paid"/>
    <x v="7"/>
    <x v="7"/>
    <x v="1"/>
  </r>
  <r>
    <x v="225"/>
    <s v="INV-00692"/>
    <x v="0"/>
    <x v="10"/>
    <x v="5"/>
    <s v="Lagos"/>
    <s v="Samuel"/>
    <s v="Retail"/>
    <n v="57.921747266440313"/>
    <n v="7293.42"/>
    <n v="422447.62994800112"/>
    <n v="13761.58"/>
    <x v="914"/>
    <n v="222571.78"/>
    <n v="8393.7900000000009"/>
    <n v="23966.48"/>
    <n v="10942"/>
    <n v="8137.62"/>
    <n v="274011.67000000004"/>
    <n v="186114.26994800111"/>
    <n v="134674.37994800106"/>
    <n v="0.32953016126960111"/>
    <s v="Paid"/>
    <x v="7"/>
    <x v="7"/>
    <x v="1"/>
  </r>
  <r>
    <x v="226"/>
    <s v="INV-00937"/>
    <x v="11"/>
    <x v="3"/>
    <x v="3"/>
    <s v="Ibadan"/>
    <s v="Tunde"/>
    <s v="Wholesale"/>
    <n v="55.892289124810212"/>
    <n v="904.5"/>
    <n v="50554.575513390839"/>
    <n v="2085.4699999999998"/>
    <x v="915"/>
    <n v="29584.959999999999"/>
    <n v="1008.02"/>
    <n v="2386.7399999999998"/>
    <n v="1522.88"/>
    <n v="933.77"/>
    <n v="35436.369999999995"/>
    <n v="18884.145513390838"/>
    <n v="13032.735513390842"/>
    <n v="0.26888747740125335"/>
    <s v="Paid"/>
    <x v="7"/>
    <x v="7"/>
    <x v="1"/>
  </r>
  <r>
    <x v="226"/>
    <s v="INV-00972"/>
    <x v="10"/>
    <x v="1"/>
    <x v="1"/>
    <s v="Lagos"/>
    <s v="Amina"/>
    <s v="Wholesale"/>
    <n v="55.756208479695843"/>
    <n v="4851.3599999999997"/>
    <n v="270493.43957005721"/>
    <n v="14266.48"/>
    <x v="916"/>
    <n v="174174.72"/>
    <n v="5564.71"/>
    <n v="15581.2"/>
    <n v="7822.81"/>
    <n v="3717.5"/>
    <n v="206860.94"/>
    <n v="82052.239570057194"/>
    <n v="49366.019570057193"/>
    <n v="0.19266520452372463"/>
    <s v="Paid"/>
    <x v="7"/>
    <x v="7"/>
    <x v="1"/>
  </r>
  <r>
    <x v="226"/>
    <s v="INV-00359"/>
    <x v="11"/>
    <x v="7"/>
    <x v="5"/>
    <s v="Lagos"/>
    <s v="Ibrahim"/>
    <s v="Wholesale"/>
    <n v="66.585423498916413"/>
    <n v="5716.03"/>
    <n v="380604.27828251116"/>
    <n v="12319.47"/>
    <x v="917"/>
    <n v="251286.62"/>
    <n v="6160.47"/>
    <n v="20713"/>
    <n v="10267.040000000001"/>
    <n v="5104.17"/>
    <n v="293531.29999999993"/>
    <n v="116998.1882825112"/>
    <n v="74753.508282511262"/>
    <n v="0.20297744191817943"/>
    <s v="Paid"/>
    <x v="7"/>
    <x v="7"/>
    <x v="1"/>
  </r>
  <r>
    <x v="226"/>
    <s v="INV-01252"/>
    <x v="0"/>
    <x v="10"/>
    <x v="5"/>
    <s v="Lagos"/>
    <s v="Daniel"/>
    <s v="Wholesale"/>
    <n v="43.412156454863037"/>
    <n v="6971.8"/>
    <n v="302660.87237201416"/>
    <n v="11351.78"/>
    <x v="918"/>
    <n v="164112.82"/>
    <n v="5477.88"/>
    <n v="17339.61"/>
    <n v="7978.89"/>
    <n v="5540.32"/>
    <n v="200449.52000000002"/>
    <n v="127196.27237201412"/>
    <n v="90859.57237201411"/>
    <n v="0.31190091470259557"/>
    <s v="Paid"/>
    <x v="7"/>
    <x v="7"/>
    <x v="1"/>
  </r>
  <r>
    <x v="227"/>
    <s v="INV-01374"/>
    <x v="7"/>
    <x v="8"/>
    <x v="2"/>
    <s v="Lagos"/>
    <s v="Amina"/>
    <s v="Supermarket"/>
    <n v="47.819069930254187"/>
    <n v="6625.07"/>
    <n v="316804.68562282907"/>
    <n v="12570.89"/>
    <x v="919"/>
    <n v="156292.72"/>
    <n v="5426.9"/>
    <n v="18070.48"/>
    <n v="5991.65"/>
    <n v="5488.75"/>
    <n v="191270.5"/>
    <n v="147941.07562282906"/>
    <n v="112963.29562282906"/>
    <n v="0.3713042313118764"/>
    <s v="Paid"/>
    <x v="7"/>
    <x v="7"/>
    <x v="1"/>
  </r>
  <r>
    <x v="227"/>
    <s v="INV-00866"/>
    <x v="2"/>
    <x v="10"/>
    <x v="5"/>
    <s v="Port Harcourt"/>
    <s v="Fatima"/>
    <s v="Retail"/>
    <n v="49.010967085612947"/>
    <n v="6931.33"/>
    <n v="339711.18648952158"/>
    <n v="13438.44"/>
    <x v="920"/>
    <n v="179811.85"/>
    <n v="8280.15"/>
    <n v="16401.919999999998"/>
    <n v="9420.48"/>
    <n v="4805.38"/>
    <n v="218719.78"/>
    <n v="146460.89648952158"/>
    <n v="107552.96648952158"/>
    <n v="0.32964128216873823"/>
    <s v="Paid"/>
    <x v="7"/>
    <x v="7"/>
    <x v="1"/>
  </r>
  <r>
    <x v="227"/>
    <s v="INV-00320"/>
    <x v="3"/>
    <x v="6"/>
    <x v="0"/>
    <s v="Lagos"/>
    <s v="Daniel"/>
    <s v="Wholesale"/>
    <n v="111.0691613934885"/>
    <n v="402.14"/>
    <n v="44665.352562777465"/>
    <n v="2171.9499999999998"/>
    <x v="921"/>
    <n v="30027.040000000001"/>
    <n v="771.3"/>
    <n v="2179.2600000000002"/>
    <n v="1190.5999999999999"/>
    <n v="735.97"/>
    <n v="34904.17"/>
    <n v="12466.362562777467"/>
    <n v="7589.2325627774699"/>
    <n v="0.17859790238180023"/>
    <s v="Pending"/>
    <x v="7"/>
    <x v="7"/>
    <x v="1"/>
  </r>
  <r>
    <x v="227"/>
    <s v="INV-00534"/>
    <x v="8"/>
    <x v="11"/>
    <x v="1"/>
    <s v="Lagos"/>
    <s v="Daniel"/>
    <s v="Wholesale"/>
    <n v="56.477838674762957"/>
    <n v="7016.11"/>
    <n v="396254.72870439111"/>
    <n v="21066.16"/>
    <x v="922"/>
    <n v="190510.71"/>
    <n v="7538.37"/>
    <n v="21483.65"/>
    <n v="6962.57"/>
    <n v="4766.04"/>
    <n v="231261.34"/>
    <n v="184677.85870439114"/>
    <n v="143927.22870439113"/>
    <n v="0.38361304343947256"/>
    <s v="Paid"/>
    <x v="7"/>
    <x v="7"/>
    <x v="1"/>
  </r>
  <r>
    <x v="228"/>
    <s v="INV-00140"/>
    <x v="2"/>
    <x v="0"/>
    <x v="0"/>
    <s v="Abuja"/>
    <s v="Emeka"/>
    <s v="Supermarket"/>
    <n v="83.913554107414328"/>
    <n v="1238.45"/>
    <n v="103922.74108432728"/>
    <n v="3068.04"/>
    <x v="923"/>
    <n v="53128.57"/>
    <n v="2417.12"/>
    <n v="5488.09"/>
    <n v="2264.71"/>
    <n v="1676.17"/>
    <n v="64974.659999999996"/>
    <n v="47726.131084327288"/>
    <n v="35880.041084327291"/>
    <n v="0.35575972858545324"/>
    <s v="Paid"/>
    <x v="7"/>
    <x v="7"/>
    <x v="1"/>
  </r>
  <r>
    <x v="228"/>
    <s v="INV-00922"/>
    <x v="8"/>
    <x v="10"/>
    <x v="5"/>
    <s v="Lagos"/>
    <s v="Tunde"/>
    <s v="Wholesale"/>
    <n v="43.977628796226497"/>
    <n v="7069.85"/>
    <n v="310915.23894500191"/>
    <n v="10684.72"/>
    <x v="924"/>
    <n v="159253.60999999999"/>
    <n v="5588.32"/>
    <n v="17441.66"/>
    <n v="7577.2"/>
    <n v="3907.55"/>
    <n v="193768.34"/>
    <n v="140976.90894500195"/>
    <n v="106462.17894500194"/>
    <n v="0.3546014553054293"/>
    <s v="Paid"/>
    <x v="7"/>
    <x v="7"/>
    <x v="1"/>
  </r>
  <r>
    <x v="228"/>
    <s v="INV-00314"/>
    <x v="3"/>
    <x v="10"/>
    <x v="5"/>
    <s v="Lagos"/>
    <s v="Fatima"/>
    <s v="Supermarket"/>
    <n v="41.497150084211953"/>
    <n v="7056.54"/>
    <n v="292826.29945524503"/>
    <n v="8908.24"/>
    <x v="925"/>
    <n v="164062.21"/>
    <n v="4297.8500000000004"/>
    <n v="16529.099999999999"/>
    <n v="7880.88"/>
    <n v="4473.7700000000004"/>
    <n v="197243.81"/>
    <n v="119855.84945524504"/>
    <n v="86674.249455245037"/>
    <n v="0.30527909926387686"/>
    <s v="Paid"/>
    <x v="7"/>
    <x v="7"/>
    <x v="1"/>
  </r>
  <r>
    <x v="228"/>
    <s v="INV-00207"/>
    <x v="6"/>
    <x v="9"/>
    <x v="4"/>
    <s v="Lagos"/>
    <s v="Amina"/>
    <s v="Supermarket"/>
    <n v="28.205514774624739"/>
    <n v="2012.97"/>
    <n v="56776.855075876359"/>
    <n v="1710.09"/>
    <x v="926"/>
    <n v="34798.47"/>
    <n v="1035.1500000000001"/>
    <n v="3279.16"/>
    <n v="1184.56"/>
    <n v="1131"/>
    <n v="41428.339999999997"/>
    <n v="20268.295075876362"/>
    <n v="13638.425075876366"/>
    <n v="0.24767071494183493"/>
    <s v="Paid"/>
    <x v="7"/>
    <x v="7"/>
    <x v="1"/>
  </r>
  <r>
    <x v="229"/>
    <s v="INV-00991"/>
    <x v="9"/>
    <x v="1"/>
    <x v="1"/>
    <s v="Abuja"/>
    <s v="Samuel"/>
    <s v="Retail"/>
    <n v="39.659551394837749"/>
    <n v="4473.99"/>
    <n v="177436.43634499013"/>
    <n v="4058.53"/>
    <x v="927"/>
    <n v="120529.2"/>
    <n v="4511.8599999999997"/>
    <n v="10167.65"/>
    <n v="3560.04"/>
    <n v="2500.12"/>
    <n v="141268.87"/>
    <n v="52848.706344990132"/>
    <n v="32109.036344990134"/>
    <n v="0.18519681672184379"/>
    <s v="Paid"/>
    <x v="7"/>
    <x v="7"/>
    <x v="1"/>
  </r>
  <r>
    <x v="229"/>
    <s v="INV-00936"/>
    <x v="11"/>
    <x v="0"/>
    <x v="0"/>
    <s v="Port Harcourt"/>
    <s v="Tunde"/>
    <s v="Distributor"/>
    <n v="78.918602247842529"/>
    <n v="1203.72"/>
    <n v="94995.899897773008"/>
    <n v="3442.32"/>
    <x v="928"/>
    <n v="45946.41"/>
    <n v="2819.16"/>
    <n v="4756.78"/>
    <n v="1791.7"/>
    <n v="1348.41"/>
    <n v="56662.460000000006"/>
    <n v="45607.169897772998"/>
    <n v="34891.119897772995"/>
    <n v="0.38110055266797604"/>
    <s v="Paid"/>
    <x v="7"/>
    <x v="7"/>
    <x v="1"/>
  </r>
  <r>
    <x v="229"/>
    <s v="INV-00618"/>
    <x v="3"/>
    <x v="10"/>
    <x v="5"/>
    <s v="Port Harcourt"/>
    <s v="Mary"/>
    <s v="Supermarket"/>
    <n v="15.403474081056959"/>
    <n v="7485.69"/>
    <n v="115305.63189382726"/>
    <n v="4521.12"/>
    <x v="929"/>
    <n v="62775.42"/>
    <n v="3100.47"/>
    <n v="5886.06"/>
    <n v="2616.56"/>
    <n v="2061.0500000000002"/>
    <n v="76439.56"/>
    <n v="48009.091893827266"/>
    <n v="34344.951893827267"/>
    <n v="0.31001582537767097"/>
    <s v="Pending"/>
    <x v="7"/>
    <x v="7"/>
    <x v="1"/>
  </r>
  <r>
    <x v="230"/>
    <s v="INV-01309"/>
    <x v="11"/>
    <x v="9"/>
    <x v="4"/>
    <s v="Port Harcourt"/>
    <s v="Daniel"/>
    <s v="Retail"/>
    <n v="4.3742610775811279"/>
    <n v="1918.55"/>
    <n v="8392.2385903932736"/>
    <n v="307.18"/>
    <x v="930"/>
    <n v="5177.12"/>
    <n v="216.19"/>
    <n v="467.61"/>
    <n v="225.74"/>
    <n v="145.61000000000001"/>
    <n v="6232.2699999999986"/>
    <n v="2907.9385903932734"/>
    <n v="1852.7885903932747"/>
    <n v="0.22916204869495588"/>
    <s v="Paid"/>
    <x v="7"/>
    <x v="7"/>
    <x v="1"/>
  </r>
  <r>
    <x v="230"/>
    <s v="INV-00393"/>
    <x v="4"/>
    <x v="8"/>
    <x v="2"/>
    <s v="Abuja"/>
    <s v="Mary"/>
    <s v="Wholesale"/>
    <n v="25.491571373870269"/>
    <n v="6676.13"/>
    <n v="170185.04439623651"/>
    <n v="8330.0300000000007"/>
    <x v="931"/>
    <n v="83491.88"/>
    <n v="3427.5"/>
    <n v="9808.08"/>
    <n v="4772.99"/>
    <n v="1996.28"/>
    <n v="103496.73000000001"/>
    <n v="78363.134396236506"/>
    <n v="58358.2843962365"/>
    <n v="0.36055901396647405"/>
    <s v="Paid"/>
    <x v="7"/>
    <x v="7"/>
    <x v="1"/>
  </r>
  <r>
    <x v="230"/>
    <s v="INV-01279"/>
    <x v="11"/>
    <x v="2"/>
    <x v="2"/>
    <s v="Lagos"/>
    <s v="Fatima"/>
    <s v="Supermarket"/>
    <n v="69.468735610554646"/>
    <n v="4635.51"/>
    <n v="322023.01861008216"/>
    <n v="14343.14"/>
    <x v="932"/>
    <n v="210785.15"/>
    <n v="6041.45"/>
    <n v="18058.39"/>
    <n v="8348.0300000000007"/>
    <n v="4147.8100000000004"/>
    <n v="247380.83"/>
    <n v="96894.728610082151"/>
    <n v="60299.048610082158"/>
    <n v="0.19597982449316484"/>
    <s v="Paid"/>
    <x v="7"/>
    <x v="7"/>
    <x v="1"/>
  </r>
  <r>
    <x v="230"/>
    <s v="INV-00354"/>
    <x v="1"/>
    <x v="8"/>
    <x v="2"/>
    <s v="Lagos"/>
    <s v="Amina"/>
    <s v="Wholesale"/>
    <n v="68.282920886602199"/>
    <n v="6793.47"/>
    <n v="463877.97455550544"/>
    <n v="23354.43"/>
    <x v="933"/>
    <n v="221061.25"/>
    <n v="8644.58"/>
    <n v="23113.25"/>
    <n v="8363.51"/>
    <n v="7070.28"/>
    <n v="268252.87"/>
    <n v="219462.29455550545"/>
    <n v="172270.67455550545"/>
    <n v="0.39105894948096137"/>
    <s v="Paid"/>
    <x v="7"/>
    <x v="7"/>
    <x v="1"/>
  </r>
  <r>
    <x v="230"/>
    <s v="INV-00862"/>
    <x v="8"/>
    <x v="0"/>
    <x v="0"/>
    <s v="Port Harcourt"/>
    <s v="Fatima"/>
    <s v="Supermarket"/>
    <n v="72.912092868290557"/>
    <n v="1180.6400000000001"/>
    <n v="86082.933324018566"/>
    <n v="2988.58"/>
    <x v="934"/>
    <n v="47038.7"/>
    <n v="2389.85"/>
    <n v="4101.82"/>
    <n v="2427.9699999999998"/>
    <n v="1262.18"/>
    <n v="57220.52"/>
    <n v="36055.653324018567"/>
    <n v="25873.833324018568"/>
    <n v="0.31137896004949944"/>
    <s v="Paid"/>
    <x v="7"/>
    <x v="7"/>
    <x v="1"/>
  </r>
  <r>
    <x v="230"/>
    <s v="INV-00888"/>
    <x v="11"/>
    <x v="2"/>
    <x v="2"/>
    <s v="Lagos"/>
    <s v="Amina"/>
    <s v="Supermarket"/>
    <n v="82.394815228925111"/>
    <n v="4606"/>
    <n v="379510.51894442906"/>
    <n v="10125.48"/>
    <x v="935"/>
    <n v="229404.98"/>
    <n v="5868.48"/>
    <n v="18191.41"/>
    <n v="8389.8700000000008"/>
    <n v="4979.6400000000003"/>
    <n v="266834.38"/>
    <n v="139980.05894442907"/>
    <n v="102550.65894442907"/>
    <n v="0.27762537226056133"/>
    <s v="Paid"/>
    <x v="7"/>
    <x v="7"/>
    <x v="1"/>
  </r>
  <r>
    <x v="230"/>
    <s v="INV-00213"/>
    <x v="10"/>
    <x v="8"/>
    <x v="2"/>
    <s v="Lagos"/>
    <s v="Ibrahim"/>
    <s v="Distributor"/>
    <n v="24.206510312243221"/>
    <n v="7021.67"/>
    <n v="169970.12726416887"/>
    <n v="7719.14"/>
    <x v="936"/>
    <n v="82574.899999999994"/>
    <n v="2712.99"/>
    <n v="8739.11"/>
    <n v="3086.44"/>
    <n v="2397.66"/>
    <n v="99511.1"/>
    <n v="79676.087264168862"/>
    <n v="62739.88726416885"/>
    <n v="0.38668416335747119"/>
    <s v="Paid"/>
    <x v="7"/>
    <x v="7"/>
    <x v="1"/>
  </r>
  <r>
    <x v="231"/>
    <s v="INV-00839"/>
    <x v="6"/>
    <x v="9"/>
    <x v="4"/>
    <s v="Lagos"/>
    <s v="Daniel"/>
    <s v="Retail"/>
    <n v="32.095173015055032"/>
    <n v="2085.77"/>
    <n v="66943.14901961133"/>
    <n v="2306.87"/>
    <x v="937"/>
    <n v="40411.360000000001"/>
    <n v="1104.47"/>
    <n v="3655.14"/>
    <n v="1377.56"/>
    <n v="1376.02"/>
    <n v="47924.549999999996"/>
    <n v="24224.919019611327"/>
    <n v="16711.729019611332"/>
    <n v="0.25855029517619382"/>
    <s v="Paid"/>
    <x v="7"/>
    <x v="7"/>
    <x v="1"/>
  </r>
  <r>
    <x v="231"/>
    <s v="INV-00338"/>
    <x v="8"/>
    <x v="10"/>
    <x v="5"/>
    <s v="Lagos"/>
    <s v="Emeka"/>
    <s v="Distributor"/>
    <n v="37.755600521225389"/>
    <n v="7040.8"/>
    <n v="265829.63214984373"/>
    <n v="15800.47"/>
    <x v="938"/>
    <n v="133117.79999999999"/>
    <n v="3664.19"/>
    <n v="15234.07"/>
    <n v="7439.92"/>
    <n v="3707.93"/>
    <n v="163163.91"/>
    <n v="116911.36214984374"/>
    <n v="86865.252149843727"/>
    <n v="0.34742048248669866"/>
    <s v="Paid"/>
    <x v="7"/>
    <x v="7"/>
    <x v="1"/>
  </r>
  <r>
    <x v="231"/>
    <s v="INV-01336"/>
    <x v="11"/>
    <x v="9"/>
    <x v="4"/>
    <s v="Lagos"/>
    <s v="Samuel"/>
    <s v="Supermarket"/>
    <n v="82.160093941308119"/>
    <n v="1914.01"/>
    <n v="157255.24140460315"/>
    <n v="5651.85"/>
    <x v="939"/>
    <n v="95722.29"/>
    <n v="2866.64"/>
    <n v="8814.07"/>
    <n v="3005.78"/>
    <n v="3090.13"/>
    <n v="113498.91"/>
    <n v="55881.101404603149"/>
    <n v="38104.481404603139"/>
    <n v="0.25134319919604498"/>
    <s v="Pending"/>
    <x v="7"/>
    <x v="7"/>
    <x v="1"/>
  </r>
  <r>
    <x v="232"/>
    <s v="INV-01306"/>
    <x v="0"/>
    <x v="7"/>
    <x v="5"/>
    <s v="Abuja"/>
    <s v="Tunde"/>
    <s v="Retail"/>
    <n v="22.49884273016751"/>
    <n v="5642.07"/>
    <n v="126940.0456025962"/>
    <n v="5637.95"/>
    <x v="940"/>
    <n v="84191.62"/>
    <n v="3068.42"/>
    <n v="6409.67"/>
    <n v="3460.94"/>
    <n v="2512.13"/>
    <n v="99642.78"/>
    <n v="37110.475602596212"/>
    <n v="21659.315602596209"/>
    <n v="0.1785568130129867"/>
    <s v="Paid"/>
    <x v="7"/>
    <x v="7"/>
    <x v="1"/>
  </r>
  <r>
    <x v="232"/>
    <s v="INV-00606"/>
    <x v="0"/>
    <x v="8"/>
    <x v="2"/>
    <s v="Lagos"/>
    <s v="Emeka"/>
    <s v="Wholesale"/>
    <n v="19.028400839227668"/>
    <n v="6624.19"/>
    <n v="126047.74255520351"/>
    <n v="5322.11"/>
    <x v="941"/>
    <n v="64068.3"/>
    <n v="2567.7800000000002"/>
    <n v="7356.17"/>
    <n v="3832.69"/>
    <n v="1947.16"/>
    <n v="79772.100000000006"/>
    <n v="56657.332555203509"/>
    <n v="40953.532555203506"/>
    <n v="0.33922814640442595"/>
    <s v="Pending"/>
    <x v="7"/>
    <x v="7"/>
    <x v="1"/>
  </r>
  <r>
    <x v="232"/>
    <s v="INV-01370"/>
    <x v="0"/>
    <x v="4"/>
    <x v="4"/>
    <s v="Lagos"/>
    <s v="Amina"/>
    <s v="Retail"/>
    <n v="51.60285439785816"/>
    <n v="3189.66"/>
    <n v="164595.56055867224"/>
    <n v="5528.85"/>
    <x v="942"/>
    <n v="80056.639999999999"/>
    <n v="2993.86"/>
    <n v="8546.27"/>
    <n v="4964.55"/>
    <n v="2467.65"/>
    <n v="99028.97"/>
    <n v="79010.070558672232"/>
    <n v="60037.740558672231"/>
    <n v="0.37743749366418894"/>
    <s v="Paid"/>
    <x v="7"/>
    <x v="7"/>
    <x v="1"/>
  </r>
  <r>
    <x v="233"/>
    <s v="INV-00684"/>
    <x v="8"/>
    <x v="7"/>
    <x v="5"/>
    <s v="Port Harcourt"/>
    <s v="Mary"/>
    <s v="Supermarket"/>
    <n v="57.079665539801027"/>
    <n v="5627.57"/>
    <n v="321219.81340181804"/>
    <n v="14522.4"/>
    <x v="943"/>
    <n v="212804.34"/>
    <n v="7989.64"/>
    <n v="18890.91"/>
    <n v="7815.13"/>
    <n v="4221.74"/>
    <n v="251721.76"/>
    <n v="93893.073401818023"/>
    <n v="54975.65340181801"/>
    <n v="0.17925046315859189"/>
    <s v="Paid"/>
    <x v="7"/>
    <x v="7"/>
    <x v="1"/>
  </r>
  <r>
    <x v="233"/>
    <s v="INV-00693"/>
    <x v="1"/>
    <x v="3"/>
    <x v="3"/>
    <s v="Lagos"/>
    <s v="Ibrahim"/>
    <s v="Wholesale"/>
    <n v="56.595964471620711"/>
    <n v="925.19"/>
    <n v="52362.020369498772"/>
    <n v="1729.25"/>
    <x v="944"/>
    <n v="31038.75"/>
    <n v="893.68"/>
    <n v="2873.26"/>
    <n v="1555.44"/>
    <n v="770.08"/>
    <n v="37131.210000000006"/>
    <n v="19594.020369498772"/>
    <n v="13501.560369498766"/>
    <n v="0.2666565599900913"/>
    <s v="Pending"/>
    <x v="7"/>
    <x v="7"/>
    <x v="1"/>
  </r>
  <r>
    <x v="233"/>
    <s v="INV-00463"/>
    <x v="8"/>
    <x v="2"/>
    <x v="2"/>
    <s v="Port Harcourt"/>
    <s v="Mary"/>
    <s v="Supermarket"/>
    <n v="83.25265671034937"/>
    <n v="4501.22"/>
    <n v="374738.52343775879"/>
    <n v="13037.9"/>
    <x v="945"/>
    <n v="237473.22"/>
    <n v="10484.959999999999"/>
    <n v="20675.91"/>
    <n v="10450.92"/>
    <n v="5866.24"/>
    <n v="284951.24999999994"/>
    <n v="124227.40343775877"/>
    <n v="76749.373437758826"/>
    <n v="0.21219032665274301"/>
    <s v="Pending"/>
    <x v="7"/>
    <x v="7"/>
    <x v="1"/>
  </r>
  <r>
    <x v="234"/>
    <s v="INV-00134"/>
    <x v="4"/>
    <x v="1"/>
    <x v="1"/>
    <s v="Lagos"/>
    <s v="Tunde"/>
    <s v="Wholesale"/>
    <n v="68.195599878208412"/>
    <n v="4588.96"/>
    <n v="312946.88001710328"/>
    <n v="15928.88"/>
    <x v="946"/>
    <n v="195018.41"/>
    <n v="4498.97"/>
    <n v="17570.05"/>
    <n v="9030.3700000000008"/>
    <n v="3580.22"/>
    <n v="229698.02"/>
    <n v="101999.59001710327"/>
    <n v="67319.980017103284"/>
    <n v="0.22665286283399247"/>
    <s v="Paid"/>
    <x v="7"/>
    <x v="7"/>
    <x v="1"/>
  </r>
  <r>
    <x v="234"/>
    <s v="INV-00701"/>
    <x v="10"/>
    <x v="4"/>
    <x v="4"/>
    <s v="Abuja"/>
    <s v="Emeka"/>
    <s v="Supermarket"/>
    <n v="66.47536310577911"/>
    <n v="3369.45"/>
    <n v="223985.41221676741"/>
    <n v="9156.35"/>
    <x v="947"/>
    <n v="103854.99"/>
    <n v="5968.12"/>
    <n v="13002.61"/>
    <n v="3927.75"/>
    <n v="3466.82"/>
    <n v="130220.29000000001"/>
    <n v="110974.0722167674"/>
    <n v="84608.772216767393"/>
    <n v="0.39384230114729646"/>
    <s v="Paid"/>
    <x v="7"/>
    <x v="7"/>
    <x v="1"/>
  </r>
  <r>
    <x v="234"/>
    <s v="INV-00571"/>
    <x v="3"/>
    <x v="5"/>
    <x v="3"/>
    <s v="Ibadan"/>
    <s v="Fatima"/>
    <s v="Wholesale"/>
    <n v="55.786378905729627"/>
    <n v="1493.97"/>
    <n v="83343.176493792897"/>
    <n v="2796.91"/>
    <x v="948"/>
    <n v="40145.879999999997"/>
    <n v="1713.03"/>
    <n v="4038.84"/>
    <n v="1678.17"/>
    <n v="1770.45"/>
    <n v="49346.369999999995"/>
    <n v="40400.386493792896"/>
    <n v="31199.896493792898"/>
    <n v="0.38735372664600465"/>
    <s v="Paid"/>
    <x v="7"/>
    <x v="7"/>
    <x v="1"/>
  </r>
  <r>
    <x v="234"/>
    <s v="INV-00023"/>
    <x v="7"/>
    <x v="11"/>
    <x v="1"/>
    <s v="Ibadan"/>
    <s v="Daniel"/>
    <s v="Wholesale"/>
    <n v="51.562424820268852"/>
    <n v="6579.01"/>
    <n v="339229.70851679699"/>
    <n v="11828.47"/>
    <x v="949"/>
    <n v="175650.32"/>
    <n v="6315.02"/>
    <n v="16012.06"/>
    <n v="8306.18"/>
    <n v="5865.77"/>
    <n v="212149.34999999998"/>
    <n v="151750.91851679701"/>
    <n v="115251.88851679704"/>
    <n v="0.35202031928441879"/>
    <s v="Paid"/>
    <x v="7"/>
    <x v="7"/>
    <x v="1"/>
  </r>
  <r>
    <x v="234"/>
    <s v="INV-00336"/>
    <x v="8"/>
    <x v="5"/>
    <x v="3"/>
    <s v="Lagos"/>
    <s v="Daniel"/>
    <s v="Supermarket"/>
    <n v="52.508272287207298"/>
    <n v="1579"/>
    <n v="82910.561941500317"/>
    <n v="3673.83"/>
    <x v="950"/>
    <n v="39271.14"/>
    <n v="1404.78"/>
    <n v="4113.05"/>
    <n v="1524.49"/>
    <n v="1272.6400000000001"/>
    <n v="47586.1"/>
    <n v="39965.591941500315"/>
    <n v="31650.631941500316"/>
    <n v="0.39944393422065488"/>
    <s v="Paid"/>
    <x v="7"/>
    <x v="7"/>
    <x v="1"/>
  </r>
  <r>
    <x v="235"/>
    <s v="INV-01392"/>
    <x v="4"/>
    <x v="8"/>
    <x v="2"/>
    <s v="Lagos"/>
    <s v="Mary"/>
    <s v="Wholesale"/>
    <n v="60.072423021612821"/>
    <n v="6680.98"/>
    <n v="401342.65675893478"/>
    <n v="16821.259999999998"/>
    <x v="951"/>
    <n v="191707.77"/>
    <n v="6222.74"/>
    <n v="19601.89"/>
    <n v="11680.37"/>
    <n v="6333.5"/>
    <n v="235546.26999999996"/>
    <n v="192813.62675893478"/>
    <n v="148975.12675893481"/>
    <n v="0.38743000523409288"/>
    <s v="Paid"/>
    <x v="8"/>
    <x v="8"/>
    <x v="1"/>
  </r>
  <r>
    <x v="235"/>
    <s v="INV-01110"/>
    <x v="11"/>
    <x v="5"/>
    <x v="3"/>
    <s v="Lagos"/>
    <s v="Tunde"/>
    <s v="Supermarket"/>
    <n v="25.15425808312202"/>
    <n v="1587.35"/>
    <n v="39928.611568243738"/>
    <n v="1082.54"/>
    <x v="952"/>
    <n v="18532.96"/>
    <n v="688.88"/>
    <n v="2308.4"/>
    <n v="849.16"/>
    <n v="560.25"/>
    <n v="22939.65"/>
    <n v="20313.111568243738"/>
    <n v="15906.421568243735"/>
    <n v="0.40947310567298317"/>
    <s v="Paid"/>
    <x v="8"/>
    <x v="8"/>
    <x v="1"/>
  </r>
  <r>
    <x v="235"/>
    <s v="INV-01159"/>
    <x v="6"/>
    <x v="6"/>
    <x v="0"/>
    <s v="Lagos"/>
    <s v="Samuel"/>
    <s v="Retail"/>
    <n v="118.0505117188753"/>
    <n v="406.58"/>
    <n v="47996.977054660318"/>
    <n v="1423.36"/>
    <x v="953"/>
    <n v="34918.79"/>
    <n v="857.99"/>
    <n v="2624.83"/>
    <n v="1261.97"/>
    <n v="813.15"/>
    <n v="40476.730000000003"/>
    <n v="11654.827054660316"/>
    <n v="6096.8870546603139"/>
    <n v="0.13090860105421506"/>
    <s v="Paid"/>
    <x v="8"/>
    <x v="8"/>
    <x v="1"/>
  </r>
  <r>
    <x v="236"/>
    <s v="INV-00372"/>
    <x v="0"/>
    <x v="5"/>
    <x v="3"/>
    <s v="Ibadan"/>
    <s v="Emeka"/>
    <s v="Supermarket"/>
    <n v="42.368507813111798"/>
    <n v="1623.32"/>
    <n v="68777.646103180639"/>
    <n v="1720.67"/>
    <x v="954"/>
    <n v="31495.53"/>
    <n v="1309.6600000000001"/>
    <n v="3412.54"/>
    <n v="1413.51"/>
    <n v="1199.5"/>
    <n v="38830.740000000005"/>
    <n v="35561.446103180642"/>
    <n v="28226.236103180636"/>
    <n v="0.42092915224433763"/>
    <s v="Paid"/>
    <x v="8"/>
    <x v="8"/>
    <x v="1"/>
  </r>
  <r>
    <x v="236"/>
    <s v="INV-00347"/>
    <x v="6"/>
    <x v="0"/>
    <x v="0"/>
    <s v="Lagos"/>
    <s v="Fatima"/>
    <s v="Retail"/>
    <n v="96.627794798945516"/>
    <n v="1222.82"/>
    <n v="118158.40003604654"/>
    <n v="3824.24"/>
    <x v="955"/>
    <n v="57219.49"/>
    <n v="1732.04"/>
    <n v="6682.8"/>
    <n v="3588.23"/>
    <n v="2279.3200000000002"/>
    <n v="71501.88"/>
    <n v="57114.67003604654"/>
    <n v="42832.280036046533"/>
    <n v="0.37462364723318603"/>
    <s v="Paid"/>
    <x v="8"/>
    <x v="8"/>
    <x v="1"/>
  </r>
  <r>
    <x v="236"/>
    <s v="INV-00698"/>
    <x v="4"/>
    <x v="2"/>
    <x v="2"/>
    <s v="Lagos"/>
    <s v="Fatima"/>
    <s v="Distributor"/>
    <n v="31.372927028034962"/>
    <n v="4809.45"/>
    <n v="150886.52389498273"/>
    <n v="6304.67"/>
    <x v="956"/>
    <n v="92582.43"/>
    <n v="3015.3"/>
    <n v="8539.7999999999993"/>
    <n v="3851.71"/>
    <n v="2341.89"/>
    <n v="110331.13"/>
    <n v="51999.423894982727"/>
    <n v="34250.723894982715"/>
    <n v="0.23689503884671992"/>
    <s v="Paid"/>
    <x v="8"/>
    <x v="8"/>
    <x v="1"/>
  </r>
  <r>
    <x v="236"/>
    <s v="INV-00588"/>
    <x v="5"/>
    <x v="3"/>
    <x v="3"/>
    <s v="Lagos"/>
    <s v="Emeka"/>
    <s v="Supermarket"/>
    <n v="61.157656151725071"/>
    <n v="875.24"/>
    <n v="53527.626970235855"/>
    <n v="2036.35"/>
    <x v="957"/>
    <n v="30664.67"/>
    <n v="755.21"/>
    <n v="2491.33"/>
    <n v="1195.72"/>
    <n v="1125.3699999999999"/>
    <n v="36232.300000000003"/>
    <n v="20826.606970235858"/>
    <n v="15258.976970235854"/>
    <n v="0.29634100896460946"/>
    <s v="Paid"/>
    <x v="8"/>
    <x v="8"/>
    <x v="1"/>
  </r>
  <r>
    <x v="236"/>
    <s v="INV-00058"/>
    <x v="5"/>
    <x v="3"/>
    <x v="3"/>
    <s v="Lagos"/>
    <s v="Tunde"/>
    <s v="Wholesale"/>
    <n v="39.25917396860752"/>
    <n v="881.2"/>
    <n v="34595.184101136947"/>
    <n v="1406.41"/>
    <x v="958"/>
    <n v="19911.97"/>
    <n v="593.13"/>
    <n v="1680.28"/>
    <n v="673.76"/>
    <n v="623.96"/>
    <n v="23483.1"/>
    <n v="13276.804101136942"/>
    <n v="9705.674101136945"/>
    <n v="0.29243846342623603"/>
    <s v="Pending"/>
    <x v="8"/>
    <x v="8"/>
    <x v="1"/>
  </r>
  <r>
    <x v="236"/>
    <s v="INV-00125"/>
    <x v="3"/>
    <x v="11"/>
    <x v="1"/>
    <s v="Ibadan"/>
    <s v="Ibrahim"/>
    <s v="Retail"/>
    <n v="35.433585072893862"/>
    <n v="6704.63"/>
    <n v="237569.07748727637"/>
    <n v="6716.9"/>
    <x v="959"/>
    <n v="122081.02"/>
    <n v="4081.39"/>
    <n v="13597.91"/>
    <n v="4585.92"/>
    <n v="4583.32"/>
    <n v="148929.56000000003"/>
    <n v="108771.15748727637"/>
    <n v="81922.617487276351"/>
    <n v="0.35487045597302885"/>
    <s v="Paid"/>
    <x v="8"/>
    <x v="8"/>
    <x v="1"/>
  </r>
  <r>
    <x v="236"/>
    <s v="INV-01242"/>
    <x v="1"/>
    <x v="9"/>
    <x v="4"/>
    <s v="Lagos"/>
    <s v="Emeka"/>
    <s v="Supermarket"/>
    <n v="93.889670048883119"/>
    <n v="2102.7600000000002"/>
    <n v="197427.4425919895"/>
    <n v="6089.66"/>
    <x v="960"/>
    <n v="124375.46"/>
    <n v="3268.7"/>
    <n v="11544.21"/>
    <n v="3748.56"/>
    <n v="3989.45"/>
    <n v="146926.38"/>
    <n v="66962.32259198949"/>
    <n v="44411.402591989492"/>
    <n v="0.23210994708082716"/>
    <s v="Paid"/>
    <x v="8"/>
    <x v="8"/>
    <x v="1"/>
  </r>
  <r>
    <x v="237"/>
    <s v="INV-00569"/>
    <x v="10"/>
    <x v="6"/>
    <x v="0"/>
    <s v="Abuja"/>
    <s v="Amina"/>
    <s v="Wholesale"/>
    <n v="109.6217200894895"/>
    <n v="388.85"/>
    <n v="42626.405856797996"/>
    <n v="1681.48"/>
    <x v="961"/>
    <n v="27636.58"/>
    <n v="972.55"/>
    <n v="2417.62"/>
    <n v="1308.73"/>
    <n v="872.78"/>
    <n v="33208.26"/>
    <n v="13308.345856797991"/>
    <n v="7736.6658567979903"/>
    <n v="0.18895298244906919"/>
    <s v="Paid"/>
    <x v="8"/>
    <x v="8"/>
    <x v="1"/>
  </r>
  <r>
    <x v="237"/>
    <s v="INV-00555"/>
    <x v="4"/>
    <x v="5"/>
    <x v="3"/>
    <s v="Lagos"/>
    <s v="Daniel"/>
    <s v="Retail"/>
    <n v="41.798299022059659"/>
    <n v="1625.47"/>
    <n v="67941.881111387309"/>
    <n v="2438.63"/>
    <x v="962"/>
    <n v="32904.07"/>
    <n v="1176.1099999999999"/>
    <n v="3396.06"/>
    <n v="1539.91"/>
    <n v="795.14"/>
    <n v="39811.29"/>
    <n v="32599.181111387312"/>
    <n v="25691.961111387311"/>
    <n v="0.39222421292797377"/>
    <s v="Paid"/>
    <x v="8"/>
    <x v="8"/>
    <x v="1"/>
  </r>
  <r>
    <x v="237"/>
    <s v="INV-00700"/>
    <x v="11"/>
    <x v="6"/>
    <x v="0"/>
    <s v="Ibadan"/>
    <s v="Amina"/>
    <s v="Supermarket"/>
    <n v="77.219822649727917"/>
    <n v="401.34"/>
    <n v="30991.4036222418"/>
    <n v="1506.27"/>
    <x v="963"/>
    <n v="20200.400000000001"/>
    <n v="634.62"/>
    <n v="1816.76"/>
    <n v="898.16"/>
    <n v="449.25"/>
    <n v="23999.19"/>
    <n v="9284.733622241798"/>
    <n v="5485.9436222418008"/>
    <n v="0.18605795356150387"/>
    <s v="Paid"/>
    <x v="8"/>
    <x v="8"/>
    <x v="1"/>
  </r>
  <r>
    <x v="237"/>
    <s v="INV-01381"/>
    <x v="10"/>
    <x v="2"/>
    <x v="2"/>
    <s v="Lagos"/>
    <s v="Ibrahim"/>
    <s v="Wholesale"/>
    <n v="73.504310825071883"/>
    <n v="4681.8599999999997"/>
    <n v="344136.892679471"/>
    <n v="14774.8"/>
    <x v="964"/>
    <n v="221231.01"/>
    <n v="6974.81"/>
    <n v="19432.79"/>
    <n v="10491.79"/>
    <n v="4465.29"/>
    <n v="262595.69"/>
    <n v="108131.082679471"/>
    <n v="66766.402679471008"/>
    <n v="0.20271428972382324"/>
    <s v="Paid"/>
    <x v="8"/>
    <x v="8"/>
    <x v="1"/>
  </r>
  <r>
    <x v="237"/>
    <s v="INV-01424"/>
    <x v="7"/>
    <x v="2"/>
    <x v="2"/>
    <s v="Port Harcourt"/>
    <s v="Emeka"/>
    <s v="Supermarket"/>
    <n v="66.615072076774382"/>
    <n v="4820.51"/>
    <n v="321118.62109681166"/>
    <n v="9549.99"/>
    <x v="965"/>
    <n v="194022.13"/>
    <n v="8629.8799999999992"/>
    <n v="19228.91"/>
    <n v="8652.43"/>
    <n v="5853.56"/>
    <n v="236386.91"/>
    <n v="117546.50109681167"/>
    <n v="75181.721096811671"/>
    <n v="0.24130067533483801"/>
    <s v="Paid"/>
    <x v="8"/>
    <x v="8"/>
    <x v="1"/>
  </r>
  <r>
    <x v="237"/>
    <s v="INV-01334"/>
    <x v="3"/>
    <x v="5"/>
    <x v="3"/>
    <s v="Lagos"/>
    <s v="Samuel"/>
    <s v="Supermarket"/>
    <n v="37.94047707827626"/>
    <n v="1612.44"/>
    <n v="61176.742860095772"/>
    <n v="2138.5300000000002"/>
    <x v="966"/>
    <n v="28110.35"/>
    <n v="1120.26"/>
    <n v="3048.04"/>
    <n v="1531.01"/>
    <n v="1267.22"/>
    <n v="35076.879999999997"/>
    <n v="30927.862860095775"/>
    <n v="23961.332860095776"/>
    <n v="0.40586141922821245"/>
    <s v="Paid"/>
    <x v="8"/>
    <x v="8"/>
    <x v="1"/>
  </r>
  <r>
    <x v="237"/>
    <s v="INV-00705"/>
    <x v="11"/>
    <x v="8"/>
    <x v="2"/>
    <s v="Lagos"/>
    <s v="Samuel"/>
    <s v="Wholesale"/>
    <n v="37.958578395181597"/>
    <n v="6794.51"/>
    <n v="257909.94049184531"/>
    <n v="12656.62"/>
    <x v="967"/>
    <n v="118983.93"/>
    <n v="4084.46"/>
    <n v="14716.62"/>
    <n v="5417.93"/>
    <n v="5285.03"/>
    <n v="148487.97"/>
    <n v="126269.39049184532"/>
    <n v="96765.350491845311"/>
    <n v="0.39455266211191936"/>
    <s v="Paid"/>
    <x v="8"/>
    <x v="8"/>
    <x v="1"/>
  </r>
  <r>
    <x v="237"/>
    <s v="INV-00020"/>
    <x v="1"/>
    <x v="3"/>
    <x v="3"/>
    <s v="Port Harcourt"/>
    <s v="Samuel"/>
    <s v="Supermarket"/>
    <n v="88.895700045795422"/>
    <n v="916.83"/>
    <n v="81502.244672986621"/>
    <n v="4037.39"/>
    <x v="968"/>
    <n v="46823.34"/>
    <n v="2290.21"/>
    <n v="4533.91"/>
    <n v="1422.08"/>
    <n v="1547.39"/>
    <n v="56616.929999999993"/>
    <n v="30641.514672986625"/>
    <n v="20847.924672986628"/>
    <n v="0.26912752577920568"/>
    <s v="Paid"/>
    <x v="8"/>
    <x v="8"/>
    <x v="1"/>
  </r>
  <r>
    <x v="238"/>
    <s v="INV-01211"/>
    <x v="10"/>
    <x v="0"/>
    <x v="0"/>
    <s v="Lagos"/>
    <s v="Samuel"/>
    <s v="Distributor"/>
    <n v="85.402683133061885"/>
    <n v="1238.8399999999999"/>
    <n v="105800.25997256237"/>
    <n v="5153.87"/>
    <x v="969"/>
    <n v="55549.32"/>
    <n v="1995.98"/>
    <n v="5182.08"/>
    <n v="2924.48"/>
    <n v="1368.45"/>
    <n v="67020.31"/>
    <n v="45097.069972562378"/>
    <n v="33626.07997256238"/>
    <n v="0.33410120305089258"/>
    <s v="Pending"/>
    <x v="8"/>
    <x v="8"/>
    <x v="1"/>
  </r>
  <r>
    <x v="238"/>
    <s v="INV-01071"/>
    <x v="3"/>
    <x v="6"/>
    <x v="0"/>
    <s v="Ibadan"/>
    <s v="Daniel"/>
    <s v="Retail"/>
    <n v="63.701015459282942"/>
    <n v="395.1"/>
    <n v="25168.271207962691"/>
    <n v="737.87"/>
    <x v="970"/>
    <n v="17735.91"/>
    <n v="559.52"/>
    <n v="1396.55"/>
    <n v="732.79"/>
    <n v="361.02"/>
    <n v="20785.79"/>
    <n v="6694.491207962692"/>
    <n v="3644.611207962691"/>
    <n v="0.1491834365280415"/>
    <s v="Paid"/>
    <x v="8"/>
    <x v="8"/>
    <x v="1"/>
  </r>
  <r>
    <x v="238"/>
    <s v="INV-00943"/>
    <x v="2"/>
    <x v="1"/>
    <x v="1"/>
    <s v="Lagos"/>
    <s v="Daniel"/>
    <s v="Distributor"/>
    <n v="79.343183821170285"/>
    <n v="4544.93"/>
    <n v="360609.21644435148"/>
    <n v="14006.48"/>
    <x v="971"/>
    <n v="221740"/>
    <n v="5801.95"/>
    <n v="20979.72"/>
    <n v="7630.43"/>
    <n v="7121.66"/>
    <n v="263273.76"/>
    <n v="124862.7364443515"/>
    <n v="83328.976444351487"/>
    <n v="0.2404163836073184"/>
    <s v="Paid"/>
    <x v="8"/>
    <x v="8"/>
    <x v="1"/>
  </r>
  <r>
    <x v="238"/>
    <s v="INV-00845"/>
    <x v="5"/>
    <x v="7"/>
    <x v="5"/>
    <s v="Ibadan"/>
    <s v="Samuel"/>
    <s v="Wholesale"/>
    <n v="45.459292068352838"/>
    <n v="5694.65"/>
    <n v="258874.75757704547"/>
    <n v="9558.0499999999993"/>
    <x v="972"/>
    <n v="173644.76"/>
    <n v="4230.49"/>
    <n v="14496.68"/>
    <n v="7971.27"/>
    <n v="4127.6099999999997"/>
    <n v="204470.80999999997"/>
    <n v="75671.947577045474"/>
    <n v="44845.897577045514"/>
    <n v="0.17987521980726839"/>
    <s v="Paid"/>
    <x v="8"/>
    <x v="8"/>
    <x v="1"/>
  </r>
  <r>
    <x v="238"/>
    <s v="INV-00547"/>
    <x v="5"/>
    <x v="2"/>
    <x v="2"/>
    <s v="Port Harcourt"/>
    <s v="Fatima"/>
    <s v="Wholesale"/>
    <n v="38.757412293126393"/>
    <n v="4645.3900000000003"/>
    <n v="180043.29549236642"/>
    <n v="8044.63"/>
    <x v="973"/>
    <n v="115551.59"/>
    <n v="5260.42"/>
    <n v="10478.66"/>
    <n v="3207.39"/>
    <n v="2543.79"/>
    <n v="137041.85"/>
    <n v="56447.075492366421"/>
    <n v="34956.815492366411"/>
    <n v="0.20323887625696638"/>
    <s v="Paid"/>
    <x v="8"/>
    <x v="8"/>
    <x v="1"/>
  </r>
  <r>
    <x v="238"/>
    <s v="INV-00812"/>
    <x v="1"/>
    <x v="5"/>
    <x v="3"/>
    <s v="Lagos"/>
    <s v="Mary"/>
    <s v="Supermarket"/>
    <n v="43.948567527545258"/>
    <n v="1535.05"/>
    <n v="67463.248583158347"/>
    <n v="3251.25"/>
    <x v="974"/>
    <n v="33326.980000000003"/>
    <n v="999.98"/>
    <n v="3509.99"/>
    <n v="1802.41"/>
    <n v="1058.1300000000001"/>
    <n v="40697.490000000005"/>
    <n v="30885.018583158344"/>
    <n v="23514.508583158342"/>
    <n v="0.36620116336521841"/>
    <s v="Paid"/>
    <x v="8"/>
    <x v="8"/>
    <x v="1"/>
  </r>
  <r>
    <x v="238"/>
    <s v="INV-00361"/>
    <x v="10"/>
    <x v="9"/>
    <x v="4"/>
    <s v="Lagos"/>
    <s v="Ibrahim"/>
    <s v="Retail"/>
    <n v="56.066182147668258"/>
    <n v="2074.59"/>
    <n v="116314.34082173109"/>
    <n v="4438.3"/>
    <x v="975"/>
    <n v="74530.58"/>
    <n v="2067.7399999999998"/>
    <n v="5752.42"/>
    <n v="2563.7800000000002"/>
    <n v="1748.28"/>
    <n v="86662.8"/>
    <n v="37345.460821731089"/>
    <n v="25213.240821731088"/>
    <n v="0.22536765366864506"/>
    <s v="Paid"/>
    <x v="8"/>
    <x v="8"/>
    <x v="1"/>
  </r>
  <r>
    <x v="239"/>
    <s v="INV-01383"/>
    <x v="7"/>
    <x v="10"/>
    <x v="5"/>
    <s v="Lagos"/>
    <s v="Mary"/>
    <s v="Wholesale"/>
    <n v="50.634117726059102"/>
    <n v="7445.1"/>
    <n v="376976.06988228264"/>
    <n v="19275.04"/>
    <x v="976"/>
    <n v="187079.69"/>
    <n v="6965"/>
    <n v="19512.63"/>
    <n v="7190.77"/>
    <n v="5244.11"/>
    <n v="225992.19999999998"/>
    <n v="170621.33988228266"/>
    <n v="131708.82988228268"/>
    <n v="0.36820925543778077"/>
    <s v="Paid"/>
    <x v="8"/>
    <x v="8"/>
    <x v="1"/>
  </r>
  <r>
    <x v="239"/>
    <s v="INV-00352"/>
    <x v="3"/>
    <x v="10"/>
    <x v="5"/>
    <s v="Ibadan"/>
    <s v="Ibrahim"/>
    <s v="Wholesale"/>
    <n v="43.227064744877708"/>
    <n v="7036.07"/>
    <n v="304148.6534394917"/>
    <n v="14597.9"/>
    <x v="977"/>
    <n v="166643.38"/>
    <n v="6090.24"/>
    <n v="15662.24"/>
    <n v="7969.17"/>
    <n v="4625.54"/>
    <n v="200990.57"/>
    <n v="122907.37343949167"/>
    <n v="88560.183439491666"/>
    <n v="0.30585374891106393"/>
    <s v="Paid"/>
    <x v="8"/>
    <x v="8"/>
    <x v="1"/>
  </r>
  <r>
    <x v="239"/>
    <s v="INV-00112"/>
    <x v="5"/>
    <x v="0"/>
    <x v="0"/>
    <s v="Abuja"/>
    <s v="Tunde"/>
    <s v="Wholesale"/>
    <n v="112.2657701579093"/>
    <n v="1286.05"/>
    <n v="144379.39371157927"/>
    <n v="6144.25"/>
    <x v="978"/>
    <n v="74769.78"/>
    <n v="2877.16"/>
    <n v="7934.38"/>
    <n v="3616.08"/>
    <n v="1808.67"/>
    <n v="91006.07"/>
    <n v="63465.363711579266"/>
    <n v="47229.073711579258"/>
    <n v="0.34165750071573958"/>
    <s v="Paid"/>
    <x v="8"/>
    <x v="8"/>
    <x v="1"/>
  </r>
  <r>
    <x v="239"/>
    <s v="INV-00004"/>
    <x v="9"/>
    <x v="1"/>
    <x v="1"/>
    <s v="Lagos"/>
    <s v="Ibrahim"/>
    <s v="Supermarket"/>
    <n v="51.549980606435867"/>
    <n v="4559.7"/>
    <n v="235052.44657116561"/>
    <n v="11156.94"/>
    <x v="979"/>
    <n v="155463.97"/>
    <n v="4043.12"/>
    <n v="13841.04"/>
    <n v="5155.6899999999996"/>
    <n v="2817.86"/>
    <n v="181321.68"/>
    <n v="68431.536571165605"/>
    <n v="42573.826571165613"/>
    <n v="0.19015042875652102"/>
    <s v="Paid"/>
    <x v="8"/>
    <x v="8"/>
    <x v="1"/>
  </r>
  <r>
    <x v="239"/>
    <s v="INV-00153"/>
    <x v="3"/>
    <x v="0"/>
    <x v="0"/>
    <s v="Lagos"/>
    <s v="Samuel"/>
    <s v="Supermarket"/>
    <n v="50.24588739637597"/>
    <n v="1194.7"/>
    <n v="60028.761672450375"/>
    <n v="2156.1999999999998"/>
    <x v="980"/>
    <n v="31854.799999999999"/>
    <n v="991.23"/>
    <n v="2979.52"/>
    <n v="1604.3"/>
    <n v="819.88"/>
    <n v="38249.729999999996"/>
    <n v="26017.761672450379"/>
    <n v="19622.831672450382"/>
    <n v="0.33906969218871857"/>
    <s v="Pending"/>
    <x v="8"/>
    <x v="8"/>
    <x v="1"/>
  </r>
  <r>
    <x v="240"/>
    <s v="INV-00276"/>
    <x v="4"/>
    <x v="10"/>
    <x v="5"/>
    <s v="Abuja"/>
    <s v="Mary"/>
    <s v="Retail"/>
    <n v="46.441588628777758"/>
    <n v="7545.95"/>
    <n v="350445.90571332554"/>
    <n v="13964.44"/>
    <x v="981"/>
    <n v="185326.69"/>
    <n v="8561.6"/>
    <n v="17731.71"/>
    <n v="9739.52"/>
    <n v="5962.25"/>
    <n v="227321.77"/>
    <n v="151154.77571332554"/>
    <n v="109159.69571332555"/>
    <n v="0.32441518132926556"/>
    <s v="Paid"/>
    <x v="8"/>
    <x v="8"/>
    <x v="1"/>
  </r>
  <r>
    <x v="240"/>
    <s v="INV-01351"/>
    <x v="0"/>
    <x v="11"/>
    <x v="1"/>
    <s v="Lagos"/>
    <s v="Daniel"/>
    <s v="Distributor"/>
    <n v="43.87369895162329"/>
    <n v="7040.23"/>
    <n v="308880.9315701868"/>
    <n v="17208.490000000002"/>
    <x v="982"/>
    <n v="155570.01999999999"/>
    <n v="5928.22"/>
    <n v="15954.47"/>
    <n v="7033.41"/>
    <n v="3969.81"/>
    <n v="188455.93"/>
    <n v="136102.42157018682"/>
    <n v="103216.51157018682"/>
    <n v="0.35387817585553155"/>
    <s v="Pending"/>
    <x v="8"/>
    <x v="8"/>
    <x v="1"/>
  </r>
  <r>
    <x v="241"/>
    <s v="INV-00952"/>
    <x v="0"/>
    <x v="8"/>
    <x v="2"/>
    <s v="Abuja"/>
    <s v="Ibrahim"/>
    <s v="Wholesale"/>
    <n v="31.587465057931411"/>
    <n v="6801.64"/>
    <n v="214846.56583662861"/>
    <n v="8427.8799999999992"/>
    <x v="983"/>
    <n v="105248.72"/>
    <n v="5958.84"/>
    <n v="11432.09"/>
    <n v="5820.01"/>
    <n v="3204.33"/>
    <n v="131663.99"/>
    <n v="101169.9658366286"/>
    <n v="74754.695836628613"/>
    <n v="0.36215081756597217"/>
    <s v="Paid"/>
    <x v="8"/>
    <x v="8"/>
    <x v="1"/>
  </r>
  <r>
    <x v="241"/>
    <s v="INV-00226"/>
    <x v="6"/>
    <x v="4"/>
    <x v="4"/>
    <s v="Port Harcourt"/>
    <s v="Emeka"/>
    <s v="Wholesale"/>
    <n v="58.424152279033741"/>
    <n v="3392.41"/>
    <n v="198198.67843291684"/>
    <n v="6699.78"/>
    <x v="984"/>
    <n v="95686.88"/>
    <n v="6400.22"/>
    <n v="10486.68"/>
    <n v="4134.8599999999997"/>
    <n v="3429.16"/>
    <n v="120137.8"/>
    <n v="95812.018432916841"/>
    <n v="71361.098432916842"/>
    <n v="0.37264495522889413"/>
    <s v="Paid"/>
    <x v="8"/>
    <x v="8"/>
    <x v="1"/>
  </r>
  <r>
    <x v="241"/>
    <s v="INV-01076"/>
    <x v="1"/>
    <x v="7"/>
    <x v="5"/>
    <s v="Lagos"/>
    <s v="Samuel"/>
    <s v="Retail"/>
    <n v="62.334368084932329"/>
    <n v="5885.21"/>
    <n v="366850.84639712458"/>
    <n v="14484.13"/>
    <x v="985"/>
    <n v="241815.97"/>
    <n v="6398.74"/>
    <n v="20027.830000000002"/>
    <n v="10074.59"/>
    <n v="7470.64"/>
    <n v="285787.77"/>
    <n v="110550.74639712457"/>
    <n v="66578.946397124557"/>
    <n v="0.18894788667295326"/>
    <s v="Paid"/>
    <x v="8"/>
    <x v="8"/>
    <x v="1"/>
  </r>
  <r>
    <x v="242"/>
    <s v="INV-01219"/>
    <x v="8"/>
    <x v="6"/>
    <x v="0"/>
    <s v="Lagos"/>
    <s v="Samuel"/>
    <s v="Distributor"/>
    <n v="70.069010100025622"/>
    <n v="400.99"/>
    <n v="28096.972360009277"/>
    <n v="991.46"/>
    <x v="986"/>
    <n v="19411.45"/>
    <n v="475.68"/>
    <n v="1470.85"/>
    <n v="581.1"/>
    <n v="461.32"/>
    <n v="22400.399999999998"/>
    <n v="7694.0623600092767"/>
    <n v="4705.1123600092797"/>
    <n v="0.17358507367494266"/>
    <s v="Paid"/>
    <x v="8"/>
    <x v="8"/>
    <x v="1"/>
  </r>
  <r>
    <x v="242"/>
    <s v="INV-00192"/>
    <x v="4"/>
    <x v="2"/>
    <x v="2"/>
    <s v="Lagos"/>
    <s v="Tunde"/>
    <s v="Supermarket"/>
    <n v="43.178320804673888"/>
    <n v="4555.3"/>
    <n v="196690.20476153097"/>
    <n v="5364.89"/>
    <x v="987"/>
    <n v="122276.91"/>
    <n v="3859.67"/>
    <n v="10024.459999999999"/>
    <n v="4542.58"/>
    <n v="3969.49"/>
    <n v="144673.10999999999"/>
    <n v="69048.404761530954"/>
    <n v="46652.204761530971"/>
    <n v="0.24383707310074762"/>
    <s v="Paid"/>
    <x v="8"/>
    <x v="8"/>
    <x v="1"/>
  </r>
  <r>
    <x v="242"/>
    <s v="INV-00736"/>
    <x v="2"/>
    <x v="0"/>
    <x v="0"/>
    <s v="Lagos"/>
    <s v="Samuel"/>
    <s v="Retail"/>
    <n v="97.659538309382995"/>
    <n v="1185.56"/>
    <n v="115781.2422380721"/>
    <n v="3515.75"/>
    <x v="988"/>
    <n v="60505.1"/>
    <n v="2226.52"/>
    <n v="5764.32"/>
    <n v="3554.6"/>
    <n v="1425.61"/>
    <n v="73476.150000000009"/>
    <n v="51760.392238072098"/>
    <n v="38789.342238072088"/>
    <n v="0.34551438260133183"/>
    <s v="Paid"/>
    <x v="8"/>
    <x v="8"/>
    <x v="1"/>
  </r>
  <r>
    <x v="242"/>
    <s v="INV-01006"/>
    <x v="0"/>
    <x v="3"/>
    <x v="3"/>
    <s v="Lagos"/>
    <s v="Amina"/>
    <s v="Wholesale"/>
    <n v="69.596626713318187"/>
    <n v="928.1"/>
    <n v="64592.629252630613"/>
    <n v="2820.46"/>
    <x v="989"/>
    <n v="36912.76"/>
    <n v="1061.58"/>
    <n v="3093.71"/>
    <n v="1216.29"/>
    <n v="1266.06"/>
    <n v="43550.400000000001"/>
    <n v="24859.409252630612"/>
    <n v="18221.769252630613"/>
    <n v="0.29498347675162184"/>
    <s v="Paid"/>
    <x v="8"/>
    <x v="8"/>
    <x v="1"/>
  </r>
  <r>
    <x v="243"/>
    <s v="INV-00988"/>
    <x v="11"/>
    <x v="2"/>
    <x v="2"/>
    <s v="Abuja"/>
    <s v="Mary"/>
    <s v="Wholesale"/>
    <n v="76.339836997371052"/>
    <n v="4642.0200000000004"/>
    <n v="354371.05013853638"/>
    <n v="16033.05"/>
    <x v="990"/>
    <n v="217522.89"/>
    <n v="8604.1299999999992"/>
    <n v="18471.86"/>
    <n v="7343.56"/>
    <n v="5048.04"/>
    <n v="256990.48"/>
    <n v="120815.11013853637"/>
    <n v="81347.520138536376"/>
    <n v="0.2404327037022968"/>
    <s v="Paid"/>
    <x v="8"/>
    <x v="8"/>
    <x v="1"/>
  </r>
  <r>
    <x v="244"/>
    <s v="INV-00718"/>
    <x v="5"/>
    <x v="4"/>
    <x v="4"/>
    <s v="Port Harcourt"/>
    <s v="Mary"/>
    <s v="Wholesale"/>
    <n v="62.540037841253223"/>
    <n v="3520.44"/>
    <n v="220168.45081786151"/>
    <n v="8414.23"/>
    <x v="991"/>
    <n v="106163.8"/>
    <n v="5781.35"/>
    <n v="11574.7"/>
    <n v="6348.16"/>
    <n v="3796.19"/>
    <n v="133664.20000000001"/>
    <n v="105590.42081786149"/>
    <n v="78090.020817861485"/>
    <n v="0.36877669080811343"/>
    <s v="Paid"/>
    <x v="8"/>
    <x v="8"/>
    <x v="1"/>
  </r>
  <r>
    <x v="244"/>
    <s v="INV-01035"/>
    <x v="8"/>
    <x v="2"/>
    <x v="2"/>
    <s v="Port Harcourt"/>
    <s v="Ibrahim"/>
    <s v="Supermarket"/>
    <n v="43.651959453568423"/>
    <n v="4894.3599999999997"/>
    <n v="213648.40427116712"/>
    <n v="6278.04"/>
    <x v="992"/>
    <n v="139078.46"/>
    <n v="7243.89"/>
    <n v="10869.96"/>
    <n v="6451.02"/>
    <n v="3768.83"/>
    <n v="167412.15999999997"/>
    <n v="68291.904271167121"/>
    <n v="39958.204271167138"/>
    <n v="0.19269004233852788"/>
    <s v="Paid"/>
    <x v="8"/>
    <x v="8"/>
    <x v="1"/>
  </r>
  <r>
    <x v="244"/>
    <s v="INV-01292"/>
    <x v="11"/>
    <x v="10"/>
    <x v="5"/>
    <s v="Lagos"/>
    <s v="Daniel"/>
    <s v="Retail"/>
    <n v="21.834414632488379"/>
    <n v="7452.24"/>
    <n v="162715.29810081518"/>
    <n v="5343.25"/>
    <x v="993"/>
    <n v="88099.04"/>
    <n v="3301.26"/>
    <n v="8011.76"/>
    <n v="4593.7"/>
    <n v="2293.16"/>
    <n v="106298.91999999998"/>
    <n v="69273.00810081519"/>
    <n v="51073.1281008152"/>
    <n v="0.3245374811929555"/>
    <s v="Paid"/>
    <x v="8"/>
    <x v="8"/>
    <x v="1"/>
  </r>
  <r>
    <x v="245"/>
    <s v="INV-00269"/>
    <x v="11"/>
    <x v="0"/>
    <x v="0"/>
    <s v="Lagos"/>
    <s v="Amina"/>
    <s v="Supermarket"/>
    <n v="83.944301750885771"/>
    <n v="1225.0899999999999"/>
    <n v="102839.32463199264"/>
    <n v="2605.52"/>
    <x v="994"/>
    <n v="53585.68"/>
    <n v="1684.08"/>
    <n v="5688.09"/>
    <n v="2374.17"/>
    <n v="1363.28"/>
    <n v="64695.3"/>
    <n v="46648.124631992636"/>
    <n v="35538.504631992633"/>
    <n v="0.35455607778704878"/>
    <s v="Paid"/>
    <x v="8"/>
    <x v="8"/>
    <x v="1"/>
  </r>
  <r>
    <x v="245"/>
    <s v="INV-01227"/>
    <x v="1"/>
    <x v="3"/>
    <x v="3"/>
    <s v="Lagos"/>
    <s v="Daniel"/>
    <s v="Supermarket"/>
    <n v="55.996476349920187"/>
    <n v="908.33"/>
    <n v="50863.279362923007"/>
    <n v="2256.8000000000002"/>
    <x v="995"/>
    <n v="30524.81"/>
    <n v="757.88"/>
    <n v="2660.68"/>
    <n v="1358.61"/>
    <n v="854.54"/>
    <n v="36156.520000000004"/>
    <n v="18081.669362923003"/>
    <n v="12449.959362923"/>
    <n v="0.25613785499592928"/>
    <s v="Paid"/>
    <x v="8"/>
    <x v="8"/>
    <x v="1"/>
  </r>
  <r>
    <x v="245"/>
    <s v="INV-00013"/>
    <x v="5"/>
    <x v="10"/>
    <x v="5"/>
    <s v="Port Harcourt"/>
    <s v="Emeka"/>
    <s v="Wholesale"/>
    <n v="55.429738162747647"/>
    <n v="7273.12"/>
    <n v="403147.13722624315"/>
    <n v="17424.63"/>
    <x v="996"/>
    <n v="207702.99"/>
    <n v="10196.379999999999"/>
    <n v="22569.66"/>
    <n v="9621.41"/>
    <n v="6140.18"/>
    <n v="256230.62"/>
    <n v="178019.51722624316"/>
    <n v="129491.88722624315"/>
    <n v="0.33571255190014226"/>
    <s v="Paid"/>
    <x v="8"/>
    <x v="8"/>
    <x v="1"/>
  </r>
  <r>
    <x v="246"/>
    <s v="INV-00477"/>
    <x v="0"/>
    <x v="5"/>
    <x v="3"/>
    <s v="Lagos"/>
    <s v="Tunde"/>
    <s v="Retail"/>
    <n v="74.538031751600016"/>
    <n v="1570.09"/>
    <n v="117031.41827286966"/>
    <n v="4761.6000000000004"/>
    <x v="997"/>
    <n v="52763.67"/>
    <n v="2161.5700000000002"/>
    <n v="5977.09"/>
    <n v="3450.24"/>
    <n v="1849.12"/>
    <n v="66201.69"/>
    <n v="59506.148272869657"/>
    <n v="46068.128272869653"/>
    <n v="0.41033404152220099"/>
    <s v="Pending"/>
    <x v="8"/>
    <x v="8"/>
    <x v="1"/>
  </r>
  <r>
    <x v="246"/>
    <s v="INV-00982"/>
    <x v="7"/>
    <x v="7"/>
    <x v="5"/>
    <s v="Ibadan"/>
    <s v="Ibrahim"/>
    <s v="Wholesale"/>
    <n v="42.106278857074003"/>
    <n v="5932.44"/>
    <n v="249792.97294286007"/>
    <n v="8279.34"/>
    <x v="998"/>
    <n v="170548.44"/>
    <n v="4756.3999999999996"/>
    <n v="14576.67"/>
    <n v="5805.17"/>
    <n v="4308.67"/>
    <n v="199995.35000000003"/>
    <n v="70965.192942860071"/>
    <n v="41518.282942860038"/>
    <n v="0.1719086514370097"/>
    <s v="Pending"/>
    <x v="8"/>
    <x v="8"/>
    <x v="1"/>
  </r>
  <r>
    <x v="247"/>
    <s v="INV-00257"/>
    <x v="9"/>
    <x v="5"/>
    <x v="3"/>
    <s v="Lagos"/>
    <s v="Amina"/>
    <s v="Supermarket"/>
    <n v="35.167015720664928"/>
    <n v="1595.08"/>
    <n v="56094.203435718213"/>
    <n v="1850.17"/>
    <x v="999"/>
    <n v="25390.29"/>
    <n v="844.53"/>
    <n v="2795.65"/>
    <n v="1201.6500000000001"/>
    <n v="901.34"/>
    <n v="31133.460000000003"/>
    <n v="28853.743435718214"/>
    <n v="23110.573435718212"/>
    <n v="0.42604821160847767"/>
    <s v="Paid"/>
    <x v="8"/>
    <x v="8"/>
    <x v="1"/>
  </r>
  <r>
    <x v="247"/>
    <s v="INV-00527"/>
    <x v="4"/>
    <x v="7"/>
    <x v="5"/>
    <s v="Abuja"/>
    <s v="Amina"/>
    <s v="Supermarket"/>
    <n v="63.046088568155163"/>
    <n v="6078.41"/>
    <n v="383219.97521356004"/>
    <n v="15150.02"/>
    <x v="1000"/>
    <n v="251608.69"/>
    <n v="8664.51"/>
    <n v="21610.46"/>
    <n v="8621.91"/>
    <n v="7881.45"/>
    <n v="298387.02"/>
    <n v="116461.26521356002"/>
    <n v="69682.935213560006"/>
    <n v="0.18931981333040035"/>
    <s v="Paid"/>
    <x v="8"/>
    <x v="8"/>
    <x v="1"/>
  </r>
  <r>
    <x v="247"/>
    <s v="INV-00971"/>
    <x v="6"/>
    <x v="4"/>
    <x v="4"/>
    <s v="Lagos"/>
    <s v="Fatima"/>
    <s v="Wholesale"/>
    <n v="50.36039862729104"/>
    <n v="3446.23"/>
    <n v="173553.51656132919"/>
    <n v="8790.7900000000009"/>
    <x v="1001"/>
    <n v="79879.48"/>
    <n v="3182.27"/>
    <n v="8854.1200000000008"/>
    <n v="5228.2"/>
    <n v="3365.9"/>
    <n v="100509.96999999999"/>
    <n v="84883.246561329186"/>
    <n v="64252.756561329195"/>
    <n v="0.38997143287388225"/>
    <s v="Pending"/>
    <x v="8"/>
    <x v="8"/>
    <x v="1"/>
  </r>
  <r>
    <x v="248"/>
    <s v="INV-00511"/>
    <x v="7"/>
    <x v="10"/>
    <x v="5"/>
    <s v="Port Harcourt"/>
    <s v="Daniel"/>
    <s v="Retail"/>
    <n v="34.479980513567916"/>
    <n v="7462.86"/>
    <n v="257319.26737548545"/>
    <n v="9386.7900000000009"/>
    <x v="1002"/>
    <n v="136437.26999999999"/>
    <n v="7941.35"/>
    <n v="13437.56"/>
    <n v="6915.73"/>
    <n v="3604.01"/>
    <n v="168335.92"/>
    <n v="111495.20737548545"/>
    <n v="79596.557375485427"/>
    <n v="0.32104126985727288"/>
    <s v="Paid"/>
    <x v="8"/>
    <x v="8"/>
    <x v="1"/>
  </r>
  <r>
    <x v="248"/>
    <s v="INV-01096"/>
    <x v="3"/>
    <x v="6"/>
    <x v="0"/>
    <s v="Lagos"/>
    <s v="Samuel"/>
    <s v="Distributor"/>
    <n v="62.173726735464712"/>
    <n v="383.4"/>
    <n v="23837.406830377167"/>
    <n v="1226.8"/>
    <x v="1003"/>
    <n v="15835.23"/>
    <n v="392.22"/>
    <n v="1148.83"/>
    <n v="629.27"/>
    <n v="389.02"/>
    <n v="18394.57"/>
    <n v="6775.3768303771685"/>
    <n v="4216.0368303771684"/>
    <n v="0.18646278987580983"/>
    <s v="Pending"/>
    <x v="8"/>
    <x v="8"/>
    <x v="1"/>
  </r>
  <r>
    <x v="249"/>
    <s v="INV-00515"/>
    <x v="9"/>
    <x v="9"/>
    <x v="4"/>
    <s v="Abuja"/>
    <s v="Mary"/>
    <s v="Wholesale"/>
    <n v="78.167624354838836"/>
    <n v="1937.78"/>
    <n v="151471.6591223196"/>
    <n v="5235.1499999999996"/>
    <x v="1004"/>
    <n v="91749.64"/>
    <n v="4118.84"/>
    <n v="8653.39"/>
    <n v="2827.97"/>
    <n v="2956.77"/>
    <n v="110306.61"/>
    <n v="54486.869122319607"/>
    <n v="35929.899122319606"/>
    <n v="0.24569718832843598"/>
    <s v="Paid"/>
    <x v="8"/>
    <x v="8"/>
    <x v="1"/>
  </r>
  <r>
    <x v="249"/>
    <s v="INV-00176"/>
    <x v="9"/>
    <x v="8"/>
    <x v="2"/>
    <s v="Abuja"/>
    <s v="Amina"/>
    <s v="Wholesale"/>
    <n v="45.642485330122177"/>
    <n v="6735.21"/>
    <n v="307411.72362029221"/>
    <n v="11902.74"/>
    <x v="1005"/>
    <n v="155317.41"/>
    <n v="6968.34"/>
    <n v="16751.47"/>
    <n v="6092.27"/>
    <n v="5064.62"/>
    <n v="190194.11"/>
    <n v="140191.57362029221"/>
    <n v="105314.87362029223"/>
    <n v="0.3563846768043244"/>
    <s v="Paid"/>
    <x v="8"/>
    <x v="8"/>
    <x v="1"/>
  </r>
  <r>
    <x v="249"/>
    <s v="INV-00776"/>
    <x v="0"/>
    <x v="3"/>
    <x v="3"/>
    <s v="Lagos"/>
    <s v="Mary"/>
    <s v="Retail"/>
    <n v="48.373583547494917"/>
    <n v="896.76"/>
    <n v="43379.494782051544"/>
    <n v="1921.26"/>
    <x v="1006"/>
    <n v="26456.02"/>
    <n v="812.43"/>
    <n v="2234.2600000000002"/>
    <n v="773.44"/>
    <n v="672.57"/>
    <n v="30948.719999999998"/>
    <n v="15002.214782051542"/>
    <n v="10509.514782051545"/>
    <n v="0.25349643652945436"/>
    <s v="Pending"/>
    <x v="8"/>
    <x v="8"/>
    <x v="1"/>
  </r>
  <r>
    <x v="249"/>
    <s v="INV-00351"/>
    <x v="5"/>
    <x v="11"/>
    <x v="1"/>
    <s v="Lagos"/>
    <s v="Emeka"/>
    <s v="Supermarket"/>
    <n v="9.9092225636207534"/>
    <n v="7247.83"/>
    <n v="71820.360573287398"/>
    <n v="1966.35"/>
    <x v="1007"/>
    <n v="36016.660000000003"/>
    <n v="1193.48"/>
    <n v="3697.85"/>
    <n v="1490.61"/>
    <n v="1051.28"/>
    <n v="43449.880000000005"/>
    <n v="33837.350573287389"/>
    <n v="26404.130573287388"/>
    <n v="0.37799018777290494"/>
    <s v="Paid"/>
    <x v="8"/>
    <x v="8"/>
    <x v="1"/>
  </r>
  <r>
    <x v="249"/>
    <s v="INV-00517"/>
    <x v="7"/>
    <x v="10"/>
    <x v="5"/>
    <s v="Lagos"/>
    <s v="Fatima"/>
    <s v="Supermarket"/>
    <n v="12.017103479414221"/>
    <n v="7207.92"/>
    <n v="86618.320511339349"/>
    <n v="3313.69"/>
    <x v="1008"/>
    <n v="46346.54"/>
    <n v="1688.95"/>
    <n v="4477.26"/>
    <n v="2430.0500000000002"/>
    <n v="1034.2"/>
    <n v="55977"/>
    <n v="36958.090511339346"/>
    <n v="27327.630511339346"/>
    <n v="0.32804455578996339"/>
    <s v="Paid"/>
    <x v="8"/>
    <x v="8"/>
    <x v="1"/>
  </r>
  <r>
    <x v="250"/>
    <s v="INV-00383"/>
    <x v="0"/>
    <x v="2"/>
    <x v="2"/>
    <s v="Port Harcourt"/>
    <s v="Daniel"/>
    <s v="Wholesale"/>
    <n v="80.959699663255194"/>
    <n v="4649.68"/>
    <n v="376436.69633024442"/>
    <n v="16997.080000000002"/>
    <x v="1009"/>
    <n v="229414.99"/>
    <n v="10457.91"/>
    <n v="20555.87"/>
    <n v="8460.7999999999993"/>
    <n v="5591.23"/>
    <n v="274480.8"/>
    <n v="130024.62633024441"/>
    <n v="84958.816330244415"/>
    <n v="0.23636464226632803"/>
    <s v="Paid"/>
    <x v="8"/>
    <x v="8"/>
    <x v="1"/>
  </r>
  <r>
    <x v="250"/>
    <s v="INV-00045"/>
    <x v="1"/>
    <x v="9"/>
    <x v="4"/>
    <s v="Port Harcourt"/>
    <s v="Daniel"/>
    <s v="Retail"/>
    <n v="46.9755474929107"/>
    <n v="2099.46"/>
    <n v="98623.282939466299"/>
    <n v="4428.17"/>
    <x v="1010"/>
    <n v="60561.83"/>
    <n v="2586.31"/>
    <n v="4528.63"/>
    <n v="2055.4299999999998"/>
    <n v="2039.56"/>
    <n v="71771.759999999995"/>
    <n v="33633.282939466299"/>
    <n v="22423.352939466306"/>
    <n v="0.23805219017972287"/>
    <s v="Paid"/>
    <x v="8"/>
    <x v="8"/>
    <x v="1"/>
  </r>
  <r>
    <x v="250"/>
    <s v="INV-01081"/>
    <x v="3"/>
    <x v="6"/>
    <x v="0"/>
    <s v="Abuja"/>
    <s v="Emeka"/>
    <s v="Supermarket"/>
    <n v="83.274783427011897"/>
    <n v="381.84"/>
    <n v="31797.643303770219"/>
    <n v="1428.31"/>
    <x v="1011"/>
    <n v="22176.44"/>
    <n v="735.41"/>
    <n v="1694.32"/>
    <n v="942.46"/>
    <n v="399.14"/>
    <n v="25947.769999999997"/>
    <n v="8192.8933037702191"/>
    <n v="4421.563303770221"/>
    <n v="0.14559303161328549"/>
    <s v="Paid"/>
    <x v="8"/>
    <x v="8"/>
    <x v="1"/>
  </r>
  <r>
    <x v="250"/>
    <s v="INV-00880"/>
    <x v="1"/>
    <x v="1"/>
    <x v="1"/>
    <s v="Lagos"/>
    <s v="Ibrahim"/>
    <s v="Distributor"/>
    <n v="44.514222462147679"/>
    <n v="4933.96"/>
    <n v="219631.39305933815"/>
    <n v="12634.03"/>
    <x v="1012"/>
    <n v="135634.03"/>
    <n v="3780.22"/>
    <n v="11811.69"/>
    <n v="5269.75"/>
    <n v="3803.65"/>
    <n v="160299.34"/>
    <n v="71363.333059338154"/>
    <n v="46698.023059338157"/>
    <n v="0.2255971881436559"/>
    <s v="Pending"/>
    <x v="8"/>
    <x v="8"/>
    <x v="1"/>
  </r>
  <r>
    <x v="251"/>
    <s v="INV-00260"/>
    <x v="11"/>
    <x v="0"/>
    <x v="0"/>
    <s v="Lagos"/>
    <s v="Samuel"/>
    <s v="Distributor"/>
    <n v="53.015116808671713"/>
    <n v="1287.01"/>
    <n v="68230.985483928584"/>
    <n v="2498.9299999999998"/>
    <x v="1013"/>
    <n v="34367.51"/>
    <n v="1017.98"/>
    <n v="3640.19"/>
    <n v="1613.4"/>
    <n v="1391.18"/>
    <n v="42030.260000000009"/>
    <n v="31364.545483928589"/>
    <n v="23701.795483928581"/>
    <n v="0.36058199168476701"/>
    <s v="Pending"/>
    <x v="8"/>
    <x v="8"/>
    <x v="1"/>
  </r>
  <r>
    <x v="251"/>
    <s v="INV-00623"/>
    <x v="6"/>
    <x v="8"/>
    <x v="2"/>
    <s v="Lagos"/>
    <s v="Tunde"/>
    <s v="Wholesale"/>
    <n v="38.617809443709987"/>
    <n v="7152.17"/>
    <n v="276201.13816901925"/>
    <n v="13575.3"/>
    <x v="1014"/>
    <n v="133375.46"/>
    <n v="5127.33"/>
    <n v="16203.92"/>
    <n v="7063.26"/>
    <n v="4937.6099999999997"/>
    <n v="166707.57999999999"/>
    <n v="129250.37816901927"/>
    <n v="95918.258169019275"/>
    <n v="0.36522780407953898"/>
    <s v="Pending"/>
    <x v="8"/>
    <x v="8"/>
    <x v="1"/>
  </r>
  <r>
    <x v="251"/>
    <s v="INV-01176"/>
    <x v="10"/>
    <x v="9"/>
    <x v="4"/>
    <s v="Lagos"/>
    <s v="Samuel"/>
    <s v="Wholesale"/>
    <n v="48.876494656600222"/>
    <n v="2044.8"/>
    <n v="99942.65627381613"/>
    <n v="3294.91"/>
    <x v="1015"/>
    <n v="62332.52"/>
    <n v="1920.58"/>
    <n v="4986.28"/>
    <n v="2675.97"/>
    <n v="1593.83"/>
    <n v="73509.180000000008"/>
    <n v="34315.22627381613"/>
    <n v="23138.566273816119"/>
    <n v="0.23941133824539926"/>
    <s v="Paid"/>
    <x v="8"/>
    <x v="8"/>
    <x v="1"/>
  </r>
  <r>
    <x v="251"/>
    <s v="INV-01186"/>
    <x v="11"/>
    <x v="11"/>
    <x v="1"/>
    <s v="Lagos"/>
    <s v="Fatima"/>
    <s v="Retail"/>
    <n v="55.073718488640019"/>
    <n v="6681.8"/>
    <n v="367991.57219739491"/>
    <n v="12143.84"/>
    <x v="1016"/>
    <n v="176185.99"/>
    <n v="6457.45"/>
    <n v="18270.400000000001"/>
    <n v="7718.44"/>
    <n v="5358.93"/>
    <n v="213991.21"/>
    <n v="179661.74219739489"/>
    <n v="141856.52219739489"/>
    <n v="0.39864388434181347"/>
    <s v="Pending"/>
    <x v="8"/>
    <x v="8"/>
    <x v="1"/>
  </r>
  <r>
    <x v="252"/>
    <s v="INV-01393"/>
    <x v="2"/>
    <x v="10"/>
    <x v="5"/>
    <s v="Lagos"/>
    <s v="Mary"/>
    <s v="Supermarket"/>
    <n v="36.663666534451238"/>
    <n v="7435.61"/>
    <n v="272616.72552023095"/>
    <n v="12610.79"/>
    <x v="1017"/>
    <n v="144661.38"/>
    <n v="5581.82"/>
    <n v="16113.53"/>
    <n v="7117.54"/>
    <n v="5439.85"/>
    <n v="178914.12000000002"/>
    <n v="115344.55552023093"/>
    <n v="81091.815520230914"/>
    <n v="0.31188447816769627"/>
    <s v="Pending"/>
    <x v="8"/>
    <x v="8"/>
    <x v="1"/>
  </r>
  <r>
    <x v="252"/>
    <s v="INV-01062"/>
    <x v="1"/>
    <x v="11"/>
    <x v="1"/>
    <s v="Port Harcourt"/>
    <s v="Fatima"/>
    <s v="Retail"/>
    <n v="60.256363248402053"/>
    <n v="6951.03"/>
    <n v="418843.78863054013"/>
    <n v="11030.26"/>
    <x v="1018"/>
    <n v="205011.98"/>
    <n v="10678.74"/>
    <n v="21670.01"/>
    <n v="9904.44"/>
    <n v="5726.63"/>
    <n v="252991.80000000002"/>
    <n v="202801.54863054011"/>
    <n v="154821.72863054011"/>
    <n v="0.37963853026269101"/>
    <s v="Paid"/>
    <x v="8"/>
    <x v="8"/>
    <x v="1"/>
  </r>
  <r>
    <x v="252"/>
    <s v="INV-00197"/>
    <x v="8"/>
    <x v="2"/>
    <x v="2"/>
    <s v="Port Harcourt"/>
    <s v="Tunde"/>
    <s v="Retail"/>
    <n v="63.736044859809859"/>
    <n v="4621.18"/>
    <n v="294535.73578525614"/>
    <n v="11768.27"/>
    <x v="1019"/>
    <n v="179883.95"/>
    <n v="7844.59"/>
    <n v="17400.23"/>
    <n v="7559.79"/>
    <n v="5774.95"/>
    <n v="218463.51000000004"/>
    <n v="102883.51578525611"/>
    <n v="64303.955785256083"/>
    <n v="0.22740931530677169"/>
    <s v="Paid"/>
    <x v="8"/>
    <x v="8"/>
    <x v="1"/>
  </r>
  <r>
    <x v="252"/>
    <s v="INV-00277"/>
    <x v="0"/>
    <x v="5"/>
    <x v="3"/>
    <s v="Lagos"/>
    <s v="Ibrahim"/>
    <s v="Wholesale"/>
    <n v="58.182866837864353"/>
    <n v="1551.76"/>
    <n v="90285.845444324383"/>
    <n v="4165.29"/>
    <x v="1020"/>
    <n v="39585.72"/>
    <n v="1588.06"/>
    <n v="4714.3900000000003"/>
    <n v="2231.84"/>
    <n v="1400.21"/>
    <n v="49520.219999999994"/>
    <n v="46534.835444324388"/>
    <n v="36600.335444324395"/>
    <n v="0.42498954233970249"/>
    <s v="Pending"/>
    <x v="8"/>
    <x v="8"/>
    <x v="1"/>
  </r>
  <r>
    <x v="253"/>
    <s v="INV-00878"/>
    <x v="9"/>
    <x v="9"/>
    <x v="4"/>
    <s v="Lagos"/>
    <s v="Fatima"/>
    <s v="Supermarket"/>
    <n v="44.702718556654382"/>
    <n v="2093.14"/>
    <n v="93569.048319675552"/>
    <n v="3119.04"/>
    <x v="1021"/>
    <n v="57864.959999999999"/>
    <n v="1472"/>
    <n v="5600.06"/>
    <n v="1953.5"/>
    <n v="1127.6199999999999"/>
    <n v="68018.139999999985"/>
    <n v="32585.048319675559"/>
    <n v="22431.868319675574"/>
    <n v="0.24800294368569978"/>
    <s v="Paid"/>
    <x v="8"/>
    <x v="8"/>
    <x v="1"/>
  </r>
  <r>
    <x v="253"/>
    <s v="INV-00514"/>
    <x v="2"/>
    <x v="6"/>
    <x v="0"/>
    <s v="Ibadan"/>
    <s v="Emeka"/>
    <s v="Distributor"/>
    <n v="101.57140492200649"/>
    <n v="407.26"/>
    <n v="41365.970368536364"/>
    <n v="2266.29"/>
    <x v="1022"/>
    <n v="26649.119999999999"/>
    <n v="811.48"/>
    <n v="1883.44"/>
    <n v="967.1"/>
    <n v="702.07"/>
    <n v="31013.209999999995"/>
    <n v="12450.560368536364"/>
    <n v="8086.4703685363675"/>
    <n v="0.206816789608428"/>
    <s v="Paid"/>
    <x v="8"/>
    <x v="8"/>
    <x v="1"/>
  </r>
  <r>
    <x v="253"/>
    <s v="INV-00960"/>
    <x v="4"/>
    <x v="0"/>
    <x v="0"/>
    <s v="Ibadan"/>
    <s v="Amina"/>
    <s v="Retail"/>
    <n v="48.083085051853423"/>
    <n v="1292.47"/>
    <n v="62145.944936968997"/>
    <n v="1954.73"/>
    <x v="1023"/>
    <n v="32883.65"/>
    <n v="1338.11"/>
    <n v="3541.05"/>
    <n v="1183.54"/>
    <n v="903.44"/>
    <n v="39849.790000000008"/>
    <n v="27307.564936968993"/>
    <n v="20341.424936968986"/>
    <n v="0.33794674120251783"/>
    <s v="Paid"/>
    <x v="8"/>
    <x v="8"/>
    <x v="1"/>
  </r>
  <r>
    <x v="254"/>
    <s v="INV-01116"/>
    <x v="8"/>
    <x v="7"/>
    <x v="5"/>
    <s v="Abuja"/>
    <s v="Ibrahim"/>
    <s v="Wholesale"/>
    <n v="53.317865088608031"/>
    <n v="5897.1"/>
    <n v="314420.78221403045"/>
    <n v="10266.65"/>
    <x v="1024"/>
    <n v="197734.49"/>
    <n v="6033.31"/>
    <n v="15411.58"/>
    <n v="8905.3700000000008"/>
    <n v="4432.88"/>
    <n v="232517.62999999998"/>
    <n v="106419.64221403043"/>
    <n v="71636.50221403045"/>
    <n v="0.23552697342155626"/>
    <s v="Paid"/>
    <x v="8"/>
    <x v="8"/>
    <x v="1"/>
  </r>
  <r>
    <x v="254"/>
    <s v="INV-00749"/>
    <x v="6"/>
    <x v="1"/>
    <x v="1"/>
    <s v="Lagos"/>
    <s v="Mary"/>
    <s v="Wholesale"/>
    <n v="75.51503812652571"/>
    <n v="4912.62"/>
    <n v="370976.68660113274"/>
    <n v="19754.09"/>
    <x v="1025"/>
    <n v="229565.92"/>
    <n v="6072.38"/>
    <n v="17564.490000000002"/>
    <n v="9920.51"/>
    <n v="7432.48"/>
    <n v="270555.77999999997"/>
    <n v="121656.6766011327"/>
    <n v="80666.816601132741"/>
    <n v="0.22967433582510161"/>
    <s v="Paid"/>
    <x v="8"/>
    <x v="8"/>
    <x v="1"/>
  </r>
  <r>
    <x v="254"/>
    <s v="INV-01008"/>
    <x v="0"/>
    <x v="3"/>
    <x v="3"/>
    <s v="Lagos"/>
    <s v="Ibrahim"/>
    <s v="Distributor"/>
    <n v="97.088860150472513"/>
    <n v="931.5"/>
    <n v="90438.273230165141"/>
    <n v="3198.54"/>
    <x v="1026"/>
    <n v="53620.74"/>
    <n v="1915.07"/>
    <n v="4469.4399999999996"/>
    <n v="2660.63"/>
    <n v="1559.44"/>
    <n v="64225.32"/>
    <n v="33618.99323016515"/>
    <n v="23014.413230165148"/>
    <n v="0.26380655210678"/>
    <s v="Pending"/>
    <x v="8"/>
    <x v="8"/>
    <x v="1"/>
  </r>
  <r>
    <x v="254"/>
    <s v="INV-01070"/>
    <x v="2"/>
    <x v="7"/>
    <x v="5"/>
    <s v="Ibadan"/>
    <s v="Fatima"/>
    <s v="Wholesale"/>
    <n v="34.789923747562092"/>
    <n v="5711.68"/>
    <n v="198708.91167047547"/>
    <n v="8041.61"/>
    <x v="1027"/>
    <n v="126899.7"/>
    <n v="4328.38"/>
    <n v="10472.66"/>
    <n v="5488.11"/>
    <n v="3021.48"/>
    <n v="150210.32999999999"/>
    <n v="63767.601670475487"/>
    <n v="40456.971670475497"/>
    <n v="0.21218620768230126"/>
    <s v="Paid"/>
    <x v="8"/>
    <x v="8"/>
    <x v="1"/>
  </r>
  <r>
    <x v="255"/>
    <s v="INV-00729"/>
    <x v="8"/>
    <x v="8"/>
    <x v="2"/>
    <s v="Lagos"/>
    <s v="Emeka"/>
    <s v="Retail"/>
    <n v="43.418748137606933"/>
    <n v="7035.35"/>
    <n v="305466.08970991295"/>
    <n v="9620.9"/>
    <x v="1028"/>
    <n v="149511.23000000001"/>
    <n v="5940.29"/>
    <n v="16943.62"/>
    <n v="6771.18"/>
    <n v="4882.8100000000004"/>
    <n v="184049.13"/>
    <n v="146333.95970991292"/>
    <n v="111796.05970991292"/>
    <n v="0.37788702875153407"/>
    <s v="Paid"/>
    <x v="8"/>
    <x v="8"/>
    <x v="1"/>
  </r>
  <r>
    <x v="255"/>
    <s v="INV-00597"/>
    <x v="8"/>
    <x v="2"/>
    <x v="2"/>
    <s v="Abuja"/>
    <s v="Fatima"/>
    <s v="Retail"/>
    <n v="48.445258860502072"/>
    <n v="4516.3100000000004"/>
    <n v="218793.80704427414"/>
    <n v="8151.07"/>
    <x v="1029"/>
    <n v="144266.74"/>
    <n v="4910.18"/>
    <n v="12790.86"/>
    <n v="4407.47"/>
    <n v="3191.66"/>
    <n v="169566.90999999997"/>
    <n v="66375.997044274147"/>
    <n v="41075.827044274163"/>
    <n v="0.19500234197792732"/>
    <s v="Paid"/>
    <x v="8"/>
    <x v="8"/>
    <x v="1"/>
  </r>
  <r>
    <x v="255"/>
    <s v="INV-00262"/>
    <x v="11"/>
    <x v="4"/>
    <x v="4"/>
    <s v="Ibadan"/>
    <s v="Fatima"/>
    <s v="Supermarket"/>
    <n v="60.360158666920782"/>
    <n v="3414.4"/>
    <n v="206093.72575233431"/>
    <n v="8029.31"/>
    <x v="1030"/>
    <n v="100522.31"/>
    <n v="3868.41"/>
    <n v="10351.65"/>
    <n v="6321.38"/>
    <n v="2746.98"/>
    <n v="123810.73"/>
    <n v="97542.105752334319"/>
    <n v="74253.685752334321"/>
    <n v="0.37489664900323821"/>
    <s v="Paid"/>
    <x v="8"/>
    <x v="8"/>
    <x v="1"/>
  </r>
  <r>
    <x v="255"/>
    <s v="INV-00149"/>
    <x v="3"/>
    <x v="4"/>
    <x v="4"/>
    <s v="Lagos"/>
    <s v="Samuel"/>
    <s v="Wholesale"/>
    <n v="29.820751172693999"/>
    <n v="3419.26"/>
    <n v="101964.90165474568"/>
    <n v="5329.94"/>
    <x v="1031"/>
    <n v="49342.39"/>
    <n v="2008.03"/>
    <n v="5131.83"/>
    <n v="2987.66"/>
    <n v="1754.52"/>
    <n v="61224.43"/>
    <n v="47292.571654745683"/>
    <n v="35410.531654745682"/>
    <n v="0.36643602944925152"/>
    <s v="Paid"/>
    <x v="8"/>
    <x v="8"/>
    <x v="1"/>
  </r>
  <r>
    <x v="256"/>
    <s v="INV-00876"/>
    <x v="2"/>
    <x v="2"/>
    <x v="2"/>
    <s v="Ibadan"/>
    <s v="Fatima"/>
    <s v="Supermarket"/>
    <n v="60.857309130040633"/>
    <n v="4869.3"/>
    <n v="296332.49534690689"/>
    <n v="8189.33"/>
    <x v="1032"/>
    <n v="192590.9"/>
    <n v="4898.84"/>
    <n v="15502.79"/>
    <n v="8434.86"/>
    <n v="4186.16"/>
    <n v="225613.55000000002"/>
    <n v="95552.265346906875"/>
    <n v="62529.615346906852"/>
    <n v="0.21700884444586771"/>
    <s v="Paid"/>
    <x v="8"/>
    <x v="8"/>
    <x v="1"/>
  </r>
  <r>
    <x v="256"/>
    <s v="INV-00940"/>
    <x v="9"/>
    <x v="3"/>
    <x v="3"/>
    <s v="Ibadan"/>
    <s v="Tunde"/>
    <s v="Wholesale"/>
    <n v="62.086294319455916"/>
    <n v="919.03"/>
    <n v="57059.167068409566"/>
    <n v="1866.58"/>
    <x v="1033"/>
    <n v="33821.129999999997"/>
    <n v="1073.04"/>
    <n v="3214.97"/>
    <n v="1310.47"/>
    <n v="911.09"/>
    <n v="40330.699999999997"/>
    <n v="21371.457068409567"/>
    <n v="14861.887068409567"/>
    <n v="0.26927324587971752"/>
    <s v="Paid"/>
    <x v="8"/>
    <x v="8"/>
    <x v="1"/>
  </r>
  <r>
    <x v="256"/>
    <s v="INV-00169"/>
    <x v="6"/>
    <x v="4"/>
    <x v="4"/>
    <s v="Lagos"/>
    <s v="Daniel"/>
    <s v="Wholesale"/>
    <n v="50.138988444258459"/>
    <n v="3416.32"/>
    <n v="171290.82900188907"/>
    <n v="7675.37"/>
    <x v="1034"/>
    <n v="83472.679999999993"/>
    <n v="2747"/>
    <n v="8890"/>
    <n v="4960.17"/>
    <n v="2278.67"/>
    <n v="102348.51999999999"/>
    <n v="80142.779001889081"/>
    <n v="61266.939001889084"/>
    <n v="0.37445690875201287"/>
    <s v="Paid"/>
    <x v="8"/>
    <x v="8"/>
    <x v="1"/>
  </r>
  <r>
    <x v="256"/>
    <s v="INV-01415"/>
    <x v="6"/>
    <x v="2"/>
    <x v="2"/>
    <s v="Lagos"/>
    <s v="Mary"/>
    <s v="Wholesale"/>
    <n v="69.21520421070224"/>
    <n v="4933.37"/>
    <n v="341464.21199695207"/>
    <n v="12371.87"/>
    <x v="1035"/>
    <n v="216529.61"/>
    <n v="5605.59"/>
    <n v="19932.88"/>
    <n v="7301.44"/>
    <n v="6830.49"/>
    <n v="256200.00999999998"/>
    <n v="112562.73199695209"/>
    <n v="72892.331996952096"/>
    <n v="0.2214950720355176"/>
    <s v="Paid"/>
    <x v="8"/>
    <x v="8"/>
    <x v="1"/>
  </r>
  <r>
    <x v="256"/>
    <s v="INV-00015"/>
    <x v="10"/>
    <x v="7"/>
    <x v="5"/>
    <s v="Abuja"/>
    <s v="Tunde"/>
    <s v="Wholesale"/>
    <n v="52.475240666068608"/>
    <n v="5887.12"/>
    <n v="308928.03883002582"/>
    <n v="15576.61"/>
    <x v="1036"/>
    <n v="199368.37"/>
    <n v="8519.31"/>
    <n v="16384.61"/>
    <n v="8657.41"/>
    <n v="5957.57"/>
    <n v="238887.27"/>
    <n v="93983.058830025839"/>
    <n v="54464.158830025845"/>
    <n v="0.18566181541111074"/>
    <s v="Paid"/>
    <x v="8"/>
    <x v="8"/>
    <x v="1"/>
  </r>
  <r>
    <x v="257"/>
    <s v="INV-00291"/>
    <x v="1"/>
    <x v="9"/>
    <x v="4"/>
    <s v="Abuja"/>
    <s v="Samuel"/>
    <s v="Wholesale"/>
    <n v="53.489048344762701"/>
    <n v="1972.47"/>
    <n v="105505.54318859409"/>
    <n v="4611.2299999999996"/>
    <x v="1037"/>
    <n v="63680.78"/>
    <n v="2656.6"/>
    <n v="5957.99"/>
    <n v="2931.93"/>
    <n v="2082.66"/>
    <n v="77309.960000000006"/>
    <n v="37213.533188594098"/>
    <n v="23584.35318859409"/>
    <n v="0.23375304755293438"/>
    <s v="Paid"/>
    <x v="8"/>
    <x v="8"/>
    <x v="1"/>
  </r>
  <r>
    <x v="257"/>
    <s v="INV-00146"/>
    <x v="11"/>
    <x v="9"/>
    <x v="4"/>
    <s v="Lagos"/>
    <s v="Emeka"/>
    <s v="Supermarket"/>
    <n v="34.399673310309304"/>
    <n v="2027.45"/>
    <n v="69743.617652986606"/>
    <n v="3283.08"/>
    <x v="1038"/>
    <n v="44380.25"/>
    <n v="1110.5899999999999"/>
    <n v="3304.67"/>
    <n v="1302.56"/>
    <n v="1285.8599999999999"/>
    <n v="51383.929999999993"/>
    <n v="22080.287652986604"/>
    <n v="15076.607652986611"/>
    <n v="0.22685052190981031"/>
    <s v="Paid"/>
    <x v="8"/>
    <x v="8"/>
    <x v="1"/>
  </r>
  <r>
    <x v="257"/>
    <s v="INV-01010"/>
    <x v="6"/>
    <x v="2"/>
    <x v="2"/>
    <s v="Ibadan"/>
    <s v="Mary"/>
    <s v="Supermarket"/>
    <n v="71.573087271856068"/>
    <n v="4582.8"/>
    <n v="328005.144349462"/>
    <n v="12693.61"/>
    <x v="1039"/>
    <n v="204866.56"/>
    <n v="7065.33"/>
    <n v="16761.43"/>
    <n v="7918.67"/>
    <n v="6878.17"/>
    <n v="243490.16"/>
    <n v="110444.97434946202"/>
    <n v="71821.374349462014"/>
    <n v="0.2277790899645995"/>
    <s v="Paid"/>
    <x v="8"/>
    <x v="8"/>
    <x v="1"/>
  </r>
  <r>
    <x v="257"/>
    <s v="INV-00046"/>
    <x v="11"/>
    <x v="10"/>
    <x v="5"/>
    <s v="Lagos"/>
    <s v="Amina"/>
    <s v="Retail"/>
    <n v="37.814587901561659"/>
    <n v="7045.33"/>
    <n v="266416.25058050943"/>
    <n v="9024.91"/>
    <x v="1040"/>
    <n v="144292.79"/>
    <n v="5303.5"/>
    <n v="14821.99"/>
    <n v="6487.79"/>
    <n v="5162.13"/>
    <n v="176068.2"/>
    <n v="113098.55058050941"/>
    <n v="81323.140580509411"/>
    <n v="0.31595134629275667"/>
    <s v="Paid"/>
    <x v="8"/>
    <x v="8"/>
    <x v="1"/>
  </r>
  <r>
    <x v="257"/>
    <s v="INV-00324"/>
    <x v="7"/>
    <x v="9"/>
    <x v="4"/>
    <s v="Lagos"/>
    <s v="Emeka"/>
    <s v="Retail"/>
    <n v="29.56427166176401"/>
    <n v="1999.47"/>
    <n v="59112.874259547287"/>
    <n v="2519.38"/>
    <x v="1041"/>
    <n v="35011.03"/>
    <n v="983.57"/>
    <n v="2955.51"/>
    <n v="1364.48"/>
    <n v="942.94"/>
    <n v="41257.530000000006"/>
    <n v="21582.464259547291"/>
    <n v="15335.964259547283"/>
    <n v="0.27098457976837353"/>
    <s v="Pending"/>
    <x v="8"/>
    <x v="8"/>
    <x v="1"/>
  </r>
  <r>
    <x v="257"/>
    <s v="INV-01101"/>
    <x v="1"/>
    <x v="10"/>
    <x v="5"/>
    <s v="Port Harcourt"/>
    <s v="Amina"/>
    <s v="Wholesale"/>
    <n v="45.105231262571444"/>
    <n v="7029.89"/>
    <n v="317084.81420043838"/>
    <n v="16527.38"/>
    <x v="1042"/>
    <n v="162436.76999999999"/>
    <n v="8856.77"/>
    <n v="17210.740000000002"/>
    <n v="6612.33"/>
    <n v="4109.2"/>
    <n v="199225.80999999997"/>
    <n v="138120.66420043839"/>
    <n v="101331.62420043841"/>
    <n v="0.33714562566055672"/>
    <s v="Paid"/>
    <x v="8"/>
    <x v="8"/>
    <x v="1"/>
  </r>
  <r>
    <x v="258"/>
    <s v="INV-01324"/>
    <x v="3"/>
    <x v="0"/>
    <x v="0"/>
    <s v="Lagos"/>
    <s v="Fatima"/>
    <s v="Wholesale"/>
    <n v="95.25938886030697"/>
    <n v="1239.1099999999999"/>
    <n v="118036.86133069496"/>
    <n v="5821.43"/>
    <x v="1043"/>
    <n v="57987.55"/>
    <n v="1966.1"/>
    <n v="5746.5"/>
    <n v="2141.77"/>
    <n v="2206.41"/>
    <n v="70048.33"/>
    <n v="54227.88133069496"/>
    <n v="42167.101330694961"/>
    <n v="0.37576918638248585"/>
    <s v="Paid"/>
    <x v="8"/>
    <x v="8"/>
    <x v="1"/>
  </r>
  <r>
    <x v="258"/>
    <s v="INV-00332"/>
    <x v="1"/>
    <x v="0"/>
    <x v="0"/>
    <s v="Abuja"/>
    <s v="Mary"/>
    <s v="Supermarket"/>
    <n v="49.979281911542607"/>
    <n v="1193.3800000000001"/>
    <n v="59644.275447596723"/>
    <n v="2428.06"/>
    <x v="1044"/>
    <n v="28396.28"/>
    <n v="1546.43"/>
    <n v="3366.02"/>
    <n v="1813.38"/>
    <n v="1054.47"/>
    <n v="36176.579999999994"/>
    <n v="28819.935447596727"/>
    <n v="21039.635447596731"/>
    <n v="0.36772155031586357"/>
    <s v="Pending"/>
    <x v="8"/>
    <x v="8"/>
    <x v="1"/>
  </r>
  <r>
    <x v="258"/>
    <s v="INV-01418"/>
    <x v="0"/>
    <x v="0"/>
    <x v="0"/>
    <s v="Lagos"/>
    <s v="Mary"/>
    <s v="Wholesale"/>
    <n v="59.758949015720987"/>
    <n v="1191.3699999999999"/>
    <n v="71195.01908885951"/>
    <n v="2948.76"/>
    <x v="1045"/>
    <n v="36931.300000000003"/>
    <n v="1220.3800000000001"/>
    <n v="3783.69"/>
    <n v="2106.2800000000002"/>
    <n v="1363.46"/>
    <n v="45405.11"/>
    <n v="31314.959088859512"/>
    <n v="22841.149088859514"/>
    <n v="0.33468719595486357"/>
    <s v="Pending"/>
    <x v="8"/>
    <x v="8"/>
    <x v="1"/>
  </r>
  <r>
    <x v="259"/>
    <s v="INV-01047"/>
    <x v="3"/>
    <x v="6"/>
    <x v="0"/>
    <s v="Port Harcourt"/>
    <s v="Ibrahim"/>
    <s v="Distributor"/>
    <n v="92.864436825631699"/>
    <n v="396.93"/>
    <n v="36860.680909197989"/>
    <n v="1361.97"/>
    <x v="1046"/>
    <n v="23862"/>
    <n v="1016.81"/>
    <n v="1754.28"/>
    <n v="1011.84"/>
    <n v="711.38"/>
    <n v="28356.31"/>
    <n v="11636.710909197987"/>
    <n v="7142.400909197986"/>
    <n v="0.20120169792834183"/>
    <s v="Paid"/>
    <x v="8"/>
    <x v="8"/>
    <x v="1"/>
  </r>
  <r>
    <x v="259"/>
    <s v="INV-01236"/>
    <x v="2"/>
    <x v="3"/>
    <x v="3"/>
    <s v="Abuja"/>
    <s v="Mary"/>
    <s v="Distributor"/>
    <n v="58.215274654591241"/>
    <n v="888.3"/>
    <n v="51712.628475673395"/>
    <n v="2457.33"/>
    <x v="1047"/>
    <n v="30601.119999999999"/>
    <n v="1333.34"/>
    <n v="2916.02"/>
    <n v="912.39"/>
    <n v="890.93"/>
    <n v="36653.799999999996"/>
    <n v="18654.178475673394"/>
    <n v="12601.498475673397"/>
    <n v="0.2558404652018732"/>
    <s v="Paid"/>
    <x v="8"/>
    <x v="8"/>
    <x v="1"/>
  </r>
  <r>
    <x v="259"/>
    <s v="INV-00911"/>
    <x v="1"/>
    <x v="3"/>
    <x v="3"/>
    <s v="Lagos"/>
    <s v="Emeka"/>
    <s v="Supermarket"/>
    <n v="70.334945756630631"/>
    <n v="932.37"/>
    <n v="65578.193375109695"/>
    <n v="2045.27"/>
    <x v="1048"/>
    <n v="38159.949999999997"/>
    <n v="1044.92"/>
    <n v="3680.59"/>
    <n v="1466.62"/>
    <n v="882.33"/>
    <n v="45234.409999999996"/>
    <n v="25372.973375109701"/>
    <n v="18298.513375109702"/>
    <n v="0.28801623478069815"/>
    <s v="Pending"/>
    <x v="8"/>
    <x v="8"/>
    <x v="1"/>
  </r>
  <r>
    <x v="259"/>
    <s v="INV-00918"/>
    <x v="4"/>
    <x v="3"/>
    <x v="3"/>
    <s v="Lagos"/>
    <s v="Amina"/>
    <s v="Supermarket"/>
    <n v="75.341801115967669"/>
    <n v="897.91"/>
    <n v="67650.156640038535"/>
    <n v="3230.84"/>
    <x v="1049"/>
    <n v="38861.589999999997"/>
    <n v="1104.1300000000001"/>
    <n v="3663.99"/>
    <n v="1455.66"/>
    <n v="882.55"/>
    <n v="45967.92"/>
    <n v="25557.726640038542"/>
    <n v="18451.39664003854"/>
    <n v="0.28642645719359344"/>
    <s v="Paid"/>
    <x v="8"/>
    <x v="8"/>
    <x v="1"/>
  </r>
  <r>
    <x v="259"/>
    <s v="INV-00467"/>
    <x v="11"/>
    <x v="9"/>
    <x v="4"/>
    <s v="Lagos"/>
    <s v="Ibrahim"/>
    <s v="Supermarket"/>
    <n v="61.753306552299598"/>
    <n v="2071.5700000000002"/>
    <n v="127926.29725454729"/>
    <n v="4064.31"/>
    <x v="1050"/>
    <n v="76314.09"/>
    <n v="2356.65"/>
    <n v="6715.44"/>
    <n v="2711.42"/>
    <n v="1612.42"/>
    <n v="89710.01999999999"/>
    <n v="47547.897254547293"/>
    <n v="34151.9672545473"/>
    <n v="0.27572597543071869"/>
    <s v="Paid"/>
    <x v="8"/>
    <x v="8"/>
    <x v="1"/>
  </r>
  <r>
    <x v="259"/>
    <s v="INV-00659"/>
    <x v="4"/>
    <x v="6"/>
    <x v="0"/>
    <s v="Abuja"/>
    <s v="Daniel"/>
    <s v="Wholesale"/>
    <n v="86.660409367014708"/>
    <n v="378.35"/>
    <n v="32787.965884010016"/>
    <n v="1092.23"/>
    <x v="1051"/>
    <n v="23110.63"/>
    <n v="846.33"/>
    <n v="1957.32"/>
    <n v="981.44"/>
    <n v="434.34"/>
    <n v="27330.06"/>
    <n v="8585.1058840100159"/>
    <n v="4365.6758840100156"/>
    <n v="0.13773700979797815"/>
    <s v="Paid"/>
    <x v="8"/>
    <x v="8"/>
    <x v="1"/>
  </r>
  <r>
    <x v="260"/>
    <s v="INV-00468"/>
    <x v="5"/>
    <x v="7"/>
    <x v="5"/>
    <s v="Lagos"/>
    <s v="Amina"/>
    <s v="Supermarket"/>
    <n v="53.878261649661461"/>
    <n v="5835.52"/>
    <n v="314407.6734218325"/>
    <n v="14608.41"/>
    <x v="1052"/>
    <n v="205067.39"/>
    <n v="5383.12"/>
    <n v="17554.93"/>
    <n v="7390.24"/>
    <n v="5426.66"/>
    <n v="240822.34"/>
    <n v="94731.873421832512"/>
    <n v="58976.923421832529"/>
    <n v="0.19672137532522571"/>
    <s v="Pending"/>
    <x v="8"/>
    <x v="8"/>
    <x v="1"/>
  </r>
  <r>
    <x v="260"/>
    <s v="INV-00472"/>
    <x v="10"/>
    <x v="3"/>
    <x v="3"/>
    <s v="Lagos"/>
    <s v="Emeka"/>
    <s v="Wholesale"/>
    <n v="83.535185314370437"/>
    <n v="911.95"/>
    <n v="76179.912247440123"/>
    <n v="3908.9"/>
    <x v="1053"/>
    <n v="42433.14"/>
    <n v="1203.93"/>
    <n v="4023.9"/>
    <n v="2263.6"/>
    <n v="1380.2"/>
    <n v="51304.77"/>
    <n v="29837.872247440129"/>
    <n v="20966.242247440132"/>
    <n v="0.29010583352086322"/>
    <s v="Paid"/>
    <x v="8"/>
    <x v="8"/>
    <x v="1"/>
  </r>
  <r>
    <x v="260"/>
    <s v="INV-00204"/>
    <x v="1"/>
    <x v="4"/>
    <x v="4"/>
    <s v="Ibadan"/>
    <s v="Ibrahim"/>
    <s v="Wholesale"/>
    <n v="60.221707106867882"/>
    <n v="3385.48"/>
    <n v="203879.38497615908"/>
    <n v="10442.450000000001"/>
    <x v="1054"/>
    <n v="101776.61"/>
    <n v="3953.91"/>
    <n v="10533.21"/>
    <n v="4528.01"/>
    <n v="3736.25"/>
    <n v="124527.99"/>
    <n v="91660.324976159071"/>
    <n v="68908.944976159066"/>
    <n v="0.35623468178221512"/>
    <s v="Pending"/>
    <x v="8"/>
    <x v="8"/>
    <x v="1"/>
  </r>
  <r>
    <x v="261"/>
    <s v="INV-00215"/>
    <x v="6"/>
    <x v="5"/>
    <x v="3"/>
    <s v="Abuja"/>
    <s v="Tunde"/>
    <s v="Distributor"/>
    <n v="8.8077723957053031"/>
    <n v="1550.18"/>
    <n v="13653.632612374447"/>
    <n v="699.14"/>
    <x v="1055"/>
    <n v="6434.5"/>
    <n v="281.99"/>
    <n v="629.79"/>
    <n v="325.49"/>
    <n v="235.79"/>
    <n v="7907.5599999999995"/>
    <n v="6519.9926123744481"/>
    <n v="5046.9326123744486"/>
    <n v="0.38958936975682823"/>
    <s v="Paid"/>
    <x v="8"/>
    <x v="8"/>
    <x v="1"/>
  </r>
  <r>
    <x v="261"/>
    <s v="INV-00289"/>
    <x v="8"/>
    <x v="3"/>
    <x v="3"/>
    <s v="Lagos"/>
    <s v="Amina"/>
    <s v="Retail"/>
    <n v="55.815568603497383"/>
    <n v="929.51"/>
    <n v="51881.129172636851"/>
    <n v="2249.89"/>
    <x v="1056"/>
    <n v="30803.51"/>
    <n v="814.4"/>
    <n v="2992.74"/>
    <n v="1526.5"/>
    <n v="822.35"/>
    <n v="36959.5"/>
    <n v="18827.729172636853"/>
    <n v="12671.739172636851"/>
    <n v="0.2553178075719526"/>
    <s v="Paid"/>
    <x v="8"/>
    <x v="8"/>
    <x v="1"/>
  </r>
  <r>
    <x v="262"/>
    <s v="INV-00356"/>
    <x v="0"/>
    <x v="5"/>
    <x v="3"/>
    <s v="Lagos"/>
    <s v="Fatima"/>
    <s v="Distributor"/>
    <n v="67.924038548330657"/>
    <n v="1600.98"/>
    <n v="108745.02723510642"/>
    <n v="6244.74"/>
    <x v="1057"/>
    <n v="49192.53"/>
    <n v="1921.98"/>
    <n v="6080.17"/>
    <n v="2344.6"/>
    <n v="1888.27"/>
    <n v="61427.549999999996"/>
    <n v="53307.757235106415"/>
    <n v="41072.737235106419"/>
    <n v="0.40070850865907603"/>
    <s v="Paid"/>
    <x v="8"/>
    <x v="8"/>
    <x v="1"/>
  </r>
  <r>
    <x v="262"/>
    <s v="INV-00453"/>
    <x v="9"/>
    <x v="9"/>
    <x v="4"/>
    <s v="Abuja"/>
    <s v="Samuel"/>
    <s v="Retail"/>
    <n v="37.050431892992748"/>
    <n v="1987.06"/>
    <n v="73621.431197290163"/>
    <n v="1665.8"/>
    <x v="1058"/>
    <n v="45151.34"/>
    <n v="1715.03"/>
    <n v="3514.61"/>
    <n v="1576.82"/>
    <n v="887.14"/>
    <n v="52844.939999999995"/>
    <n v="26804.291197290164"/>
    <n v="19110.691197290165"/>
    <n v="0.26558993200812714"/>
    <s v="Paid"/>
    <x v="8"/>
    <x v="8"/>
    <x v="1"/>
  </r>
  <r>
    <x v="262"/>
    <s v="INV-00799"/>
    <x v="2"/>
    <x v="10"/>
    <x v="5"/>
    <s v="Lagos"/>
    <s v="Fatima"/>
    <s v="Wholesale"/>
    <n v="67.500072514666741"/>
    <n v="7445.28"/>
    <n v="502556.93989199796"/>
    <n v="17508.38"/>
    <x v="1059"/>
    <n v="260740.86"/>
    <n v="8065.75"/>
    <n v="26172.04"/>
    <n v="13906.65"/>
    <n v="7803.31"/>
    <n v="316688.61"/>
    <n v="224307.69989199797"/>
    <n v="168359.94989199797"/>
    <n v="0.34709916452382705"/>
    <s v="Pending"/>
    <x v="8"/>
    <x v="8"/>
    <x v="1"/>
  </r>
  <r>
    <x v="262"/>
    <s v="INV-00598"/>
    <x v="3"/>
    <x v="0"/>
    <x v="0"/>
    <s v="Abuja"/>
    <s v="Daniel"/>
    <s v="Supermarket"/>
    <n v="62.077346328449202"/>
    <n v="1277.45"/>
    <n v="79300.706067277439"/>
    <n v="3558.11"/>
    <x v="1060"/>
    <n v="42666.23"/>
    <n v="2148"/>
    <n v="4676.21"/>
    <n v="1846.16"/>
    <n v="1247.8399999999999"/>
    <n v="52584.44"/>
    <n v="33076.366067277435"/>
    <n v="23158.156067277436"/>
    <n v="0.30574811624765919"/>
    <s v="Pending"/>
    <x v="8"/>
    <x v="8"/>
    <x v="1"/>
  </r>
  <r>
    <x v="263"/>
    <s v="INV-01193"/>
    <x v="4"/>
    <x v="1"/>
    <x v="1"/>
    <s v="Ibadan"/>
    <s v="Amina"/>
    <s v="Supermarket"/>
    <n v="58.602837609989237"/>
    <n v="4881.62"/>
    <n v="286076.78413367562"/>
    <n v="7378.55"/>
    <x v="1061"/>
    <n v="187949.06"/>
    <n v="6844.36"/>
    <n v="14129.26"/>
    <n v="8598.5"/>
    <n v="4372.03"/>
    <n v="221893.21"/>
    <n v="90749.174133675639"/>
    <n v="56805.024133675644"/>
    <n v="0.20382269127126768"/>
    <s v="Pending"/>
    <x v="8"/>
    <x v="8"/>
    <x v="1"/>
  </r>
  <r>
    <x v="263"/>
    <s v="INV-00173"/>
    <x v="8"/>
    <x v="9"/>
    <x v="4"/>
    <s v="Lagos"/>
    <s v="Daniel"/>
    <s v="Retail"/>
    <n v="60.478053143949687"/>
    <n v="2056.17"/>
    <n v="124353.15853299503"/>
    <n v="4482.42"/>
    <x v="1062"/>
    <n v="73566.399999999994"/>
    <n v="2431.4299999999998"/>
    <n v="7128.15"/>
    <n v="3692.63"/>
    <n v="2333.15"/>
    <n v="89151.75999999998"/>
    <n v="46304.33853299504"/>
    <n v="30718.978532995054"/>
    <n v="0.25626753375294753"/>
    <s v="Paid"/>
    <x v="8"/>
    <x v="8"/>
    <x v="1"/>
  </r>
  <r>
    <x v="263"/>
    <s v="INV-00997"/>
    <x v="11"/>
    <x v="9"/>
    <x v="4"/>
    <s v="Ibadan"/>
    <s v="Amina"/>
    <s v="Wholesale"/>
    <n v="44.2578991254084"/>
    <n v="2093.8200000000002"/>
    <n v="92668.074346762631"/>
    <n v="3846.48"/>
    <x v="1063"/>
    <n v="54105.760000000002"/>
    <n v="1901.48"/>
    <n v="4945.3"/>
    <n v="2769.72"/>
    <n v="1521.93"/>
    <n v="65244.19000000001"/>
    <n v="34715.834346762633"/>
    <n v="23577.404346762625"/>
    <n v="0.2654467589797545"/>
    <s v="Paid"/>
    <x v="8"/>
    <x v="8"/>
    <x v="1"/>
  </r>
  <r>
    <x v="264"/>
    <s v="INV-00426"/>
    <x v="0"/>
    <x v="7"/>
    <x v="5"/>
    <s v="Lagos"/>
    <s v="Emeka"/>
    <s v="Wholesale"/>
    <n v="65.560746231404096"/>
    <n v="5921.71"/>
    <n v="388231.72656596795"/>
    <n v="16697.689999999999"/>
    <x v="1064"/>
    <n v="262786.65000000002"/>
    <n v="5809.68"/>
    <n v="19308.13"/>
    <n v="9234.81"/>
    <n v="4930.4399999999996"/>
    <n v="302069.71000000002"/>
    <n v="108747.38656596793"/>
    <n v="69464.326565967931"/>
    <n v="0.18696625269656594"/>
    <s v="Paid"/>
    <x v="8"/>
    <x v="8"/>
    <x v="1"/>
  </r>
  <r>
    <x v="264"/>
    <s v="INV-01020"/>
    <x v="4"/>
    <x v="4"/>
    <x v="4"/>
    <s v="Port Harcourt"/>
    <s v="Samuel"/>
    <s v="Supermarket"/>
    <n v="19.140490606432628"/>
    <n v="3333.77"/>
    <n v="63809.993369006901"/>
    <n v="2689.65"/>
    <x v="1065"/>
    <n v="32076.14"/>
    <n v="1802.23"/>
    <n v="3350.55"/>
    <n v="1272.51"/>
    <n v="779.4"/>
    <n v="39280.830000000009"/>
    <n v="29044.2033690069"/>
    <n v="21839.513369006891"/>
    <n v="0.35731987363279999"/>
    <s v="Paid"/>
    <x v="8"/>
    <x v="8"/>
    <x v="1"/>
  </r>
  <r>
    <x v="264"/>
    <s v="INV-00999"/>
    <x v="8"/>
    <x v="7"/>
    <x v="5"/>
    <s v="Port Harcourt"/>
    <s v="Amina"/>
    <s v="Wholesale"/>
    <n v="38.166774533343549"/>
    <n v="5770.95"/>
    <n v="220258.54749319894"/>
    <n v="10114.950000000001"/>
    <x v="1066"/>
    <n v="145793.32"/>
    <n v="5399.67"/>
    <n v="11031.04"/>
    <n v="5793.04"/>
    <n v="3646.7"/>
    <n v="171663.77000000005"/>
    <n v="64350.277493198926"/>
    <n v="38479.827493198885"/>
    <n v="0.18311206219092277"/>
    <s v="Pending"/>
    <x v="8"/>
    <x v="8"/>
    <x v="1"/>
  </r>
  <r>
    <x v="265"/>
    <s v="INV-00397"/>
    <x v="5"/>
    <x v="0"/>
    <x v="0"/>
    <s v="Port Harcourt"/>
    <s v="Fatima"/>
    <s v="Supermarket"/>
    <n v="78.509466513535912"/>
    <n v="1295.5999999999999"/>
    <n v="101716.86481493711"/>
    <n v="3874.84"/>
    <x v="1067"/>
    <n v="54437.01"/>
    <n v="2485.7800000000002"/>
    <n v="5652.12"/>
    <n v="2760.51"/>
    <n v="1308.78"/>
    <n v="66644.200000000012"/>
    <n v="43405.014814937116"/>
    <n v="31197.824814937107"/>
    <n v="0.31885914947024147"/>
    <s v="Pending"/>
    <x v="9"/>
    <x v="9"/>
    <x v="1"/>
  </r>
  <r>
    <x v="265"/>
    <s v="INV-00261"/>
    <x v="2"/>
    <x v="1"/>
    <x v="1"/>
    <s v="Lagos"/>
    <s v="Emeka"/>
    <s v="Retail"/>
    <n v="34.454686978618867"/>
    <n v="4803.32"/>
    <n v="165496.88705813957"/>
    <n v="6042.85"/>
    <x v="1068"/>
    <n v="109429.02"/>
    <n v="2585.98"/>
    <n v="9737"/>
    <n v="3197.91"/>
    <n v="3264.28"/>
    <n v="128214.19"/>
    <n v="50025.017058139565"/>
    <n v="31239.847058139567"/>
    <n v="0.19591756743511615"/>
    <s v="Paid"/>
    <x v="9"/>
    <x v="9"/>
    <x v="1"/>
  </r>
  <r>
    <x v="265"/>
    <s v="INV-00632"/>
    <x v="2"/>
    <x v="2"/>
    <x v="2"/>
    <s v="Lagos"/>
    <s v="Samuel"/>
    <s v="Distributor"/>
    <n v="75.343750679094299"/>
    <n v="4998.84"/>
    <n v="376631.35464468377"/>
    <n v="17623.900000000001"/>
    <x v="1069"/>
    <n v="230211.99"/>
    <n v="6948.46"/>
    <n v="18644.54"/>
    <n v="9972.5499999999993"/>
    <n v="5436.62"/>
    <n v="271214.15999999997"/>
    <n v="128795.46464468376"/>
    <n v="87793.294644683774"/>
    <n v="0.24454448928247022"/>
    <s v="Paid"/>
    <x v="9"/>
    <x v="9"/>
    <x v="1"/>
  </r>
  <r>
    <x v="265"/>
    <s v="INV-00171"/>
    <x v="7"/>
    <x v="0"/>
    <x v="0"/>
    <s v="Lagos"/>
    <s v="Samuel"/>
    <s v="Wholesale"/>
    <n v="106.41499900001411"/>
    <n v="1248.21"/>
    <n v="132828.26590180761"/>
    <n v="6137.13"/>
    <x v="1070"/>
    <n v="70993.100000000006"/>
    <n v="2411"/>
    <n v="6893.2"/>
    <n v="3570.37"/>
    <n v="2026.47"/>
    <n v="85894.14"/>
    <n v="55698.035901807598"/>
    <n v="40796.995901807604"/>
    <n v="0.32201933948581418"/>
    <s v="Paid"/>
    <x v="9"/>
    <x v="9"/>
    <x v="1"/>
  </r>
  <r>
    <x v="266"/>
    <s v="INV-00797"/>
    <x v="3"/>
    <x v="7"/>
    <x v="5"/>
    <s v="Abuja"/>
    <s v="Emeka"/>
    <s v="Wholesale"/>
    <n v="71.139363277125568"/>
    <n v="6004.96"/>
    <n v="427189.03090460796"/>
    <n v="21682.76"/>
    <x v="1071"/>
    <n v="274740.43"/>
    <n v="10069.67"/>
    <n v="19648.47"/>
    <n v="12359.24"/>
    <n v="7250.4"/>
    <n v="324068.20999999996"/>
    <n v="130765.84090460796"/>
    <n v="81438.060904607992"/>
    <n v="0.20083058326800976"/>
    <s v="Paid"/>
    <x v="9"/>
    <x v="9"/>
    <x v="1"/>
  </r>
  <r>
    <x v="266"/>
    <s v="INV-00099"/>
    <x v="1"/>
    <x v="6"/>
    <x v="0"/>
    <s v="Ibadan"/>
    <s v="Emeka"/>
    <s v="Supermarket"/>
    <n v="146.77222751458899"/>
    <n v="409.38"/>
    <n v="60085.614499922442"/>
    <n v="2652.89"/>
    <x v="1072"/>
    <n v="42002.43"/>
    <n v="1217.73"/>
    <n v="3409.61"/>
    <n v="1314.59"/>
    <n v="798.84"/>
    <n v="48743.199999999997"/>
    <n v="15430.294499922442"/>
    <n v="8689.5244999224451"/>
    <n v="0.15129918658019054"/>
    <s v="Paid"/>
    <x v="9"/>
    <x v="9"/>
    <x v="1"/>
  </r>
  <r>
    <x v="267"/>
    <s v="INV-00994"/>
    <x v="5"/>
    <x v="9"/>
    <x v="4"/>
    <s v="Lagos"/>
    <s v="Tunde"/>
    <s v="Wholesale"/>
    <n v="76.848198595432351"/>
    <n v="2025.92"/>
    <n v="155688.3024984583"/>
    <n v="8210.08"/>
    <x v="1073"/>
    <n v="94277.45"/>
    <n v="2993.95"/>
    <n v="9143"/>
    <n v="3637.99"/>
    <n v="2220.6"/>
    <n v="112272.99"/>
    <n v="53200.772498458318"/>
    <n v="35205.23249845831"/>
    <n v="0.23871478718714781"/>
    <s v="Paid"/>
    <x v="9"/>
    <x v="9"/>
    <x v="1"/>
  </r>
  <r>
    <x v="267"/>
    <s v="INV-00409"/>
    <x v="5"/>
    <x v="7"/>
    <x v="5"/>
    <s v="Ibadan"/>
    <s v="Ibrahim"/>
    <s v="Retail"/>
    <n v="85.815713292063776"/>
    <n v="5816.49"/>
    <n v="499146.23820615601"/>
    <n v="17946.080000000002"/>
    <x v="1074"/>
    <n v="325431.46999999997"/>
    <n v="9501.99"/>
    <n v="26217.29"/>
    <n v="14481.88"/>
    <n v="8745.6"/>
    <n v="384378.22999999992"/>
    <n v="155768.68820615602"/>
    <n v="96821.928206156066"/>
    <n v="0.20120926095929415"/>
    <s v="Pending"/>
    <x v="9"/>
    <x v="9"/>
    <x v="1"/>
  </r>
  <r>
    <x v="267"/>
    <s v="INV-00565"/>
    <x v="1"/>
    <x v="1"/>
    <x v="1"/>
    <s v="Lagos"/>
    <s v="Daniel"/>
    <s v="Wholesale"/>
    <n v="66.769436507115515"/>
    <n v="4954.29"/>
    <n v="330795.1515928373"/>
    <n v="13219.99"/>
    <x v="1075"/>
    <n v="209702.17"/>
    <n v="5232.38"/>
    <n v="18627.93"/>
    <n v="9294.3700000000008"/>
    <n v="5789.48"/>
    <n v="248646.33000000002"/>
    <n v="107872.99159283729"/>
    <n v="68928.83159283729"/>
    <n v="0.21704730069919906"/>
    <s v="Paid"/>
    <x v="9"/>
    <x v="9"/>
    <x v="1"/>
  </r>
  <r>
    <x v="267"/>
    <s v="INV-01095"/>
    <x v="8"/>
    <x v="0"/>
    <x v="0"/>
    <s v="Abuja"/>
    <s v="Ibrahim"/>
    <s v="Supermarket"/>
    <n v="83.873825836648365"/>
    <n v="1277.32"/>
    <n v="107133.71521766769"/>
    <n v="3139.65"/>
    <x v="1076"/>
    <n v="56320.08"/>
    <n v="2319.84"/>
    <n v="5042.8900000000003"/>
    <n v="3243.39"/>
    <n v="1977.58"/>
    <n v="68903.78"/>
    <n v="47673.985217667694"/>
    <n v="35090.285217667697"/>
    <n v="0.33742584390965957"/>
    <s v="Paid"/>
    <x v="9"/>
    <x v="9"/>
    <x v="1"/>
  </r>
  <r>
    <x v="268"/>
    <s v="INV-00300"/>
    <x v="11"/>
    <x v="8"/>
    <x v="2"/>
    <s v="Lagos"/>
    <s v="Amina"/>
    <s v="Wholesale"/>
    <n v="48.61230160478452"/>
    <n v="7014.56"/>
    <n v="340993.9063448573"/>
    <n v="11178.9"/>
    <x v="1077"/>
    <n v="166972.5"/>
    <n v="5881.8"/>
    <n v="17123.45"/>
    <n v="8717.98"/>
    <n v="6525.85"/>
    <n v="205221.58000000002"/>
    <n v="162842.50634485728"/>
    <n v="124593.42634485726"/>
    <n v="0.37776760895646255"/>
    <s v="Pending"/>
    <x v="9"/>
    <x v="9"/>
    <x v="1"/>
  </r>
  <r>
    <x v="268"/>
    <s v="INV-01347"/>
    <x v="4"/>
    <x v="7"/>
    <x v="5"/>
    <s v="Ibadan"/>
    <s v="Emeka"/>
    <s v="Distributor"/>
    <n v="50.080653832460833"/>
    <n v="6125.82"/>
    <n v="306785.07085996523"/>
    <n v="16388.259999999998"/>
    <x v="1078"/>
    <n v="198544.01"/>
    <n v="6245.19"/>
    <n v="14702.33"/>
    <n v="8490.32"/>
    <n v="4635.7299999999996"/>
    <n v="232617.58000000002"/>
    <n v="91852.800859965209"/>
    <n v="57779.230859965202"/>
    <n v="0.19896647862234076"/>
    <s v="Paid"/>
    <x v="9"/>
    <x v="9"/>
    <x v="1"/>
  </r>
  <r>
    <x v="269"/>
    <s v="INV-00476"/>
    <x v="10"/>
    <x v="10"/>
    <x v="5"/>
    <s v="Lagos"/>
    <s v="Fatima"/>
    <s v="Retail"/>
    <n v="27.12898627128207"/>
    <n v="7309.54"/>
    <n v="198300.41030938714"/>
    <n v="4916.3999999999996"/>
    <x v="1079"/>
    <n v="101230.61"/>
    <n v="2986.77"/>
    <n v="9542.2099999999991"/>
    <n v="4154.96"/>
    <n v="3988.45"/>
    <n v="121903"/>
    <n v="92153.400309387143"/>
    <n v="71481.010309387144"/>
    <n v="0.36963247475852634"/>
    <s v="Paid"/>
    <x v="9"/>
    <x v="9"/>
    <x v="1"/>
  </r>
  <r>
    <x v="269"/>
    <s v="INV-01379"/>
    <x v="9"/>
    <x v="8"/>
    <x v="2"/>
    <s v="Lagos"/>
    <s v="Samuel"/>
    <s v="Retail"/>
    <n v="52.017167751696761"/>
    <n v="7346.76"/>
    <n v="382157.6473514557"/>
    <n v="16111.95"/>
    <x v="1080"/>
    <n v="186615.43"/>
    <n v="5913.2"/>
    <n v="21867.56"/>
    <n v="10883.13"/>
    <n v="4649.09"/>
    <n v="229928.41"/>
    <n v="179430.2673514557"/>
    <n v="136117.28735145568"/>
    <n v="0.37185872784829871"/>
    <s v="Paid"/>
    <x v="9"/>
    <x v="9"/>
    <x v="1"/>
  </r>
  <r>
    <x v="269"/>
    <s v="INV-01212"/>
    <x v="9"/>
    <x v="0"/>
    <x v="0"/>
    <s v="Lagos"/>
    <s v="Tunde"/>
    <s v="Distributor"/>
    <n v="29.533237498741471"/>
    <n v="1306.5999999999999"/>
    <n v="38588.128115855601"/>
    <n v="1627.21"/>
    <x v="1081"/>
    <n v="19568.29"/>
    <n v="697.27"/>
    <n v="2262.58"/>
    <n v="826.1"/>
    <n v="810.11"/>
    <n v="24164.35"/>
    <n v="17392.628115855601"/>
    <n v="12796.568115855604"/>
    <n v="0.34621889195891198"/>
    <s v="Paid"/>
    <x v="9"/>
    <x v="9"/>
    <x v="1"/>
  </r>
  <r>
    <x v="269"/>
    <s v="INV-00642"/>
    <x v="6"/>
    <x v="7"/>
    <x v="5"/>
    <s v="Abuja"/>
    <s v="Samuel"/>
    <s v="Supermarket"/>
    <n v="64.568154326297304"/>
    <n v="5727.05"/>
    <n v="369785.048234421"/>
    <n v="11108.6"/>
    <x v="1082"/>
    <n v="245450.15"/>
    <n v="7735.37"/>
    <n v="20865.759999999998"/>
    <n v="9478.5300000000007"/>
    <n v="5836.25"/>
    <n v="289366.06"/>
    <n v="113226.29823442103"/>
    <n v="69310.388234421029"/>
    <n v="0.19323930683377816"/>
    <s v="Paid"/>
    <x v="9"/>
    <x v="9"/>
    <x v="1"/>
  </r>
  <r>
    <x v="269"/>
    <s v="INV-01310"/>
    <x v="6"/>
    <x v="10"/>
    <x v="5"/>
    <s v="Ibadan"/>
    <s v="Daniel"/>
    <s v="Retail"/>
    <n v="20.10949914929769"/>
    <n v="7584.2"/>
    <n v="152514.46344810355"/>
    <n v="6689.92"/>
    <x v="1083"/>
    <n v="80234.83"/>
    <n v="3101.01"/>
    <n v="8817.11"/>
    <n v="4424.12"/>
    <n v="1793.34"/>
    <n v="98370.409999999989"/>
    <n v="65589.713448103532"/>
    <n v="47454.133448103545"/>
    <n v="0.32541938638053519"/>
    <s v="Paid"/>
    <x v="9"/>
    <x v="9"/>
    <x v="1"/>
  </r>
  <r>
    <x v="270"/>
    <s v="INV-00593"/>
    <x v="1"/>
    <x v="1"/>
    <x v="1"/>
    <s v="Lagos"/>
    <s v="Samuel"/>
    <s v="Wholesale"/>
    <n v="51.989490072836517"/>
    <n v="4695.55"/>
    <n v="244119.25011150751"/>
    <n v="8404.33"/>
    <x v="1084"/>
    <n v="155463.01"/>
    <n v="4703.38"/>
    <n v="11931.59"/>
    <n v="6135.91"/>
    <n v="3094.4"/>
    <n v="181328.29"/>
    <n v="80251.910111507517"/>
    <n v="54386.630111507518"/>
    <n v="0.23073053706477015"/>
    <s v="Pending"/>
    <x v="9"/>
    <x v="9"/>
    <x v="1"/>
  </r>
  <r>
    <x v="270"/>
    <s v="INV-00381"/>
    <x v="2"/>
    <x v="0"/>
    <x v="0"/>
    <s v="Port Harcourt"/>
    <s v="Tunde"/>
    <s v="Wholesale"/>
    <n v="93.04912822613295"/>
    <n v="1290.78"/>
    <n v="120105.95373172789"/>
    <n v="4005.61"/>
    <x v="1085"/>
    <n v="59071.3"/>
    <n v="2997.8"/>
    <n v="6745.43"/>
    <n v="2139.61"/>
    <n v="1838.82"/>
    <n v="72792.960000000006"/>
    <n v="57029.043731727885"/>
    <n v="43307.383731727881"/>
    <n v="0.37301684335920571"/>
    <s v="Paid"/>
    <x v="9"/>
    <x v="9"/>
    <x v="1"/>
  </r>
  <r>
    <x v="270"/>
    <s v="INV-00695"/>
    <x v="3"/>
    <x v="7"/>
    <x v="5"/>
    <s v="Abuja"/>
    <s v="Samuel"/>
    <s v="Retail"/>
    <n v="74.957897117840716"/>
    <n v="5685.78"/>
    <n v="426194.11227467639"/>
    <n v="15106.95"/>
    <x v="1086"/>
    <n v="271453.38"/>
    <n v="11369.9"/>
    <n v="20497.419999999998"/>
    <n v="8627.7800000000007"/>
    <n v="5603.19"/>
    <n v="317551.67000000004"/>
    <n v="139633.78227467637"/>
    <n v="93535.492274676333"/>
    <n v="0.22753201962599517"/>
    <s v="Paid"/>
    <x v="9"/>
    <x v="9"/>
    <x v="1"/>
  </r>
  <r>
    <x v="270"/>
    <s v="INV-00567"/>
    <x v="11"/>
    <x v="5"/>
    <x v="3"/>
    <s v="Lagos"/>
    <s v="Mary"/>
    <s v="Retail"/>
    <n v="58.036645443121209"/>
    <n v="1650.82"/>
    <n v="95808.05503041335"/>
    <n v="3036.56"/>
    <x v="1087"/>
    <n v="43179.17"/>
    <n v="1430.64"/>
    <n v="5719.94"/>
    <n v="2935.45"/>
    <n v="1364.06"/>
    <n v="54629.259999999995"/>
    <n v="49592.325030413354"/>
    <n v="38142.235030413358"/>
    <n v="0.41114175230127703"/>
    <s v="Paid"/>
    <x v="9"/>
    <x v="9"/>
    <x v="1"/>
  </r>
  <r>
    <x v="270"/>
    <s v="INV-00875"/>
    <x v="10"/>
    <x v="7"/>
    <x v="5"/>
    <s v="Port Harcourt"/>
    <s v="Mary"/>
    <s v="Supermarket"/>
    <n v="90.369658641967689"/>
    <n v="6119.95"/>
    <n v="553057.79240591009"/>
    <n v="22090.87"/>
    <x v="1088"/>
    <n v="360348.41"/>
    <n v="15681.28"/>
    <n v="29428.639999999999"/>
    <n v="16496.650000000001"/>
    <n v="9405.59"/>
    <n v="431360.57000000007"/>
    <n v="170618.51240591012"/>
    <n v="99606.352405910031"/>
    <n v="0.18759427038237161"/>
    <s v="Pending"/>
    <x v="9"/>
    <x v="9"/>
    <x v="1"/>
  </r>
  <r>
    <x v="270"/>
    <s v="INV-01166"/>
    <x v="5"/>
    <x v="5"/>
    <x v="3"/>
    <s v="Abuja"/>
    <s v="Tunde"/>
    <s v="Retail"/>
    <n v="29.514544735391301"/>
    <n v="1544.43"/>
    <n v="45583.148325680391"/>
    <n v="1667.01"/>
    <x v="1089"/>
    <n v="20490.599999999999"/>
    <n v="1020.83"/>
    <n v="2165.64"/>
    <n v="1336.71"/>
    <n v="899.38"/>
    <n v="25913.16"/>
    <n v="23425.538325680391"/>
    <n v="18002.978325680389"/>
    <n v="0.4099399221345692"/>
    <s v="Paid"/>
    <x v="9"/>
    <x v="9"/>
    <x v="1"/>
  </r>
  <r>
    <x v="270"/>
    <s v="INV-00560"/>
    <x v="7"/>
    <x v="0"/>
    <x v="0"/>
    <s v="Ibadan"/>
    <s v="Samuel"/>
    <s v="Retail"/>
    <n v="74.020381791354751"/>
    <n v="1274.3800000000001"/>
    <n v="94330.094147266675"/>
    <n v="3869.05"/>
    <x v="1090"/>
    <n v="48943.95"/>
    <n v="2002.99"/>
    <n v="4452.43"/>
    <n v="2268.14"/>
    <n v="1973.46"/>
    <n v="59640.969999999994"/>
    <n v="41517.094147266675"/>
    <n v="30820.074147266678"/>
    <n v="0.34069996027342919"/>
    <s v="Paid"/>
    <x v="9"/>
    <x v="9"/>
    <x v="1"/>
  </r>
  <r>
    <x v="271"/>
    <s v="INV-01063"/>
    <x v="10"/>
    <x v="2"/>
    <x v="2"/>
    <s v="Lagos"/>
    <s v="Samuel"/>
    <s v="Wholesale"/>
    <n v="62.995267827474713"/>
    <n v="4596.3500000000004"/>
    <n v="289548.29927881341"/>
    <n v="12020.86"/>
    <x v="1091"/>
    <n v="174406.43"/>
    <n v="4157.22"/>
    <n v="14090.42"/>
    <n v="5163.78"/>
    <n v="3633.21"/>
    <n v="201451.06"/>
    <n v="103121.00927881344"/>
    <n v="76076.379278813431"/>
    <n v="0.27412200925611729"/>
    <s v="Paid"/>
    <x v="9"/>
    <x v="9"/>
    <x v="1"/>
  </r>
  <r>
    <x v="271"/>
    <s v="INV-01364"/>
    <x v="2"/>
    <x v="0"/>
    <x v="0"/>
    <s v="Ibadan"/>
    <s v="Ibrahim"/>
    <s v="Retail"/>
    <n v="64.685058397819887"/>
    <n v="1302.3900000000001"/>
    <n v="84245.173206736654"/>
    <n v="2439.9"/>
    <x v="1092"/>
    <n v="44939.8"/>
    <n v="1689.91"/>
    <n v="4719.24"/>
    <n v="2229.2399999999998"/>
    <n v="1772.27"/>
    <n v="55350.46"/>
    <n v="36865.473206736657"/>
    <n v="26454.813206736661"/>
    <n v="0.32338762734622967"/>
    <s v="Paid"/>
    <x v="9"/>
    <x v="9"/>
    <x v="1"/>
  </r>
  <r>
    <x v="271"/>
    <s v="INV-00824"/>
    <x v="11"/>
    <x v="8"/>
    <x v="2"/>
    <s v="Port Harcourt"/>
    <s v="Mary"/>
    <s v="Distributor"/>
    <n v="72.116308634017656"/>
    <n v="7385.78"/>
    <n v="532635.18998295488"/>
    <n v="21326.51"/>
    <x v="1093"/>
    <n v="269781.31"/>
    <n v="14794.19"/>
    <n v="26847.17"/>
    <n v="13470.3"/>
    <n v="7447.16"/>
    <n v="332340.12999999995"/>
    <n v="241527.36998295487"/>
    <n v="178968.54998295492"/>
    <n v="0.35002055898781353"/>
    <s v="Paid"/>
    <x v="9"/>
    <x v="9"/>
    <x v="1"/>
  </r>
  <r>
    <x v="271"/>
    <s v="INV-00964"/>
    <x v="3"/>
    <x v="0"/>
    <x v="0"/>
    <s v="Lagos"/>
    <s v="Tunde"/>
    <s v="Wholesale"/>
    <n v="92.637554228413649"/>
    <n v="1201.6400000000001"/>
    <n v="111316.99066303099"/>
    <n v="5757.56"/>
    <x v="1094"/>
    <n v="53366.35"/>
    <n v="2031.29"/>
    <n v="5721.26"/>
    <n v="2350.69"/>
    <n v="2017.61"/>
    <n v="65487.200000000004"/>
    <n v="52193.080663030989"/>
    <n v="40072.230663030983"/>
    <n v="0.37961772256000881"/>
    <s v="Paid"/>
    <x v="9"/>
    <x v="9"/>
    <x v="1"/>
  </r>
  <r>
    <x v="272"/>
    <s v="INV-00061"/>
    <x v="1"/>
    <x v="10"/>
    <x v="5"/>
    <s v="Lagos"/>
    <s v="Amina"/>
    <s v="Wholesale"/>
    <n v="38.425814267509672"/>
    <n v="7559.9"/>
    <n v="290495.31328094634"/>
    <n v="8932.8700000000008"/>
    <x v="1095"/>
    <n v="147510.1"/>
    <n v="4780.95"/>
    <n v="17296.53"/>
    <n v="6097.69"/>
    <n v="4441.49"/>
    <n v="180126.76"/>
    <n v="134052.34328094634"/>
    <n v="101435.68328094634"/>
    <n v="0.3602599909950796"/>
    <s v="Paid"/>
    <x v="9"/>
    <x v="9"/>
    <x v="1"/>
  </r>
  <r>
    <x v="272"/>
    <s v="INV-00816"/>
    <x v="0"/>
    <x v="11"/>
    <x v="1"/>
    <s v="Ibadan"/>
    <s v="Mary"/>
    <s v="Supermarket"/>
    <n v="27.02519271043025"/>
    <n v="7164.16"/>
    <n v="193612.80460835597"/>
    <n v="6481.05"/>
    <x v="1096"/>
    <n v="100380.06"/>
    <n v="3724.99"/>
    <n v="10865.23"/>
    <n v="3898.62"/>
    <n v="2377.21"/>
    <n v="121246.11"/>
    <n v="86751.694608355989"/>
    <n v="65885.644608355986"/>
    <n v="0.35208158415575502"/>
    <s v="Paid"/>
    <x v="9"/>
    <x v="9"/>
    <x v="1"/>
  </r>
  <r>
    <x v="272"/>
    <s v="INV-00203"/>
    <x v="2"/>
    <x v="2"/>
    <x v="2"/>
    <s v="Port Harcourt"/>
    <s v="Amina"/>
    <s v="Retail"/>
    <n v="64.840917333117432"/>
    <n v="4873.55"/>
    <n v="316005.45266881445"/>
    <n v="7859.38"/>
    <x v="1097"/>
    <n v="192892.95"/>
    <n v="9657.1299999999992"/>
    <n v="18544.29"/>
    <n v="9034.82"/>
    <n v="6577.32"/>
    <n v="236706.51000000004"/>
    <n v="115253.12266881444"/>
    <n v="71439.562668814411"/>
    <n v="0.23183668073418989"/>
    <s v="Paid"/>
    <x v="9"/>
    <x v="9"/>
    <x v="1"/>
  </r>
  <r>
    <x v="272"/>
    <s v="INV-00805"/>
    <x v="8"/>
    <x v="4"/>
    <x v="4"/>
    <s v="Lagos"/>
    <s v="Mary"/>
    <s v="Retail"/>
    <n v="42.240511510025023"/>
    <n v="3496.28"/>
    <n v="147684.65558227029"/>
    <n v="5241.6499999999996"/>
    <x v="1098"/>
    <n v="77184.710000000006"/>
    <n v="2860.96"/>
    <n v="8799.26"/>
    <n v="4172.82"/>
    <n v="2890.37"/>
    <n v="95908.12"/>
    <n v="65258.295582270293"/>
    <n v="46534.885582270304"/>
    <n v="0.32669126428530265"/>
    <s v="Paid"/>
    <x v="9"/>
    <x v="9"/>
    <x v="1"/>
  </r>
  <r>
    <x v="273"/>
    <s v="INV-01419"/>
    <x v="5"/>
    <x v="0"/>
    <x v="0"/>
    <s v="Ibadan"/>
    <s v="Ibrahim"/>
    <s v="Distributor"/>
    <n v="67.773334939213854"/>
    <n v="1283.67"/>
    <n v="86998.59686142065"/>
    <n v="3321.84"/>
    <x v="1099"/>
    <n v="43169.63"/>
    <n v="1789.7"/>
    <n v="4944.47"/>
    <n v="1595.55"/>
    <n v="1783.31"/>
    <n v="53282.659999999996"/>
    <n v="40507.126861420656"/>
    <n v="30394.096861420658"/>
    <n v="0.36323225231777501"/>
    <s v="Paid"/>
    <x v="9"/>
    <x v="9"/>
    <x v="1"/>
  </r>
  <r>
    <x v="273"/>
    <s v="INV-01039"/>
    <x v="6"/>
    <x v="0"/>
    <x v="0"/>
    <s v="Port Harcourt"/>
    <s v="Mary"/>
    <s v="Supermarket"/>
    <n v="57.286317862546639"/>
    <n v="1206.57"/>
    <n v="69119.952543412888"/>
    <n v="2150.3200000000002"/>
    <x v="1100"/>
    <n v="35569.71"/>
    <n v="1784.83"/>
    <n v="3468.12"/>
    <n v="1315.05"/>
    <n v="1313.63"/>
    <n v="43451.340000000004"/>
    <n v="31399.922543412882"/>
    <n v="23518.292543412877"/>
    <n v="0.35117846179262235"/>
    <s v="Paid"/>
    <x v="9"/>
    <x v="9"/>
    <x v="1"/>
  </r>
  <r>
    <x v="273"/>
    <s v="INV-01175"/>
    <x v="6"/>
    <x v="2"/>
    <x v="2"/>
    <s v="Port Harcourt"/>
    <s v="Fatima"/>
    <s v="Supermarket"/>
    <n v="72.557737886089754"/>
    <n v="4664.53"/>
    <n v="338447.74510180223"/>
    <n v="14635.29"/>
    <x v="1101"/>
    <n v="217203.68"/>
    <n v="9322.76"/>
    <n v="15929.38"/>
    <n v="8764.34"/>
    <n v="4787.54"/>
    <n v="256007.7"/>
    <n v="106608.77510180225"/>
    <n v="67804.755101802235"/>
    <n v="0.20939514226061914"/>
    <s v="Paid"/>
    <x v="9"/>
    <x v="9"/>
    <x v="1"/>
  </r>
  <r>
    <x v="274"/>
    <s v="INV-01149"/>
    <x v="11"/>
    <x v="0"/>
    <x v="0"/>
    <s v="Abuja"/>
    <s v="Daniel"/>
    <s v="Supermarket"/>
    <n v="113.519789125001"/>
    <n v="1294.98"/>
    <n v="147005.85652109378"/>
    <n v="6254.7"/>
    <x v="1102"/>
    <n v="70850.42"/>
    <n v="3831.93"/>
    <n v="7665.75"/>
    <n v="2951.91"/>
    <n v="2188.5700000000002"/>
    <n v="87488.58"/>
    <n v="69900.736521093771"/>
    <n v="53262.576521093768"/>
    <n v="0.37841661722411163"/>
    <s v="Paid"/>
    <x v="9"/>
    <x v="9"/>
    <x v="1"/>
  </r>
  <r>
    <x v="274"/>
    <s v="INV-00820"/>
    <x v="9"/>
    <x v="1"/>
    <x v="1"/>
    <s v="Ibadan"/>
    <s v="Amina"/>
    <s v="Supermarket"/>
    <n v="48.86960959266203"/>
    <n v="4584.29"/>
    <n v="224032.46255954463"/>
    <n v="9110.49"/>
    <x v="1103"/>
    <n v="140718.18"/>
    <n v="4870.9399999999996"/>
    <n v="13195.29"/>
    <n v="3966.31"/>
    <n v="2774.16"/>
    <n v="165524.88"/>
    <n v="74203.792559544643"/>
    <n v="49397.092559544632"/>
    <n v="0.22983733106143464"/>
    <s v="Paid"/>
    <x v="9"/>
    <x v="9"/>
    <x v="1"/>
  </r>
  <r>
    <x v="274"/>
    <s v="INV-00016"/>
    <x v="4"/>
    <x v="6"/>
    <x v="0"/>
    <s v="Lagos"/>
    <s v="Mary"/>
    <s v="Retail"/>
    <n v="119.548783772269"/>
    <n v="397.68"/>
    <n v="47542.16033055594"/>
    <n v="1951.59"/>
    <x v="1104"/>
    <n v="33618.480000000003"/>
    <n v="801"/>
    <n v="2390.86"/>
    <n v="1449.62"/>
    <n v="597.28"/>
    <n v="38857.240000000005"/>
    <n v="11972.09033055594"/>
    <n v="6733.3303305559384"/>
    <n v="0.14769129409296053"/>
    <s v="Paid"/>
    <x v="9"/>
    <x v="9"/>
    <x v="1"/>
  </r>
  <r>
    <x v="274"/>
    <s v="INV-00227"/>
    <x v="1"/>
    <x v="0"/>
    <x v="0"/>
    <s v="Lagos"/>
    <s v="Fatima"/>
    <s v="Retail"/>
    <n v="73.434310623736408"/>
    <n v="1298.23"/>
    <n v="95334.625081053324"/>
    <n v="2996.11"/>
    <x v="1105"/>
    <n v="49419.51"/>
    <n v="1704"/>
    <n v="4917.37"/>
    <n v="1902.29"/>
    <n v="1494.49"/>
    <n v="59437.66"/>
    <n v="42919.005081053321"/>
    <n v="32900.85508105332"/>
    <n v="0.35630695438597271"/>
    <s v="Pending"/>
    <x v="9"/>
    <x v="9"/>
    <x v="1"/>
  </r>
  <r>
    <x v="275"/>
    <s v="INV-00834"/>
    <x v="2"/>
    <x v="5"/>
    <x v="3"/>
    <s v="Lagos"/>
    <s v="Mary"/>
    <s v="Retail"/>
    <n v="25.399825446479451"/>
    <n v="1549.11"/>
    <n v="39347.123597395781"/>
    <n v="1492.08"/>
    <x v="1106"/>
    <n v="19396.580000000002"/>
    <n v="658.22"/>
    <n v="1819.06"/>
    <n v="902.81"/>
    <n v="799.97"/>
    <n v="23576.640000000007"/>
    <n v="18458.463597395777"/>
    <n v="14278.403597395773"/>
    <n v="0.37718629383319607"/>
    <s v="Paid"/>
    <x v="9"/>
    <x v="9"/>
    <x v="1"/>
  </r>
  <r>
    <x v="275"/>
    <s v="INV-00796"/>
    <x v="4"/>
    <x v="9"/>
    <x v="4"/>
    <s v="Port Harcourt"/>
    <s v="Amina"/>
    <s v="Retail"/>
    <n v="35.734672895477132"/>
    <n v="2049.5500000000002"/>
    <n v="73239.998832925165"/>
    <n v="1890.41"/>
    <x v="1107"/>
    <n v="43568.72"/>
    <n v="1799.33"/>
    <n v="3470.74"/>
    <n v="1509.81"/>
    <n v="1297.9000000000001"/>
    <n v="51646.5"/>
    <n v="27780.86883292516"/>
    <n v="19703.088832925161"/>
    <n v="0.27614859672229708"/>
    <s v="Paid"/>
    <x v="9"/>
    <x v="9"/>
    <x v="1"/>
  </r>
  <r>
    <x v="275"/>
    <s v="INV-00616"/>
    <x v="11"/>
    <x v="5"/>
    <x v="3"/>
    <s v="Ibadan"/>
    <s v="Mary"/>
    <s v="Supermarket"/>
    <n v="45.934442769515869"/>
    <n v="1630.42"/>
    <n v="74892.434180274067"/>
    <n v="2326"/>
    <x v="1108"/>
    <n v="35597.31"/>
    <n v="1500.19"/>
    <n v="4213.03"/>
    <n v="1474.35"/>
    <n v="913.72"/>
    <n v="43698.6"/>
    <n v="36969.12418027407"/>
    <n v="28867.834180274069"/>
    <n v="0.39781249425262916"/>
    <s v="Paid"/>
    <x v="9"/>
    <x v="9"/>
    <x v="1"/>
  </r>
  <r>
    <x v="275"/>
    <s v="INV-01201"/>
    <x v="2"/>
    <x v="7"/>
    <x v="5"/>
    <s v="Lagos"/>
    <s v="Mary"/>
    <s v="Supermarket"/>
    <n v="43.725644792783051"/>
    <n v="6195.95"/>
    <n v="270921.90885384416"/>
    <n v="8165.95"/>
    <x v="1109"/>
    <n v="179471.94"/>
    <n v="5060.91"/>
    <n v="14269.11"/>
    <n v="6436.34"/>
    <n v="5555.06"/>
    <n v="210793.36000000002"/>
    <n v="83284.018853844143"/>
    <n v="51962.598853844131"/>
    <n v="0.19775992552369823"/>
    <s v="Paid"/>
    <x v="9"/>
    <x v="9"/>
    <x v="1"/>
  </r>
  <r>
    <x v="275"/>
    <s v="INV-01207"/>
    <x v="11"/>
    <x v="8"/>
    <x v="2"/>
    <s v="Ibadan"/>
    <s v="Fatima"/>
    <s v="Wholesale"/>
    <n v="29.831858498118802"/>
    <n v="7332.79"/>
    <n v="218750.75367642057"/>
    <n v="11485.6"/>
    <x v="1110"/>
    <n v="110158.01"/>
    <n v="4359.9399999999996"/>
    <n v="12719.33"/>
    <n v="5810.79"/>
    <n v="3247.87"/>
    <n v="136295.94"/>
    <n v="97107.143676420572"/>
    <n v="70969.213676420564"/>
    <n v="0.34240784047672912"/>
    <s v="Paid"/>
    <x v="9"/>
    <x v="9"/>
    <x v="1"/>
  </r>
  <r>
    <x v="276"/>
    <s v="INV-01030"/>
    <x v="5"/>
    <x v="6"/>
    <x v="0"/>
    <s v="Lagos"/>
    <s v="Fatima"/>
    <s v="Supermarket"/>
    <n v="137.9849105528439"/>
    <n v="384.88"/>
    <n v="53107.632373578563"/>
    <n v="2110.37"/>
    <x v="1111"/>
    <n v="36085.46"/>
    <n v="907.99"/>
    <n v="3082.71"/>
    <n v="1226.78"/>
    <n v="1073.44"/>
    <n v="42376.38"/>
    <n v="14911.802373578561"/>
    <n v="8620.8823735785627"/>
    <n v="0.16904598349665531"/>
    <s v="Paid"/>
    <x v="9"/>
    <x v="9"/>
    <x v="1"/>
  </r>
  <r>
    <x v="276"/>
    <s v="INV-00711"/>
    <x v="4"/>
    <x v="0"/>
    <x v="0"/>
    <s v="Lagos"/>
    <s v="Mary"/>
    <s v="Supermarket"/>
    <n v="26.88197219561377"/>
    <n v="1286.23"/>
    <n v="34576.3990971643"/>
    <n v="1326.95"/>
    <x v="1112"/>
    <n v="17182.39"/>
    <n v="559.66"/>
    <n v="1693.66"/>
    <n v="710.11"/>
    <n v="699.67"/>
    <n v="20845.489999999998"/>
    <n v="16067.059097164303"/>
    <n v="12403.959097164305"/>
    <n v="0.37305758242539372"/>
    <s v="Paid"/>
    <x v="9"/>
    <x v="9"/>
    <x v="1"/>
  </r>
  <r>
    <x v="277"/>
    <s v="INV-01075"/>
    <x v="9"/>
    <x v="3"/>
    <x v="3"/>
    <s v="Ibadan"/>
    <s v="Emeka"/>
    <s v="Supermarket"/>
    <n v="57.841865412724083"/>
    <n v="898.85"/>
    <n v="51991.160726227041"/>
    <n v="1430.98"/>
    <x v="1113"/>
    <n v="31112.6"/>
    <n v="1262.1199999999999"/>
    <n v="2558.41"/>
    <n v="966.67"/>
    <n v="896.31"/>
    <n v="36796.109999999993"/>
    <n v="19447.580726227039"/>
    <n v="13764.070726227044"/>
    <n v="0.27223143842694414"/>
    <s v="Paid"/>
    <x v="9"/>
    <x v="9"/>
    <x v="1"/>
  </r>
  <r>
    <x v="277"/>
    <s v="INV-01023"/>
    <x v="0"/>
    <x v="11"/>
    <x v="1"/>
    <s v="Lagos"/>
    <s v="Fatima"/>
    <s v="Distributor"/>
    <n v="44.631103924383197"/>
    <n v="7322.26"/>
    <n v="326800.54702135414"/>
    <n v="16886.7"/>
    <x v="1114"/>
    <n v="172055.77"/>
    <n v="6058.43"/>
    <n v="17970.38"/>
    <n v="7822.42"/>
    <n v="4214.38"/>
    <n v="208121.38"/>
    <n v="137858.07702135414"/>
    <n v="101792.46702135412"/>
    <n v="0.32845407844697005"/>
    <s v="Paid"/>
    <x v="9"/>
    <x v="9"/>
    <x v="1"/>
  </r>
  <r>
    <x v="277"/>
    <s v="INV-00703"/>
    <x v="1"/>
    <x v="8"/>
    <x v="2"/>
    <s v="Abuja"/>
    <s v="Samuel"/>
    <s v="Wholesale"/>
    <n v="30.81527209405316"/>
    <n v="7214.98"/>
    <n v="222331.57185315166"/>
    <n v="8855.74"/>
    <x v="1115"/>
    <n v="112260.18"/>
    <n v="4462.33"/>
    <n v="10753.91"/>
    <n v="5569.43"/>
    <n v="4635.0600000000004"/>
    <n v="137680.91"/>
    <n v="101215.65185315168"/>
    <n v="75794.921853151667"/>
    <n v="0.35505153531988759"/>
    <s v="Paid"/>
    <x v="9"/>
    <x v="9"/>
    <x v="1"/>
  </r>
  <r>
    <x v="278"/>
    <s v="INV-00756"/>
    <x v="1"/>
    <x v="6"/>
    <x v="0"/>
    <s v="Lagos"/>
    <s v="Fatima"/>
    <s v="Distributor"/>
    <n v="98.340394166229217"/>
    <n v="402.86"/>
    <n v="39617.4111938071"/>
    <n v="2257.41"/>
    <x v="1116"/>
    <n v="27017.09"/>
    <n v="648.46"/>
    <n v="1833.47"/>
    <n v="902.63"/>
    <n v="811.42"/>
    <n v="31213.07"/>
    <n v="10342.911193807096"/>
    <n v="6146.9311938070969"/>
    <n v="0.16453241427695753"/>
    <s v="Paid"/>
    <x v="9"/>
    <x v="9"/>
    <x v="1"/>
  </r>
  <r>
    <x v="278"/>
    <s v="INV-01058"/>
    <x v="6"/>
    <x v="0"/>
    <x v="0"/>
    <s v="Lagos"/>
    <s v="Samuel"/>
    <s v="Supermarket"/>
    <n v="99.673915194096296"/>
    <n v="1287.4100000000001"/>
    <n v="128321.19516003152"/>
    <n v="4933.47"/>
    <x v="1117"/>
    <n v="65253.91"/>
    <n v="2286.21"/>
    <n v="7199.42"/>
    <n v="2568.79"/>
    <n v="1595.07"/>
    <n v="78903.400000000009"/>
    <n v="58133.815160031518"/>
    <n v="44484.325160031512"/>
    <n v="0.36052472077215292"/>
    <s v="Paid"/>
    <x v="9"/>
    <x v="9"/>
    <x v="1"/>
  </r>
  <r>
    <x v="278"/>
    <s v="INV-00429"/>
    <x v="10"/>
    <x v="5"/>
    <x v="3"/>
    <s v="Lagos"/>
    <s v="Fatima"/>
    <s v="Wholesale"/>
    <n v="19.50231591635136"/>
    <n v="1616.36"/>
    <n v="31522.763354553685"/>
    <n v="1156.18"/>
    <x v="1118"/>
    <n v="14168.99"/>
    <n v="529.28"/>
    <n v="1775.33"/>
    <n v="642.13"/>
    <n v="537.99"/>
    <n v="17653.72"/>
    <n v="16197.593354553685"/>
    <n v="12712.863354553683"/>
    <n v="0.41864648406839289"/>
    <s v="Paid"/>
    <x v="9"/>
    <x v="9"/>
    <x v="1"/>
  </r>
  <r>
    <x v="278"/>
    <s v="INV-00018"/>
    <x v="4"/>
    <x v="2"/>
    <x v="2"/>
    <s v="Port Harcourt"/>
    <s v="Tunde"/>
    <s v="Retail"/>
    <n v="49.893402506669467"/>
    <n v="4706.45"/>
    <n v="234820.80422751451"/>
    <n v="8765.2000000000007"/>
    <x v="1119"/>
    <n v="152069.34"/>
    <n v="6141.71"/>
    <n v="11971.62"/>
    <n v="4934.2700000000004"/>
    <n v="4633.97"/>
    <n v="179750.90999999997"/>
    <n v="73986.264227514504"/>
    <n v="46304.694227514527"/>
    <n v="0.20483763004128397"/>
    <s v="Paid"/>
    <x v="9"/>
    <x v="9"/>
    <x v="1"/>
  </r>
  <r>
    <x v="279"/>
    <s v="INV-00365"/>
    <x v="8"/>
    <x v="6"/>
    <x v="0"/>
    <s v="Port Harcourt"/>
    <s v="Mary"/>
    <s v="Retail"/>
    <n v="104.87582516753891"/>
    <n v="387.25"/>
    <n v="40613.163296129438"/>
    <n v="1020.73"/>
    <x v="1120"/>
    <n v="28283.69"/>
    <n v="1138.5999999999999"/>
    <n v="2403.84"/>
    <n v="970.21"/>
    <n v="531.71"/>
    <n v="33328.049999999996"/>
    <n v="11308.743296129436"/>
    <n v="6264.3832961294393"/>
    <n v="0.15822173012897003"/>
    <s v="Paid"/>
    <x v="9"/>
    <x v="9"/>
    <x v="1"/>
  </r>
  <r>
    <x v="279"/>
    <s v="INV-00579"/>
    <x v="4"/>
    <x v="7"/>
    <x v="5"/>
    <s v="Lagos"/>
    <s v="Fatima"/>
    <s v="Supermarket"/>
    <n v="48.310506736208907"/>
    <n v="5868.36"/>
    <n v="283503.44531049888"/>
    <n v="10154.36"/>
    <x v="1121"/>
    <n v="182399.35"/>
    <n v="5273.08"/>
    <n v="15786.13"/>
    <n v="5287.77"/>
    <n v="4314.58"/>
    <n v="213060.90999999997"/>
    <n v="90949.735310498887"/>
    <n v="60288.175310498918"/>
    <n v="0.22055378470360423"/>
    <s v="Paid"/>
    <x v="9"/>
    <x v="9"/>
    <x v="1"/>
  </r>
  <r>
    <x v="279"/>
    <s v="INV-01284"/>
    <x v="3"/>
    <x v="0"/>
    <x v="0"/>
    <s v="Port Harcourt"/>
    <s v="Ibrahim"/>
    <s v="Retail"/>
    <n v="109.7266638323273"/>
    <n v="1277.1500000000001"/>
    <n v="140137.40871345683"/>
    <n v="6288.39"/>
    <x v="1122"/>
    <n v="73612.399999999994"/>
    <n v="4004.79"/>
    <n v="7215.75"/>
    <n v="3582.19"/>
    <n v="2040.77"/>
    <n v="90455.9"/>
    <n v="60236.618713456817"/>
    <n v="43393.118713456817"/>
    <n v="0.32419452253402431"/>
    <s v="Paid"/>
    <x v="9"/>
    <x v="9"/>
    <x v="1"/>
  </r>
  <r>
    <x v="279"/>
    <s v="INV-00312"/>
    <x v="11"/>
    <x v="1"/>
    <x v="1"/>
    <s v="Abuja"/>
    <s v="Samuel"/>
    <s v="Retail"/>
    <n v="53.415088264171978"/>
    <n v="4916.26"/>
    <n v="262602.46182961814"/>
    <n v="7504.73"/>
    <x v="1123"/>
    <n v="173116.37"/>
    <n v="5719.55"/>
    <n v="15643.13"/>
    <n v="6714.5"/>
    <n v="4752.3999999999996"/>
    <n v="205945.94999999998"/>
    <n v="81981.361829618138"/>
    <n v="49151.78182961815"/>
    <n v="0.19267823934415468"/>
    <s v="Paid"/>
    <x v="9"/>
    <x v="9"/>
    <x v="1"/>
  </r>
  <r>
    <x v="279"/>
    <s v="INV-00843"/>
    <x v="1"/>
    <x v="0"/>
    <x v="0"/>
    <s v="Lagos"/>
    <s v="Amina"/>
    <s v="Wholesale"/>
    <n v="53.325499266898113"/>
    <n v="1266.6099999999999"/>
    <n v="67542.610626445807"/>
    <n v="3164.95"/>
    <x v="1124"/>
    <n v="35634.620000000003"/>
    <n v="1001.96"/>
    <n v="3889.04"/>
    <n v="1248.19"/>
    <n v="967.73"/>
    <n v="42741.540000000008"/>
    <n v="28743.040626445807"/>
    <n v="21636.120626445801"/>
    <n v="0.33608118741670867"/>
    <s v="Paid"/>
    <x v="9"/>
    <x v="9"/>
    <x v="1"/>
  </r>
  <r>
    <x v="279"/>
    <s v="INV-00056"/>
    <x v="3"/>
    <x v="1"/>
    <x v="1"/>
    <s v="Lagos"/>
    <s v="Ibrahim"/>
    <s v="Wholesale"/>
    <n v="44.931320960179761"/>
    <n v="4801.79"/>
    <n v="215750.76767338158"/>
    <n v="9504.76"/>
    <x v="1125"/>
    <n v="133758.70000000001"/>
    <n v="3636.16"/>
    <n v="10201.65"/>
    <n v="6189.89"/>
    <n v="3515.43"/>
    <n v="157301.83000000002"/>
    <n v="72487.307673381554"/>
    <n v="48944.17767338155"/>
    <n v="0.23730969741189498"/>
    <s v="Paid"/>
    <x v="9"/>
    <x v="9"/>
    <x v="1"/>
  </r>
  <r>
    <x v="279"/>
    <s v="INV-00856"/>
    <x v="0"/>
    <x v="5"/>
    <x v="3"/>
    <s v="Port Harcourt"/>
    <s v="Mary"/>
    <s v="Supermarket"/>
    <n v="47.63168764421642"/>
    <n v="1570.67"/>
    <n v="74813.662832141403"/>
    <n v="2195.9499999999998"/>
    <x v="1126"/>
    <n v="34798.82"/>
    <n v="2418.38"/>
    <n v="3652.5"/>
    <n v="1578"/>
    <n v="1555.58"/>
    <n v="44003.28"/>
    <n v="37818.892832141406"/>
    <n v="28614.432832141407"/>
    <n v="0.39404205552830823"/>
    <s v="Paid"/>
    <x v="9"/>
    <x v="9"/>
    <x v="1"/>
  </r>
  <r>
    <x v="280"/>
    <s v="INV-00892"/>
    <x v="6"/>
    <x v="10"/>
    <x v="5"/>
    <s v="Lagos"/>
    <s v="Samuel"/>
    <s v="Distributor"/>
    <n v="63.338244676288078"/>
    <n v="7734.54"/>
    <n v="489892.18697853718"/>
    <n v="23203.3"/>
    <x v="1127"/>
    <n v="249201.71"/>
    <n v="6617.43"/>
    <n v="28788.97"/>
    <n v="13190.07"/>
    <n v="7366.48"/>
    <n v="305164.65999999997"/>
    <n v="217487.1769785372"/>
    <n v="161524.22697853722"/>
    <n v="0.34610686366304161"/>
    <s v="Paid"/>
    <x v="9"/>
    <x v="9"/>
    <x v="1"/>
  </r>
  <r>
    <x v="280"/>
    <s v="INV-00400"/>
    <x v="7"/>
    <x v="0"/>
    <x v="0"/>
    <s v="Port Harcourt"/>
    <s v="Tunde"/>
    <s v="Supermarket"/>
    <n v="70.764902717296096"/>
    <n v="1231.2"/>
    <n v="87125.748225534961"/>
    <n v="2508.59"/>
    <x v="1128"/>
    <n v="45879.55"/>
    <n v="2418.59"/>
    <n v="5149.55"/>
    <n v="2005.59"/>
    <n v="1675.41"/>
    <n v="57128.69"/>
    <n v="38737.608225534961"/>
    <n v="27488.468225534962"/>
    <n v="0.32485690611670476"/>
    <s v="Paid"/>
    <x v="9"/>
    <x v="9"/>
    <x v="1"/>
  </r>
  <r>
    <x v="280"/>
    <s v="INV-01333"/>
    <x v="11"/>
    <x v="8"/>
    <x v="2"/>
    <s v="Lagos"/>
    <s v="Ibrahim"/>
    <s v="Wholesale"/>
    <n v="61.534437414721189"/>
    <n v="7215.41"/>
    <n v="443996.19506655342"/>
    <n v="15288.43"/>
    <x v="1129"/>
    <n v="224684.34"/>
    <n v="7490.05"/>
    <n v="25461.279999999999"/>
    <n v="9990.65"/>
    <n v="7921.4"/>
    <n v="275547.72000000003"/>
    <n v="204023.42506655343"/>
    <n v="153160.0450665534"/>
    <n v="0.3572597875449644"/>
    <s v="Paid"/>
    <x v="9"/>
    <x v="9"/>
    <x v="1"/>
  </r>
  <r>
    <x v="280"/>
    <s v="INV-00062"/>
    <x v="8"/>
    <x v="0"/>
    <x v="0"/>
    <s v="Port Harcourt"/>
    <s v="Tunde"/>
    <s v="Wholesale"/>
    <n v="83.348046434289628"/>
    <n v="1298.44"/>
    <n v="108222.43741213903"/>
    <n v="4717.03"/>
    <x v="1130"/>
    <n v="53141.440000000002"/>
    <n v="3139.29"/>
    <n v="6033.35"/>
    <n v="3024.49"/>
    <n v="1876.77"/>
    <n v="67215.34"/>
    <n v="50363.967412139027"/>
    <n v="36290.067412139033"/>
    <n v="0.35061035282571107"/>
    <s v="Paid"/>
    <x v="9"/>
    <x v="9"/>
    <x v="1"/>
  </r>
  <r>
    <x v="280"/>
    <s v="INV-00097"/>
    <x v="7"/>
    <x v="9"/>
    <x v="4"/>
    <s v="Abuja"/>
    <s v="Emeka"/>
    <s v="Wholesale"/>
    <n v="87.231479691449692"/>
    <n v="2061.98"/>
    <n v="179869.56649417544"/>
    <n v="8097.44"/>
    <x v="1131"/>
    <n v="114485.23"/>
    <n v="3827.23"/>
    <n v="8416.18"/>
    <n v="5414.43"/>
    <n v="2691.56"/>
    <n v="134834.62999999998"/>
    <n v="57286.896494175438"/>
    <n v="36937.496494175459"/>
    <n v="0.21503777852705316"/>
    <s v="Paid"/>
    <x v="9"/>
    <x v="9"/>
    <x v="1"/>
  </r>
  <r>
    <x v="280"/>
    <s v="INV-00643"/>
    <x v="3"/>
    <x v="6"/>
    <x v="0"/>
    <s v="Lagos"/>
    <s v="Ibrahim"/>
    <s v="Wholesale"/>
    <n v="86.179565922088798"/>
    <n v="386.42"/>
    <n v="33301.507863613551"/>
    <n v="1517.2"/>
    <x v="1132"/>
    <n v="22375.53"/>
    <n v="537.53"/>
    <n v="1687.23"/>
    <n v="608.39"/>
    <n v="573.91999999999996"/>
    <n v="25782.599999999995"/>
    <n v="9408.7778636135517"/>
    <n v="6001.7078636135557"/>
    <n v="0.18882613047189453"/>
    <s v="Paid"/>
    <x v="9"/>
    <x v="9"/>
    <x v="1"/>
  </r>
  <r>
    <x v="280"/>
    <s v="INV-01104"/>
    <x v="1"/>
    <x v="8"/>
    <x v="2"/>
    <s v="Abuja"/>
    <s v="Mary"/>
    <s v="Wholesale"/>
    <n v="68.801678308798202"/>
    <n v="6998.89"/>
    <n v="481535.3782986647"/>
    <n v="18752.88"/>
    <x v="1133"/>
    <n v="251023.15"/>
    <n v="12544.86"/>
    <n v="28646.29"/>
    <n v="9488.91"/>
    <n v="9003.57"/>
    <n v="310706.77999999997"/>
    <n v="211759.3482986647"/>
    <n v="152075.71829866472"/>
    <n v="0.32861164555216182"/>
    <s v="Paid"/>
    <x v="9"/>
    <x v="9"/>
    <x v="1"/>
  </r>
  <r>
    <x v="281"/>
    <s v="INV-00350"/>
    <x v="1"/>
    <x v="5"/>
    <x v="3"/>
    <s v="Ibadan"/>
    <s v="Mary"/>
    <s v="Distributor"/>
    <n v="34.714595793257942"/>
    <n v="1634.26"/>
    <n v="56732.675321089722"/>
    <n v="2615.8200000000002"/>
    <x v="1134"/>
    <n v="26883.94"/>
    <n v="1296.3399999999999"/>
    <n v="2747.83"/>
    <n v="1447.16"/>
    <n v="997.88"/>
    <n v="33373.15"/>
    <n v="27232.915321089724"/>
    <n v="20743.705321089721"/>
    <n v="0.38331320617230602"/>
    <s v="Paid"/>
    <x v="9"/>
    <x v="9"/>
    <x v="1"/>
  </r>
  <r>
    <x v="281"/>
    <s v="INV-00638"/>
    <x v="7"/>
    <x v="11"/>
    <x v="1"/>
    <s v="Abuja"/>
    <s v="Amina"/>
    <s v="Wholesale"/>
    <n v="35.669122396037672"/>
    <n v="6973.01"/>
    <n v="248721.14715879466"/>
    <n v="13140.43"/>
    <x v="1135"/>
    <n v="124913.77"/>
    <n v="5326.06"/>
    <n v="12115.82"/>
    <n v="7052.59"/>
    <n v="4779.0600000000004"/>
    <n v="154187.29999999999"/>
    <n v="110666.94715879466"/>
    <n v="81393.417158794677"/>
    <n v="0.34550118592232204"/>
    <s v="Pending"/>
    <x v="9"/>
    <x v="9"/>
    <x v="1"/>
  </r>
  <r>
    <x v="281"/>
    <s v="INV-01352"/>
    <x v="6"/>
    <x v="9"/>
    <x v="4"/>
    <s v="Lagos"/>
    <s v="Mary"/>
    <s v="Supermarket"/>
    <n v="46.157371573957207"/>
    <n v="1965.88"/>
    <n v="90739.853629810998"/>
    <n v="4015.98"/>
    <x v="1136"/>
    <n v="57095.39"/>
    <n v="1757.56"/>
    <n v="4165.03"/>
    <n v="1763.29"/>
    <n v="1174"/>
    <n v="65955.26999999999"/>
    <n v="29628.483629811002"/>
    <n v="20768.603629811012"/>
    <n v="0.23947965837485244"/>
    <s v="Paid"/>
    <x v="9"/>
    <x v="9"/>
    <x v="1"/>
  </r>
  <r>
    <x v="282"/>
    <s v="INV-00038"/>
    <x v="0"/>
    <x v="5"/>
    <x v="3"/>
    <s v="Lagos"/>
    <s v="Tunde"/>
    <s v="Wholesale"/>
    <n v="32.129989957146947"/>
    <n v="1598.97"/>
    <n v="51374.890041779254"/>
    <n v="2663.22"/>
    <x v="1137"/>
    <n v="22909.22"/>
    <n v="1018.83"/>
    <n v="2673.24"/>
    <n v="965.74"/>
    <n v="738.53"/>
    <n v="28305.56"/>
    <n v="25802.450041779251"/>
    <n v="20406.110041779251"/>
    <n v="0.41891624787812126"/>
    <s v="Paid"/>
    <x v="9"/>
    <x v="9"/>
    <x v="1"/>
  </r>
  <r>
    <x v="282"/>
    <s v="INV-00481"/>
    <x v="0"/>
    <x v="7"/>
    <x v="5"/>
    <s v="Port Harcourt"/>
    <s v="Mary"/>
    <s v="Retail"/>
    <n v="33.627183274120618"/>
    <n v="6113.88"/>
    <n v="205592.56327598056"/>
    <n v="5561.3"/>
    <x v="1138"/>
    <n v="137374.03"/>
    <n v="6306.44"/>
    <n v="11757.32"/>
    <n v="4092.81"/>
    <n v="2822.15"/>
    <n v="162352.75"/>
    <n v="62657.233275980572"/>
    <n v="37678.513275980571"/>
    <n v="0.18836312213854295"/>
    <s v="Paid"/>
    <x v="9"/>
    <x v="9"/>
    <x v="1"/>
  </r>
  <r>
    <x v="282"/>
    <s v="INV-00575"/>
    <x v="0"/>
    <x v="1"/>
    <x v="1"/>
    <s v="Lagos"/>
    <s v="Samuel"/>
    <s v="Distributor"/>
    <n v="84.220618948089353"/>
    <n v="4620.2299999999996"/>
    <n v="389118.63028253085"/>
    <n v="21594.65"/>
    <x v="1139"/>
    <n v="238278.1"/>
    <n v="6517.26"/>
    <n v="17898.810000000001"/>
    <n v="6765.99"/>
    <n v="5673.87"/>
    <n v="275134.03000000003"/>
    <n v="129245.88028253082"/>
    <n v="92389.950282530801"/>
    <n v="0.2513848217781785"/>
    <s v="Paid"/>
    <x v="9"/>
    <x v="9"/>
    <x v="1"/>
  </r>
  <r>
    <x v="282"/>
    <s v="INV-00282"/>
    <x v="6"/>
    <x v="0"/>
    <x v="0"/>
    <s v="Lagos"/>
    <s v="Fatima"/>
    <s v="Retail"/>
    <n v="108.7782701878964"/>
    <n v="1257.06"/>
    <n v="136740.81232239705"/>
    <n v="4378.62"/>
    <x v="1140"/>
    <n v="69454.83"/>
    <n v="2626.55"/>
    <n v="7056.13"/>
    <n v="3062.21"/>
    <n v="2517.73"/>
    <n v="84717.450000000012"/>
    <n v="62907.36232239705"/>
    <n v="47644.74232239704"/>
    <n v="0.35995733741209013"/>
    <s v="Paid"/>
    <x v="9"/>
    <x v="9"/>
    <x v="1"/>
  </r>
  <r>
    <x v="282"/>
    <s v="INV-01289"/>
    <x v="5"/>
    <x v="0"/>
    <x v="0"/>
    <s v="Ibadan"/>
    <s v="Mary"/>
    <s v="Retail"/>
    <n v="53.203651452186612"/>
    <n v="1269.32"/>
    <n v="67532.458861289502"/>
    <n v="2931.53"/>
    <x v="1141"/>
    <n v="36129.19"/>
    <n v="1413.7"/>
    <n v="3852"/>
    <n v="1435.81"/>
    <n v="1259.74"/>
    <n v="44090.439999999995"/>
    <n v="28471.738861289501"/>
    <n v="20510.488861289508"/>
    <n v="0.31749526241843107"/>
    <s v="Paid"/>
    <x v="9"/>
    <x v="9"/>
    <x v="1"/>
  </r>
  <r>
    <x v="282"/>
    <s v="INV-00956"/>
    <x v="1"/>
    <x v="0"/>
    <x v="0"/>
    <s v="Lagos"/>
    <s v="Ibrahim"/>
    <s v="Wholesale"/>
    <n v="29.305730485087061"/>
    <n v="1215.6500000000001"/>
    <n v="35625.511264196088"/>
    <n v="1076.54"/>
    <x v="1142"/>
    <n v="17854.919999999998"/>
    <n v="712.13"/>
    <n v="1951.75"/>
    <n v="956.01"/>
    <n v="496.19"/>
    <n v="21970.999999999996"/>
    <n v="16694.051264196089"/>
    <n v="12577.97126419609"/>
    <n v="0.36406210674153816"/>
    <s v="Paid"/>
    <x v="9"/>
    <x v="9"/>
    <x v="1"/>
  </r>
  <r>
    <x v="283"/>
    <s v="INV-01228"/>
    <x v="4"/>
    <x v="0"/>
    <x v="0"/>
    <s v="Abuja"/>
    <s v="Mary"/>
    <s v="Retail"/>
    <n v="58.24826933480086"/>
    <n v="1254.68"/>
    <n v="73082.938568987942"/>
    <n v="1755.53"/>
    <x v="1143"/>
    <n v="39736.51"/>
    <n v="2123.29"/>
    <n v="4236.4799999999996"/>
    <n v="1604.78"/>
    <n v="1459.98"/>
    <n v="49161.04"/>
    <n v="31590.898568987941"/>
    <n v="22166.368568987942"/>
    <n v="0.31076929631543543"/>
    <s v="Pending"/>
    <x v="9"/>
    <x v="9"/>
    <x v="1"/>
  </r>
  <r>
    <x v="283"/>
    <s v="INV-00907"/>
    <x v="0"/>
    <x v="5"/>
    <x v="3"/>
    <s v="Ibadan"/>
    <s v="Ibrahim"/>
    <s v="Wholesale"/>
    <n v="53.274610830874657"/>
    <n v="1609.97"/>
    <n v="85770.525199383279"/>
    <n v="4229.66"/>
    <x v="1144"/>
    <n v="40660.160000000003"/>
    <n v="1520.07"/>
    <n v="4804.96"/>
    <n v="2069.64"/>
    <n v="1665.63"/>
    <n v="50720.46"/>
    <n v="40880.705199383272"/>
    <n v="30820.405199383276"/>
    <n v="0.3779749592308273"/>
    <s v="Pending"/>
    <x v="9"/>
    <x v="9"/>
    <x v="1"/>
  </r>
  <r>
    <x v="283"/>
    <s v="INV-00830"/>
    <x v="0"/>
    <x v="10"/>
    <x v="5"/>
    <s v="Lagos"/>
    <s v="Ibrahim"/>
    <s v="Retail"/>
    <n v="31.490029103120481"/>
    <n v="7585.32"/>
    <n v="238861.94755648184"/>
    <n v="8817.11"/>
    <x v="1145"/>
    <n v="134797.04"/>
    <n v="3645.15"/>
    <n v="12987.9"/>
    <n v="4314.49"/>
    <n v="3943.69"/>
    <n v="159688.26999999999"/>
    <n v="95247.797556481819"/>
    <n v="70356.567556481838"/>
    <n v="0.30583849785026157"/>
    <s v="Paid"/>
    <x v="9"/>
    <x v="9"/>
    <x v="1"/>
  </r>
  <r>
    <x v="283"/>
    <s v="INV-00250"/>
    <x v="11"/>
    <x v="5"/>
    <x v="3"/>
    <s v="Lagos"/>
    <s v="Amina"/>
    <s v="Wholesale"/>
    <n v="39.953585392871219"/>
    <n v="1604.71"/>
    <n v="64113.918015794377"/>
    <n v="2812.21"/>
    <x v="1146"/>
    <n v="30550.240000000002"/>
    <n v="1076.0899999999999"/>
    <n v="2959.8"/>
    <n v="1139.3399999999999"/>
    <n v="1069.9000000000001"/>
    <n v="36795.370000000003"/>
    <n v="30751.468015794377"/>
    <n v="24506.338015794376"/>
    <n v="0.39976599036164406"/>
    <s v="Paid"/>
    <x v="9"/>
    <x v="9"/>
    <x v="1"/>
  </r>
  <r>
    <x v="284"/>
    <s v="INV-01066"/>
    <x v="1"/>
    <x v="5"/>
    <x v="3"/>
    <s v="Port Harcourt"/>
    <s v="Fatima"/>
    <s v="Wholesale"/>
    <n v="54.500801157418479"/>
    <n v="1539.68"/>
    <n v="83913.793526054083"/>
    <n v="4318.8100000000004"/>
    <x v="1147"/>
    <n v="39017.4"/>
    <n v="2332.64"/>
    <n v="4862.87"/>
    <n v="2320.7600000000002"/>
    <n v="1228.56"/>
    <n v="49762.23"/>
    <n v="40577.583526054084"/>
    <n v="29832.753526054083"/>
    <n v="0.37480695647469831"/>
    <s v="Paid"/>
    <x v="9"/>
    <x v="9"/>
    <x v="1"/>
  </r>
  <r>
    <x v="284"/>
    <s v="INV-00989"/>
    <x v="0"/>
    <x v="7"/>
    <x v="5"/>
    <s v="Lagos"/>
    <s v="Daniel"/>
    <s v="Wholesale"/>
    <n v="86.732437504314106"/>
    <n v="5761.97"/>
    <n v="499749.70292673277"/>
    <n v="20092.189999999999"/>
    <x v="1148"/>
    <n v="347290.42"/>
    <n v="9822.82"/>
    <n v="23943.38"/>
    <n v="11012.33"/>
    <n v="10549.47"/>
    <n v="402618.42"/>
    <n v="132367.09292673279"/>
    <n v="77039.092926732788"/>
    <n v="0.16061270979925302"/>
    <s v="Paid"/>
    <x v="9"/>
    <x v="9"/>
    <x v="1"/>
  </r>
  <r>
    <x v="284"/>
    <s v="INV-00897"/>
    <x v="0"/>
    <x v="4"/>
    <x v="4"/>
    <s v="Lagos"/>
    <s v="Samuel"/>
    <s v="Wholesale"/>
    <n v="10.835593413330569"/>
    <n v="3278.53"/>
    <n v="35524.81807340667"/>
    <n v="1923.95"/>
    <x v="1149"/>
    <n v="17168.77"/>
    <n v="600.67999999999995"/>
    <n v="1734.77"/>
    <n v="834.1"/>
    <n v="440.04"/>
    <n v="20778.36"/>
    <n v="16432.098073406672"/>
    <n v="12822.508073406672"/>
    <n v="0.38161240493530629"/>
    <s v="Paid"/>
    <x v="9"/>
    <x v="9"/>
    <x v="1"/>
  </r>
  <r>
    <x v="284"/>
    <s v="INV-00345"/>
    <x v="7"/>
    <x v="8"/>
    <x v="2"/>
    <s v="Ibadan"/>
    <s v="Samuel"/>
    <s v="Distributor"/>
    <n v="23.566219922644692"/>
    <n v="7280"/>
    <n v="171562.08103685334"/>
    <n v="10196.77"/>
    <x v="1150"/>
    <n v="85510.74"/>
    <n v="3206.18"/>
    <n v="9541.77"/>
    <n v="3231.33"/>
    <n v="2944.06"/>
    <n v="104434.08"/>
    <n v="75854.571036853347"/>
    <n v="56931.231036853351"/>
    <n v="0.3528096012150414"/>
    <s v="Pending"/>
    <x v="9"/>
    <x v="9"/>
    <x v="1"/>
  </r>
  <r>
    <x v="284"/>
    <s v="INV-00405"/>
    <x v="5"/>
    <x v="4"/>
    <x v="4"/>
    <s v="Port Harcourt"/>
    <s v="Mary"/>
    <s v="Distributor"/>
    <n v="27.281882038718361"/>
    <n v="3490.46"/>
    <n v="95226.317980864886"/>
    <n v="5587.19"/>
    <x v="1151"/>
    <n v="44224.62"/>
    <n v="2705.35"/>
    <n v="4738.01"/>
    <n v="2861.63"/>
    <n v="1158.25"/>
    <n v="55687.86"/>
    <n v="45414.507980864881"/>
    <n v="33951.267980864883"/>
    <n v="0.3787550006969323"/>
    <s v="Paid"/>
    <x v="9"/>
    <x v="9"/>
    <x v="1"/>
  </r>
  <r>
    <x v="285"/>
    <s v="INV-00267"/>
    <x v="5"/>
    <x v="8"/>
    <x v="2"/>
    <s v="Port Harcourt"/>
    <s v="Amina"/>
    <s v="Wholesale"/>
    <n v="50.585015875830877"/>
    <n v="6830.95"/>
    <n v="345543.71419700689"/>
    <n v="11891.57"/>
    <x v="1152"/>
    <n v="171450.49"/>
    <n v="9403.66"/>
    <n v="18456.59"/>
    <n v="6956.24"/>
    <n v="5948.39"/>
    <n v="212215.37"/>
    <n v="162201.65419700689"/>
    <n v="121436.77419700689"/>
    <n v="0.36396221726452871"/>
    <s v="Paid"/>
    <x v="9"/>
    <x v="9"/>
    <x v="1"/>
  </r>
  <r>
    <x v="285"/>
    <s v="INV-00584"/>
    <x v="0"/>
    <x v="5"/>
    <x v="3"/>
    <s v="Lagos"/>
    <s v="Amina"/>
    <s v="Wholesale"/>
    <n v="47.911704750846638"/>
    <n v="1567.35"/>
    <n v="75094.410441239481"/>
    <n v="2525.02"/>
    <x v="1153"/>
    <n v="35387.980000000003"/>
    <n v="1114.58"/>
    <n v="4454.96"/>
    <n v="1882.76"/>
    <n v="1364.93"/>
    <n v="44205.210000000006"/>
    <n v="37181.410441239474"/>
    <n v="28364.18044123947"/>
    <n v="0.39085598306363578"/>
    <s v="Paid"/>
    <x v="9"/>
    <x v="9"/>
    <x v="1"/>
  </r>
  <r>
    <x v="285"/>
    <s v="INV-00607"/>
    <x v="0"/>
    <x v="5"/>
    <x v="3"/>
    <s v="Lagos"/>
    <s v="Mary"/>
    <s v="Wholesale"/>
    <n v="36.568787466989527"/>
    <n v="1559.59"/>
    <n v="57032.315245642196"/>
    <n v="2270.8000000000002"/>
    <x v="1154"/>
    <n v="28301.55"/>
    <n v="945.36"/>
    <n v="2656.33"/>
    <n v="1178.7"/>
    <n v="1047.4000000000001"/>
    <n v="34129.339999999997"/>
    <n v="26459.965245642194"/>
    <n v="20632.175245642196"/>
    <n v="0.37676414089517113"/>
    <s v="Paid"/>
    <x v="9"/>
    <x v="9"/>
    <x v="1"/>
  </r>
  <r>
    <x v="285"/>
    <s v="INV-00130"/>
    <x v="2"/>
    <x v="7"/>
    <x v="5"/>
    <s v="Port Harcourt"/>
    <s v="Tunde"/>
    <s v="Retail"/>
    <n v="65.031658540832979"/>
    <n v="5952.13"/>
    <n v="387076.88575064822"/>
    <n v="11219.03"/>
    <x v="1155"/>
    <n v="248946.29"/>
    <n v="11823.22"/>
    <n v="20405.75"/>
    <n v="7042.08"/>
    <n v="7412.26"/>
    <n v="295629.60000000003"/>
    <n v="126911.56575064818"/>
    <n v="80228.255750648153"/>
    <n v="0.21345371534251828"/>
    <s v="Pending"/>
    <x v="9"/>
    <x v="9"/>
    <x v="1"/>
  </r>
  <r>
    <x v="286"/>
    <s v="INV-00980"/>
    <x v="1"/>
    <x v="4"/>
    <x v="4"/>
    <s v="Port Harcourt"/>
    <s v="Tunde"/>
    <s v="Supermarket"/>
    <n v="45.109308891023559"/>
    <n v="3556.08"/>
    <n v="160412.31116119106"/>
    <n v="4706.9799999999996"/>
    <x v="1156"/>
    <n v="76255.899999999994"/>
    <n v="4522.34"/>
    <n v="8800.33"/>
    <n v="4251.16"/>
    <n v="2412.3200000000002"/>
    <n v="96242.05"/>
    <n v="79449.431161191053"/>
    <n v="59463.281161191044"/>
    <n v="0.38189624412816531"/>
    <s v="Paid"/>
    <x v="9"/>
    <x v="9"/>
    <x v="1"/>
  </r>
  <r>
    <x v="286"/>
    <s v="INV-00868"/>
    <x v="11"/>
    <x v="10"/>
    <x v="5"/>
    <s v="Abuja"/>
    <s v="Samuel"/>
    <s v="Supermarket"/>
    <n v="63.94078173155382"/>
    <n v="7116.6"/>
    <n v="455040.96727077593"/>
    <n v="20175.61"/>
    <x v="1157"/>
    <n v="237839.39"/>
    <n v="9769.27"/>
    <n v="24816.86"/>
    <n v="10082.18"/>
    <n v="7880.66"/>
    <n v="290388.36"/>
    <n v="197025.96727077593"/>
    <n v="144476.99727077596"/>
    <n v="0.33223386240172498"/>
    <s v="Paid"/>
    <x v="9"/>
    <x v="9"/>
    <x v="1"/>
  </r>
  <r>
    <x v="286"/>
    <s v="INV-00308"/>
    <x v="0"/>
    <x v="3"/>
    <x v="3"/>
    <s v="Lagos"/>
    <s v="Tunde"/>
    <s v="Retail"/>
    <n v="63.838145778854432"/>
    <n v="878.58"/>
    <n v="56086.918118385933"/>
    <n v="1126.1400000000001"/>
    <x v="1158"/>
    <n v="34878.44"/>
    <n v="910.46"/>
    <n v="3042.77"/>
    <n v="1314.91"/>
    <n v="839.39"/>
    <n v="40985.97"/>
    <n v="20082.338118385931"/>
    <n v="13974.808118385932"/>
    <n v="0.25426874576419006"/>
    <s v="Paid"/>
    <x v="9"/>
    <x v="9"/>
    <x v="1"/>
  </r>
  <r>
    <x v="287"/>
    <s v="INV-01281"/>
    <x v="9"/>
    <x v="5"/>
    <x v="3"/>
    <s v="Port Harcourt"/>
    <s v="Mary"/>
    <s v="Wholesale"/>
    <n v="44.175400348335863"/>
    <n v="1526.51"/>
    <n v="67434.190385738184"/>
    <n v="3590.97"/>
    <x v="1159"/>
    <n v="30983.85"/>
    <n v="1965.91"/>
    <n v="3101.74"/>
    <n v="1863.26"/>
    <n v="869.55"/>
    <n v="38784.310000000005"/>
    <n v="32859.370385738184"/>
    <n v="25058.910385738178"/>
    <n v="0.39250699188313565"/>
    <s v="Paid"/>
    <x v="9"/>
    <x v="9"/>
    <x v="1"/>
  </r>
  <r>
    <x v="287"/>
    <s v="INV-01213"/>
    <x v="2"/>
    <x v="0"/>
    <x v="0"/>
    <s v="Ibadan"/>
    <s v="Amina"/>
    <s v="Wholesale"/>
    <n v="62.26306891225363"/>
    <n v="1241.54"/>
    <n v="77302.090577319366"/>
    <n v="3454.99"/>
    <x v="1160"/>
    <n v="39395.68"/>
    <n v="1410.15"/>
    <n v="3957.97"/>
    <n v="1720.08"/>
    <n v="1488.18"/>
    <n v="47972.060000000005"/>
    <n v="34451.420577319361"/>
    <n v="25875.040577319356"/>
    <n v="0.35038668241588822"/>
    <s v="Paid"/>
    <x v="9"/>
    <x v="9"/>
    <x v="1"/>
  </r>
  <r>
    <x v="288"/>
    <s v="INV-00690"/>
    <x v="6"/>
    <x v="3"/>
    <x v="3"/>
    <s v="Port Harcourt"/>
    <s v="Mary"/>
    <s v="Wholesale"/>
    <n v="69.487576953504842"/>
    <n v="901.76"/>
    <n v="62661.117393592525"/>
    <n v="2858.58"/>
    <x v="1161"/>
    <n v="36790.879999999997"/>
    <n v="1596.56"/>
    <n v="3131.26"/>
    <n v="1624.14"/>
    <n v="936.59"/>
    <n v="44079.429999999993"/>
    <n v="23011.657393592526"/>
    <n v="15723.107393592531"/>
    <n v="0.26291706136330539"/>
    <s v="Pending"/>
    <x v="9"/>
    <x v="9"/>
    <x v="1"/>
  </r>
  <r>
    <x v="288"/>
    <s v="INV-00316"/>
    <x v="9"/>
    <x v="11"/>
    <x v="1"/>
    <s v="Lagos"/>
    <s v="Daniel"/>
    <s v="Supermarket"/>
    <n v="48.845082611635377"/>
    <n v="7188.73"/>
    <n v="351134.11072274158"/>
    <n v="16624.2"/>
    <x v="1162"/>
    <n v="174344.39"/>
    <n v="6521.34"/>
    <n v="16681.41"/>
    <n v="9628.11"/>
    <n v="6528.03"/>
    <n v="213703.28"/>
    <n v="160165.52072274155"/>
    <n v="120806.63072274157"/>
    <n v="0.36114514652712965"/>
    <s v="Paid"/>
    <x v="9"/>
    <x v="9"/>
    <x v="1"/>
  </r>
  <r>
    <x v="288"/>
    <s v="INV-00296"/>
    <x v="4"/>
    <x v="10"/>
    <x v="5"/>
    <s v="Port Harcourt"/>
    <s v="Emeka"/>
    <s v="Distributor"/>
    <n v="59.027224347990384"/>
    <n v="7613.11"/>
    <n v="449380.75195592904"/>
    <n v="18220.02"/>
    <x v="1163"/>
    <n v="239676.87"/>
    <n v="11666.61"/>
    <n v="26648.14"/>
    <n v="11930.04"/>
    <n v="7478.94"/>
    <n v="297400.59999999998"/>
    <n v="191483.86195592902"/>
    <n v="133760.13195592904"/>
    <n v="0.31023263957535285"/>
    <s v="Paid"/>
    <x v="9"/>
    <x v="9"/>
    <x v="1"/>
  </r>
  <r>
    <x v="288"/>
    <s v="INV-00507"/>
    <x v="1"/>
    <x v="4"/>
    <x v="4"/>
    <s v="Lagos"/>
    <s v="Fatima"/>
    <s v="Wholesale"/>
    <n v="48.28407241392943"/>
    <n v="3444.68"/>
    <n v="166323.17856281443"/>
    <n v="5622.19"/>
    <x v="1164"/>
    <n v="78000.56"/>
    <n v="3528.18"/>
    <n v="8890.0499999999993"/>
    <n v="4685.3100000000004"/>
    <n v="2701.18"/>
    <n v="97805.279999999984"/>
    <n v="82700.428562814428"/>
    <n v="62895.708562814441"/>
    <n v="0.39138345772048511"/>
    <s v="Paid"/>
    <x v="9"/>
    <x v="9"/>
    <x v="1"/>
  </r>
  <r>
    <x v="289"/>
    <s v="INV-00187"/>
    <x v="5"/>
    <x v="0"/>
    <x v="0"/>
    <s v="Lagos"/>
    <s v="Samuel"/>
    <s v="Distributor"/>
    <n v="62.148692222841532"/>
    <n v="1302.23"/>
    <n v="80931.89147335093"/>
    <n v="4358.6099999999997"/>
    <x v="1165"/>
    <n v="39640.559999999998"/>
    <n v="1430.52"/>
    <n v="4540.3999999999996"/>
    <n v="2113.19"/>
    <n v="1079.3900000000001"/>
    <n v="48804.06"/>
    <n v="36932.721473350932"/>
    <n v="27769.221473350932"/>
    <n v="0.36264896761692511"/>
    <s v="Paid"/>
    <x v="9"/>
    <x v="9"/>
    <x v="1"/>
  </r>
  <r>
    <x v="289"/>
    <s v="INV-00407"/>
    <x v="2"/>
    <x v="10"/>
    <x v="5"/>
    <s v="Ibadan"/>
    <s v="Ibrahim"/>
    <s v="Supermarket"/>
    <n v="28.927994142368131"/>
    <n v="7166.12"/>
    <n v="207301.47738350712"/>
    <n v="8500.7199999999993"/>
    <x v="1166"/>
    <n v="112652.7"/>
    <n v="4303.7299999999996"/>
    <n v="11052.86"/>
    <n v="5265.18"/>
    <n v="2399.19"/>
    <n v="135673.66"/>
    <n v="86148.057383507126"/>
    <n v="63127.09738350712"/>
    <n v="0.31753952155085835"/>
    <s v="Paid"/>
    <x v="9"/>
    <x v="9"/>
    <x v="1"/>
  </r>
  <r>
    <x v="289"/>
    <s v="INV-01255"/>
    <x v="2"/>
    <x v="7"/>
    <x v="5"/>
    <s v="Lagos"/>
    <s v="Daniel"/>
    <s v="Distributor"/>
    <n v="67.108153504164264"/>
    <n v="6048.9"/>
    <n v="405930.50973133917"/>
    <n v="20408.86"/>
    <x v="1167"/>
    <n v="252326.62"/>
    <n v="5634.66"/>
    <n v="18596.87"/>
    <n v="9891.94"/>
    <n v="5366.03"/>
    <n v="291816.12000000005"/>
    <n v="133195.02973133919"/>
    <n v="93705.529731339135"/>
    <n v="0.24306165372720384"/>
    <s v="Paid"/>
    <x v="9"/>
    <x v="9"/>
    <x v="1"/>
  </r>
  <r>
    <x v="289"/>
    <s v="INV-01275"/>
    <x v="9"/>
    <x v="7"/>
    <x v="5"/>
    <s v="Port Harcourt"/>
    <s v="Amina"/>
    <s v="Wholesale"/>
    <n v="67.941189757172381"/>
    <n v="5803.74"/>
    <n v="394313.00064129161"/>
    <n v="14029.51"/>
    <x v="1168"/>
    <n v="254053"/>
    <n v="13011.04"/>
    <n v="21608.21"/>
    <n v="10528.32"/>
    <n v="6900.78"/>
    <n v="306101.35000000003"/>
    <n v="126230.4906412916"/>
    <n v="74182.140641291568"/>
    <n v="0.19507063142865974"/>
    <s v="Paid"/>
    <x v="9"/>
    <x v="9"/>
    <x v="1"/>
  </r>
  <r>
    <x v="289"/>
    <s v="INV-00600"/>
    <x v="6"/>
    <x v="10"/>
    <x v="5"/>
    <s v="Lagos"/>
    <s v="Mary"/>
    <s v="Supermarket"/>
    <n v="55.436564420003059"/>
    <n v="7185.05"/>
    <n v="398314.487185943"/>
    <n v="12058.24"/>
    <x v="1169"/>
    <n v="204168.47"/>
    <n v="8220.51"/>
    <n v="20521.28"/>
    <n v="7503.31"/>
    <n v="5988.12"/>
    <n v="246401.69"/>
    <n v="182087.77718594301"/>
    <n v="139854.55718594301"/>
    <n v="0.36207713973521133"/>
    <s v="Paid"/>
    <x v="9"/>
    <x v="9"/>
    <x v="1"/>
  </r>
  <r>
    <x v="289"/>
    <s v="INV-00529"/>
    <x v="0"/>
    <x v="2"/>
    <x v="2"/>
    <s v="Port Harcourt"/>
    <s v="Tunde"/>
    <s v="Distributor"/>
    <n v="62.268657808011511"/>
    <n v="4644.9399999999996"/>
    <n v="289234.17939874495"/>
    <n v="17293.47"/>
    <x v="1170"/>
    <n v="185049.23"/>
    <n v="8119.1"/>
    <n v="15735.49"/>
    <n v="8308.26"/>
    <n v="3324.36"/>
    <n v="220536.44"/>
    <n v="86891.479398744967"/>
    <n v="51404.269398744975"/>
    <n v="0.18902748879488732"/>
    <s v="Pending"/>
    <x v="9"/>
    <x v="9"/>
    <x v="1"/>
  </r>
  <r>
    <x v="289"/>
    <s v="INV-01312"/>
    <x v="2"/>
    <x v="10"/>
    <x v="5"/>
    <s v="Abuja"/>
    <s v="Tunde"/>
    <s v="Supermarket"/>
    <n v="70.998568094433239"/>
    <n v="7598.73"/>
    <n v="539498.94933621271"/>
    <n v="25347.67"/>
    <x v="1171"/>
    <n v="267919.8"/>
    <n v="10779.77"/>
    <n v="27654.81"/>
    <n v="14591.32"/>
    <n v="6396.68"/>
    <n v="327342.38"/>
    <n v="246231.47933621274"/>
    <n v="186808.89933621272"/>
    <n v="0.36333450259501354"/>
    <s v="Paid"/>
    <x v="9"/>
    <x v="9"/>
    <x v="1"/>
  </r>
  <r>
    <x v="289"/>
    <s v="INV-00614"/>
    <x v="8"/>
    <x v="6"/>
    <x v="0"/>
    <s v="Lagos"/>
    <s v="Fatima"/>
    <s v="Distributor"/>
    <n v="117.5175547624499"/>
    <n v="391.16"/>
    <n v="45968.166720879904"/>
    <n v="2488.0700000000002"/>
    <x v="1172"/>
    <n v="30350.86"/>
    <n v="784.67"/>
    <n v="2589.37"/>
    <n v="897.78"/>
    <n v="644.33000000000004"/>
    <n v="35267.01"/>
    <n v="13129.236720879904"/>
    <n v="8213.0867208799027"/>
    <n v="0.18889301865181535"/>
    <s v="Paid"/>
    <x v="9"/>
    <x v="9"/>
    <x v="1"/>
  </r>
  <r>
    <x v="290"/>
    <s v="INV-01025"/>
    <x v="2"/>
    <x v="6"/>
    <x v="0"/>
    <s v="Lagos"/>
    <s v="Mary"/>
    <s v="Supermarket"/>
    <n v="131.16020714799899"/>
    <n v="396.91"/>
    <n v="52058.797819112282"/>
    <n v="1757.15"/>
    <x v="1173"/>
    <n v="35775.910000000003"/>
    <n v="983.43"/>
    <n v="3014.56"/>
    <n v="920.35"/>
    <n v="644.9"/>
    <n v="41339.15"/>
    <n v="14525.737819112277"/>
    <n v="8962.4978191122791"/>
    <n v="0.17817503417267669"/>
    <s v="Paid"/>
    <x v="9"/>
    <x v="9"/>
    <x v="1"/>
  </r>
  <r>
    <x v="290"/>
    <s v="INV-01423"/>
    <x v="6"/>
    <x v="4"/>
    <x v="4"/>
    <s v="Abuja"/>
    <s v="Ibrahim"/>
    <s v="Supermarket"/>
    <n v="52.132792435420981"/>
    <n v="3492.84"/>
    <n v="182091.50273013584"/>
    <n v="8909.6299999999992"/>
    <x v="1174"/>
    <n v="87806.68"/>
    <n v="4835.72"/>
    <n v="10537.13"/>
    <n v="3638.56"/>
    <n v="3591.9"/>
    <n v="110409.98999999999"/>
    <n v="85375.192730135837"/>
    <n v="62771.88273013584"/>
    <n v="0.36246220080984687"/>
    <s v="Paid"/>
    <x v="9"/>
    <x v="9"/>
    <x v="1"/>
  </r>
  <r>
    <x v="290"/>
    <s v="INV-00904"/>
    <x v="8"/>
    <x v="10"/>
    <x v="5"/>
    <s v="Port Harcourt"/>
    <s v="Amina"/>
    <s v="Retail"/>
    <n v="46.619837510441947"/>
    <n v="7091.86"/>
    <n v="330621.36084680283"/>
    <n v="9526.06"/>
    <x v="1175"/>
    <n v="178079.31"/>
    <n v="10053.73"/>
    <n v="18479.79"/>
    <n v="9504.81"/>
    <n v="6501.99"/>
    <n v="222619.63"/>
    <n v="143015.99084680283"/>
    <n v="98475.670846802823"/>
    <n v="0.30668673937955376"/>
    <s v="Paid"/>
    <x v="9"/>
    <x v="9"/>
    <x v="1"/>
  </r>
  <r>
    <x v="290"/>
    <s v="INV-01109"/>
    <x v="6"/>
    <x v="9"/>
    <x v="4"/>
    <s v="Lagos"/>
    <s v="Mary"/>
    <s v="Supermarket"/>
    <n v="61.626182304003429"/>
    <n v="2049.52"/>
    <n v="126304.09315570111"/>
    <n v="5177.3"/>
    <x v="1176"/>
    <n v="78056.31"/>
    <n v="1939.62"/>
    <n v="7064.99"/>
    <n v="2285.1999999999998"/>
    <n v="2014.75"/>
    <n v="91360.87"/>
    <n v="43070.483155701106"/>
    <n v="29765.923155701108"/>
    <n v="0.24574185760403011"/>
    <s v="Paid"/>
    <x v="9"/>
    <x v="9"/>
    <x v="1"/>
  </r>
  <r>
    <x v="291"/>
    <s v="INV-01028"/>
    <x v="1"/>
    <x v="1"/>
    <x v="1"/>
    <s v="Lagos"/>
    <s v="Mary"/>
    <s v="Supermarket"/>
    <n v="93.364185077088507"/>
    <n v="4781.7"/>
    <n v="446439.5237831141"/>
    <n v="17719.240000000002"/>
    <x v="1177"/>
    <n v="303537.15000000002"/>
    <n v="7318.8"/>
    <n v="24161.32"/>
    <n v="11153.97"/>
    <n v="5496.09"/>
    <n v="351667.33"/>
    <n v="125183.13378311408"/>
    <n v="77052.953783114091"/>
    <n v="0.17972780084763731"/>
    <s v="Paid"/>
    <x v="9"/>
    <x v="9"/>
    <x v="1"/>
  </r>
  <r>
    <x v="292"/>
    <s v="INV-00762"/>
    <x v="6"/>
    <x v="8"/>
    <x v="2"/>
    <s v="Lagos"/>
    <s v="Tunde"/>
    <s v="Retail"/>
    <n v="50.33533660742674"/>
    <n v="7209.61"/>
    <n v="362898.1461582699"/>
    <n v="15910.08"/>
    <x v="1178"/>
    <n v="185858.01"/>
    <n v="5495.8"/>
    <n v="17061.52"/>
    <n v="9828.5400000000009"/>
    <n v="5836.24"/>
    <n v="224080.11"/>
    <n v="161130.05615826987"/>
    <n v="122907.9561582699"/>
    <n v="0.35421378469600889"/>
    <s v="Paid"/>
    <x v="9"/>
    <x v="9"/>
    <x v="1"/>
  </r>
  <r>
    <x v="292"/>
    <s v="INV-00965"/>
    <x v="6"/>
    <x v="9"/>
    <x v="4"/>
    <s v="Lagos"/>
    <s v="Fatima"/>
    <s v="Retail"/>
    <n v="63.405240926017029"/>
    <n v="1990.65"/>
    <n v="126217.6428493758"/>
    <n v="3976.54"/>
    <x v="1179"/>
    <n v="81415.14"/>
    <n v="2043.92"/>
    <n v="7361.97"/>
    <n v="3644.5"/>
    <n v="1570.21"/>
    <n v="96035.74"/>
    <n v="40825.962849375806"/>
    <n v="26205.362849375801"/>
    <n v="0.21437439812421991"/>
    <s v="Paid"/>
    <x v="9"/>
    <x v="9"/>
    <x v="1"/>
  </r>
  <r>
    <x v="292"/>
    <s v="INV-00411"/>
    <x v="7"/>
    <x v="2"/>
    <x v="2"/>
    <s v="Ibadan"/>
    <s v="Samuel"/>
    <s v="Wholesale"/>
    <n v="70.609266128599472"/>
    <n v="4861.3900000000003"/>
    <n v="343259.1802649122"/>
    <n v="17783.32"/>
    <x v="1180"/>
    <n v="217249.72"/>
    <n v="6001.82"/>
    <n v="16946.52"/>
    <n v="6135.41"/>
    <n v="5487.31"/>
    <n v="251820.78"/>
    <n v="108226.14026491219"/>
    <n v="73655.080264912191"/>
    <n v="0.22629967151776678"/>
    <s v="Pending"/>
    <x v="9"/>
    <x v="9"/>
    <x v="1"/>
  </r>
  <r>
    <x v="293"/>
    <s v="INV-00302"/>
    <x v="5"/>
    <x v="11"/>
    <x v="1"/>
    <s v="Abuja"/>
    <s v="Samuel"/>
    <s v="Supermarket"/>
    <n v="3.9207208715065631"/>
    <n v="7003.95"/>
    <n v="27460.532947988391"/>
    <n v="1053.21"/>
    <x v="1181"/>
    <n v="13698.74"/>
    <n v="727.24"/>
    <n v="1465.35"/>
    <n v="596.79999999999995"/>
    <n v="485.1"/>
    <n v="16973.23"/>
    <n v="12708.582947988392"/>
    <n v="9434.0929479883926"/>
    <n v="0.35725290922406983"/>
    <s v="Paid"/>
    <x v="9"/>
    <x v="9"/>
    <x v="1"/>
  </r>
  <r>
    <x v="293"/>
    <s v="INV-00486"/>
    <x v="7"/>
    <x v="0"/>
    <x v="0"/>
    <s v="Ibadan"/>
    <s v="Daniel"/>
    <s v="Wholesale"/>
    <n v="49.239594414729609"/>
    <n v="1212.4000000000001"/>
    <n v="59698.084268418184"/>
    <n v="2896.29"/>
    <x v="1182"/>
    <n v="30345.19"/>
    <n v="1196.99"/>
    <n v="3265.72"/>
    <n v="1404.79"/>
    <n v="761.26"/>
    <n v="36973.950000000004"/>
    <n v="26456.604268418185"/>
    <n v="19827.844268418179"/>
    <n v="0.34907073841226294"/>
    <s v="Pending"/>
    <x v="9"/>
    <x v="9"/>
    <x v="1"/>
  </r>
  <r>
    <x v="293"/>
    <s v="INV-00367"/>
    <x v="7"/>
    <x v="2"/>
    <x v="2"/>
    <s v="Ibadan"/>
    <s v="Tunde"/>
    <s v="Wholesale"/>
    <n v="32.894140937524547"/>
    <n v="4651.3999999999996"/>
    <n v="153003.80715680166"/>
    <n v="4680.3900000000003"/>
    <x v="1183"/>
    <n v="101062.48"/>
    <n v="3122.39"/>
    <n v="8921.1299999999992"/>
    <n v="3814.56"/>
    <n v="3259.63"/>
    <n v="120180.19"/>
    <n v="47260.93715680165"/>
    <n v="28143.227156801644"/>
    <n v="0.18974230567415892"/>
    <s v="Paid"/>
    <x v="9"/>
    <x v="9"/>
    <x v="1"/>
  </r>
  <r>
    <x v="293"/>
    <s v="INV-00995"/>
    <x v="7"/>
    <x v="1"/>
    <x v="1"/>
    <s v="Ibadan"/>
    <s v="Mary"/>
    <s v="Wholesale"/>
    <n v="60.232369757215928"/>
    <n v="4647.0600000000004"/>
    <n v="279903.4362039679"/>
    <n v="14506.52"/>
    <x v="1184"/>
    <n v="181111.16"/>
    <n v="5592.63"/>
    <n v="14298.87"/>
    <n v="7513.44"/>
    <n v="4281.51"/>
    <n v="212797.61000000002"/>
    <n v="84285.756203967874"/>
    <n v="52599.306203967863"/>
    <n v="0.19819109790839937"/>
    <s v="Pending"/>
    <x v="9"/>
    <x v="9"/>
    <x v="1"/>
  </r>
  <r>
    <x v="294"/>
    <s v="INV-00024"/>
    <x v="9"/>
    <x v="2"/>
    <x v="2"/>
    <s v="Ibadan"/>
    <s v="Mary"/>
    <s v="Distributor"/>
    <n v="51.794600830195478"/>
    <n v="4602.42"/>
    <n v="238380.50675290829"/>
    <n v="10276.549999999999"/>
    <x v="1185"/>
    <n v="154548.17000000001"/>
    <n v="4259.05"/>
    <n v="13371.85"/>
    <n v="4506.78"/>
    <n v="3992.87"/>
    <n v="180678.72"/>
    <n v="73555.786752908287"/>
    <n v="47425.236752908299"/>
    <n v="0.20791062736487859"/>
    <s v="Pending"/>
    <x v="9"/>
    <x v="9"/>
    <x v="1"/>
  </r>
  <r>
    <x v="294"/>
    <s v="INV-00242"/>
    <x v="10"/>
    <x v="5"/>
    <x v="3"/>
    <s v="Abuja"/>
    <s v="Ibrahim"/>
    <s v="Wholesale"/>
    <n v="32.934912417586048"/>
    <n v="1543.82"/>
    <n v="50845.57648851769"/>
    <n v="1664.87"/>
    <x v="1186"/>
    <n v="23676.97"/>
    <n v="1443"/>
    <n v="2793.22"/>
    <n v="1300.1400000000001"/>
    <n v="741.23"/>
    <n v="29954.560000000001"/>
    <n v="25503.736488517687"/>
    <n v="19226.146488517687"/>
    <n v="0.39092863566338665"/>
    <s v="Paid"/>
    <x v="9"/>
    <x v="9"/>
    <x v="1"/>
  </r>
  <r>
    <x v="294"/>
    <s v="INV-01229"/>
    <x v="4"/>
    <x v="5"/>
    <x v="3"/>
    <s v="Port Harcourt"/>
    <s v="Ibrahim"/>
    <s v="Supermarket"/>
    <n v="80.837744561119081"/>
    <n v="1551.28"/>
    <n v="125401.9763827728"/>
    <n v="5876.4"/>
    <x v="1187"/>
    <n v="55316.21"/>
    <n v="4139.55"/>
    <n v="6237.91"/>
    <n v="3176.35"/>
    <n v="1684.29"/>
    <n v="70554.31"/>
    <n v="64209.366382772809"/>
    <n v="48971.26638277281"/>
    <n v="0.40971370199417023"/>
    <s v="Paid"/>
    <x v="9"/>
    <x v="9"/>
    <x v="1"/>
  </r>
  <r>
    <x v="294"/>
    <s v="INV-00485"/>
    <x v="0"/>
    <x v="6"/>
    <x v="0"/>
    <s v="Lagos"/>
    <s v="Tunde"/>
    <s v="Retail"/>
    <n v="91.88450355594226"/>
    <n v="406.98"/>
    <n v="37395.155257197381"/>
    <n v="1119.26"/>
    <x v="1188"/>
    <n v="27087.93"/>
    <n v="686.9"/>
    <n v="1765.65"/>
    <n v="1075.3699999999999"/>
    <n v="781.58"/>
    <n v="31397.430000000004"/>
    <n v="9187.9652571973784"/>
    <n v="4878.4652571973747"/>
    <n v="0.13448228424436898"/>
    <s v="Paid"/>
    <x v="9"/>
    <x v="9"/>
    <x v="1"/>
  </r>
  <r>
    <x v="295"/>
    <s v="INV-00948"/>
    <x v="6"/>
    <x v="4"/>
    <x v="4"/>
    <s v="Abuja"/>
    <s v="Mary"/>
    <s v="Supermarket"/>
    <n v="53.565698972415142"/>
    <n v="3294.62"/>
    <n v="176478.62314849836"/>
    <n v="5009.6899999999996"/>
    <x v="1189"/>
    <n v="87540.6"/>
    <n v="3713.12"/>
    <n v="8638.33"/>
    <n v="4480.87"/>
    <n v="3652.51"/>
    <n v="108025.43"/>
    <n v="83928.33314849835"/>
    <n v="63443.503148498363"/>
    <n v="0.3699999876569709"/>
    <s v="Paid"/>
    <x v="9"/>
    <x v="9"/>
    <x v="1"/>
  </r>
  <r>
    <x v="295"/>
    <s v="INV-00637"/>
    <x v="11"/>
    <x v="0"/>
    <x v="0"/>
    <s v="Lagos"/>
    <s v="Mary"/>
    <s v="Supermarket"/>
    <n v="113.9936521838689"/>
    <n v="1205.8900000000001"/>
    <n v="137463.80523200569"/>
    <n v="6104.28"/>
    <x v="1190"/>
    <n v="68085.64"/>
    <n v="2467.96"/>
    <n v="7425.41"/>
    <n v="4113.05"/>
    <n v="1724.35"/>
    <n v="83816.410000000018"/>
    <n v="63273.88523200569"/>
    <n v="47543.115232005672"/>
    <n v="0.36193123527232279"/>
    <s v="Paid"/>
    <x v="9"/>
    <x v="9"/>
    <x v="1"/>
  </r>
  <r>
    <x v="295"/>
    <s v="INV-01215"/>
    <x v="0"/>
    <x v="8"/>
    <x v="2"/>
    <s v="Lagos"/>
    <s v="Daniel"/>
    <s v="Supermarket"/>
    <n v="56.011298085120778"/>
    <n v="7071.98"/>
    <n v="396110.77983201243"/>
    <n v="12810.98"/>
    <x v="1191"/>
    <n v="187168.47"/>
    <n v="8036.56"/>
    <n v="23157.439999999999"/>
    <n v="11812.86"/>
    <n v="8058.32"/>
    <n v="238233.65000000002"/>
    <n v="196131.32983201244"/>
    <n v="145066.14983201242"/>
    <n v="0.37846654210513569"/>
    <s v="Paid"/>
    <x v="9"/>
    <x v="9"/>
    <x v="1"/>
  </r>
  <r>
    <x v="295"/>
    <s v="INV-01322"/>
    <x v="1"/>
    <x v="2"/>
    <x v="2"/>
    <s v="Abuja"/>
    <s v="Tunde"/>
    <s v="Supermarket"/>
    <n v="82.525192026654551"/>
    <n v="4636.49"/>
    <n v="382627.22757966357"/>
    <n v="17307.400000000001"/>
    <x v="1192"/>
    <n v="239286.05"/>
    <n v="8239.51"/>
    <n v="18877.96"/>
    <n v="10975.54"/>
    <n v="6854.79"/>
    <n v="284233.84999999998"/>
    <n v="126033.77757966355"/>
    <n v="81085.977579663566"/>
    <n v="0.22195887400056746"/>
    <s v="Paid"/>
    <x v="9"/>
    <x v="9"/>
    <x v="1"/>
  </r>
  <r>
    <x v="295"/>
    <s v="INV-00184"/>
    <x v="5"/>
    <x v="10"/>
    <x v="5"/>
    <s v="Abuja"/>
    <s v="Daniel"/>
    <s v="Wholesale"/>
    <n v="17.273851137937871"/>
    <n v="7424.93"/>
    <n v="128257.13552960905"/>
    <n v="5183.1099999999997"/>
    <x v="1193"/>
    <n v="69078.37"/>
    <n v="3583.55"/>
    <n v="7494.91"/>
    <n v="2771.95"/>
    <n v="2250.5300000000002"/>
    <n v="85179.31"/>
    <n v="53995.655529609052"/>
    <n v="37894.71552960905"/>
    <n v="0.30790181247864012"/>
    <s v="Pending"/>
    <x v="9"/>
    <x v="9"/>
    <x v="1"/>
  </r>
  <r>
    <x v="295"/>
    <s v="INV-00274"/>
    <x v="2"/>
    <x v="11"/>
    <x v="1"/>
    <s v="Lagos"/>
    <s v="Mary"/>
    <s v="Supermarket"/>
    <n v="42.738784320276771"/>
    <n v="7337.2"/>
    <n v="313583.00831473473"/>
    <n v="12936.32"/>
    <x v="1194"/>
    <n v="156745.29"/>
    <n v="6192.37"/>
    <n v="15799.42"/>
    <n v="8331.2999999999993"/>
    <n v="6293.35"/>
    <n v="193361.73"/>
    <n v="143901.39831473472"/>
    <n v="107284.95831473471"/>
    <n v="0.35684729779036339"/>
    <s v="Paid"/>
    <x v="9"/>
    <x v="9"/>
    <x v="1"/>
  </r>
  <r>
    <x v="296"/>
    <s v="INV-00673"/>
    <x v="6"/>
    <x v="1"/>
    <x v="1"/>
    <s v="Port Harcourt"/>
    <s v="Emeka"/>
    <s v="Retail"/>
    <n v="52.256307057650048"/>
    <n v="4813.05"/>
    <n v="251512.21868382258"/>
    <n v="9311.1"/>
    <x v="1195"/>
    <n v="162269.07999999999"/>
    <n v="8281.58"/>
    <n v="13446.87"/>
    <n v="4554.63"/>
    <n v="5041.4399999999996"/>
    <n v="193593.59999999998"/>
    <n v="79932.038683822582"/>
    <n v="48607.518683822593"/>
    <n v="0.20069072739204177"/>
    <s v="Paid"/>
    <x v="10"/>
    <x v="10"/>
    <x v="1"/>
  </r>
  <r>
    <x v="296"/>
    <s v="INV-01043"/>
    <x v="4"/>
    <x v="1"/>
    <x v="1"/>
    <s v="Lagos"/>
    <s v="Samuel"/>
    <s v="Wholesale"/>
    <n v="75.394962852779685"/>
    <n v="4643.7"/>
    <n v="350111.588999453"/>
    <n v="13722.19"/>
    <x v="1196"/>
    <n v="223395.67"/>
    <n v="5492.65"/>
    <n v="19069.34"/>
    <n v="9949.4"/>
    <n v="6944.41"/>
    <n v="264851.46999999997"/>
    <n v="112993.72899945299"/>
    <n v="71537.928999453026"/>
    <n v="0.21266404117440502"/>
    <s v="Paid"/>
    <x v="10"/>
    <x v="10"/>
    <x v="1"/>
  </r>
  <r>
    <x v="296"/>
    <s v="INV-00210"/>
    <x v="4"/>
    <x v="0"/>
    <x v="0"/>
    <s v="Port Harcourt"/>
    <s v="Tunde"/>
    <s v="Wholesale"/>
    <n v="78.518263948460387"/>
    <n v="1269.29"/>
    <n v="99662.447247141288"/>
    <n v="4924"/>
    <x v="1197"/>
    <n v="50292.31"/>
    <n v="2573.73"/>
    <n v="5407.92"/>
    <n v="1845.28"/>
    <n v="1838.65"/>
    <n v="61957.89"/>
    <n v="44446.137247141291"/>
    <n v="32780.557247141289"/>
    <n v="0.34601113064084377"/>
    <s v="Paid"/>
    <x v="10"/>
    <x v="10"/>
    <x v="1"/>
  </r>
  <r>
    <x v="297"/>
    <s v="INV-00704"/>
    <x v="10"/>
    <x v="5"/>
    <x v="3"/>
    <s v="Ibadan"/>
    <s v="Samuel"/>
    <s v="Wholesale"/>
    <n v="25.40622661028014"/>
    <n v="1551.65"/>
    <n v="39421.571519841178"/>
    <n v="1723.76"/>
    <x v="1198"/>
    <n v="18978.849999999999"/>
    <n v="740.77"/>
    <n v="2290.5100000000002"/>
    <n v="703.51"/>
    <n v="484.92"/>
    <n v="23198.559999999994"/>
    <n v="18718.961519841178"/>
    <n v="14499.251519841182"/>
    <n v="0.38461785804753973"/>
    <s v="Paid"/>
    <x v="10"/>
    <x v="10"/>
    <x v="1"/>
  </r>
  <r>
    <x v="297"/>
    <s v="INV-00358"/>
    <x v="3"/>
    <x v="11"/>
    <x v="1"/>
    <s v="Ibadan"/>
    <s v="Daniel"/>
    <s v="Wholesale"/>
    <n v="63.32453562998144"/>
    <n v="7316.54"/>
    <n v="463316.49791818438"/>
    <n v="22736.82"/>
    <x v="1199"/>
    <n v="226184.28"/>
    <n v="8908.8700000000008"/>
    <n v="26162.69"/>
    <n v="8305.9"/>
    <n v="7951.82"/>
    <n v="277513.56"/>
    <n v="214395.39791818438"/>
    <n v="163066.11791818438"/>
    <n v="0.37011720261066094"/>
    <s v="Paid"/>
    <x v="10"/>
    <x v="10"/>
    <x v="1"/>
  </r>
  <r>
    <x v="297"/>
    <s v="INV-00080"/>
    <x v="9"/>
    <x v="8"/>
    <x v="2"/>
    <s v="Port Harcourt"/>
    <s v="Tunde"/>
    <s v="Distributor"/>
    <n v="58.369747350227463"/>
    <n v="7116.82"/>
    <n v="415406.9853370458"/>
    <n v="19667.46"/>
    <x v="1200"/>
    <n v="207612.83"/>
    <n v="13945.06"/>
    <n v="22438.07"/>
    <n v="7813.83"/>
    <n v="8541.34"/>
    <n v="260351.12999999998"/>
    <n v="188126.69533704579"/>
    <n v="135388.3953370458"/>
    <n v="0.34211491819458117"/>
    <s v="Paid"/>
    <x v="10"/>
    <x v="10"/>
    <x v="1"/>
  </r>
  <r>
    <x v="297"/>
    <s v="INV-00247"/>
    <x v="3"/>
    <x v="5"/>
    <x v="3"/>
    <s v="Lagos"/>
    <s v="Amina"/>
    <s v="Wholesale"/>
    <n v="68.508786313767999"/>
    <n v="1579.96"/>
    <n v="108241.14202430089"/>
    <n v="5353.85"/>
    <x v="1201"/>
    <n v="47535.53"/>
    <n v="1639.54"/>
    <n v="6252.42"/>
    <n v="2514.75"/>
    <n v="2121.5500000000002"/>
    <n v="60063.79"/>
    <n v="55351.762024300886"/>
    <n v="42823.502024300884"/>
    <n v="0.41621760259941942"/>
    <s v="Paid"/>
    <x v="10"/>
    <x v="10"/>
    <x v="1"/>
  </r>
  <r>
    <x v="297"/>
    <s v="INV-00544"/>
    <x v="2"/>
    <x v="0"/>
    <x v="0"/>
    <s v="Ibadan"/>
    <s v="Emeka"/>
    <s v="Distributor"/>
    <n v="77.70176157941772"/>
    <n v="1289.21"/>
    <n v="100173.88804580113"/>
    <n v="3800.57"/>
    <x v="1202"/>
    <n v="51330.28"/>
    <n v="2087"/>
    <n v="5551.07"/>
    <n v="2553.0700000000002"/>
    <n v="1742.6"/>
    <n v="63264.02"/>
    <n v="45043.03804580112"/>
    <n v="33109.298045801122"/>
    <n v="0.34355253837027827"/>
    <s v="Paid"/>
    <x v="10"/>
    <x v="10"/>
    <x v="1"/>
  </r>
  <r>
    <x v="297"/>
    <s v="INV-01315"/>
    <x v="5"/>
    <x v="10"/>
    <x v="5"/>
    <s v="Ibadan"/>
    <s v="Emeka"/>
    <s v="Wholesale"/>
    <n v="30.36608723178718"/>
    <n v="7280.52"/>
    <n v="221080.90541277122"/>
    <n v="6991.84"/>
    <x v="1203"/>
    <n v="118584.82"/>
    <n v="4600.46"/>
    <n v="12675.19"/>
    <n v="6593.81"/>
    <n v="4312.43"/>
    <n v="146766.71"/>
    <n v="95504.245412771212"/>
    <n v="67322.355412771227"/>
    <n v="0.31445956981955786"/>
    <s v="Paid"/>
    <x v="10"/>
    <x v="10"/>
    <x v="1"/>
  </r>
  <r>
    <x v="298"/>
    <s v="INV-00220"/>
    <x v="8"/>
    <x v="11"/>
    <x v="1"/>
    <s v="Lagos"/>
    <s v="Emeka"/>
    <s v="Wholesale"/>
    <n v="19.2478924292122"/>
    <n v="6998.75"/>
    <n v="134711.18713894888"/>
    <n v="6705.9"/>
    <x v="1204"/>
    <n v="71075.92"/>
    <n v="2158.33"/>
    <n v="7067.83"/>
    <n v="3698.89"/>
    <n v="1976.42"/>
    <n v="85977.39"/>
    <n v="56929.367138948888"/>
    <n v="42027.897138948887"/>
    <n v="0.32832938449900029"/>
    <s v="Paid"/>
    <x v="10"/>
    <x v="10"/>
    <x v="1"/>
  </r>
  <r>
    <x v="298"/>
    <s v="INV-01237"/>
    <x v="1"/>
    <x v="0"/>
    <x v="0"/>
    <s v="Abuja"/>
    <s v="Mary"/>
    <s v="Supermarket"/>
    <n v="91.885956684309747"/>
    <n v="1280.68"/>
    <n v="117676.50700646182"/>
    <n v="4115.5"/>
    <x v="1205"/>
    <n v="58134.71"/>
    <n v="3121.07"/>
    <n v="6625.1"/>
    <n v="2540.27"/>
    <n v="2402.85"/>
    <n v="72824.000000000015"/>
    <n v="55426.29700646182"/>
    <n v="40737.007006461805"/>
    <n v="0.35872354499413517"/>
    <s v="Paid"/>
    <x v="10"/>
    <x v="10"/>
    <x v="1"/>
  </r>
  <r>
    <x v="298"/>
    <s v="INV-00174"/>
    <x v="2"/>
    <x v="11"/>
    <x v="1"/>
    <s v="Lagos"/>
    <s v="Daniel"/>
    <s v="Wholesale"/>
    <n v="37.729904955476478"/>
    <n v="7282.89"/>
    <n v="274782.74750119011"/>
    <n v="13635.44"/>
    <x v="1206"/>
    <n v="137347.38"/>
    <n v="5290.73"/>
    <n v="13582.41"/>
    <n v="6341.28"/>
    <n v="4115.53"/>
    <n v="166677.33000000002"/>
    <n v="123799.9275011901"/>
    <n v="94469.977501190093"/>
    <n v="0.3617497664637403"/>
    <s v="Paid"/>
    <x v="10"/>
    <x v="10"/>
    <x v="1"/>
  </r>
  <r>
    <x v="298"/>
    <s v="INV-00285"/>
    <x v="3"/>
    <x v="3"/>
    <x v="3"/>
    <s v="Abuja"/>
    <s v="Tunde"/>
    <s v="Distributor"/>
    <n v="81.912626064049761"/>
    <n v="887.67"/>
    <n v="72711.380778275052"/>
    <n v="3466.86"/>
    <x v="1207"/>
    <n v="39965.79"/>
    <n v="1666"/>
    <n v="3328.55"/>
    <n v="1563.07"/>
    <n v="1141.7"/>
    <n v="47665.11"/>
    <n v="29278.73077827505"/>
    <n v="21579.410778275051"/>
    <n v="0.31164069785930887"/>
    <s v="Pending"/>
    <x v="10"/>
    <x v="10"/>
    <x v="1"/>
  </r>
  <r>
    <x v="298"/>
    <s v="INV-00030"/>
    <x v="5"/>
    <x v="8"/>
    <x v="2"/>
    <s v="Lagos"/>
    <s v="Amina"/>
    <s v="Wholesale"/>
    <n v="46.453642388881512"/>
    <n v="7307.48"/>
    <n v="339459.06268390385"/>
    <n v="17252.27"/>
    <x v="1208"/>
    <n v="163277.21"/>
    <n v="6998.66"/>
    <n v="16952.7"/>
    <n v="8777.23"/>
    <n v="5174.7700000000004"/>
    <n v="201180.57"/>
    <n v="158929.58268390383"/>
    <n v="121026.22268390382"/>
    <n v="0.37561660843890027"/>
    <s v="Paid"/>
    <x v="10"/>
    <x v="10"/>
    <x v="1"/>
  </r>
  <r>
    <x v="299"/>
    <s v="INV-00722"/>
    <x v="8"/>
    <x v="0"/>
    <x v="0"/>
    <s v="Abuja"/>
    <s v="Samuel"/>
    <s v="Wholesale"/>
    <n v="103.1507885406713"/>
    <n v="1215.8599999999999"/>
    <n v="125416.9177550606"/>
    <n v="5176.17"/>
    <x v="1209"/>
    <n v="63609.66"/>
    <n v="3193.66"/>
    <n v="6960.21"/>
    <n v="3187.45"/>
    <n v="2200.42"/>
    <n v="79151.400000000009"/>
    <n v="56631.087755060595"/>
    <n v="41089.347755060589"/>
    <n v="0.34172565059860294"/>
    <s v="Paid"/>
    <x v="10"/>
    <x v="10"/>
    <x v="1"/>
  </r>
  <r>
    <x v="299"/>
    <s v="INV-00070"/>
    <x v="11"/>
    <x v="5"/>
    <x v="3"/>
    <s v="Lagos"/>
    <s v="Samuel"/>
    <s v="Retail"/>
    <n v="67.52739470061114"/>
    <n v="1680.52"/>
    <n v="113481.13734227103"/>
    <n v="3415.05"/>
    <x v="1210"/>
    <n v="52765.74"/>
    <n v="1820.36"/>
    <n v="5293.81"/>
    <n v="2184.46"/>
    <n v="1786.32"/>
    <n v="63850.689999999995"/>
    <n v="57300.34734227103"/>
    <n v="46215.397342271033"/>
    <n v="0.41988770981342904"/>
    <s v="Paid"/>
    <x v="10"/>
    <x v="10"/>
    <x v="1"/>
  </r>
  <r>
    <x v="299"/>
    <s v="INV-00201"/>
    <x v="1"/>
    <x v="2"/>
    <x v="2"/>
    <s v="Ibadan"/>
    <s v="Ibrahim"/>
    <s v="Retail"/>
    <n v="44.103704847249588"/>
    <n v="4976.49"/>
    <n v="219481.64613528911"/>
    <n v="6172.46"/>
    <x v="1211"/>
    <n v="132677.22"/>
    <n v="3813.94"/>
    <n v="11304.21"/>
    <n v="4544.03"/>
    <n v="2994.77"/>
    <n v="155334.16999999998"/>
    <n v="80631.966135289113"/>
    <n v="57975.01613528913"/>
    <n v="0.27178865188918344"/>
    <s v="Paid"/>
    <x v="10"/>
    <x v="10"/>
    <x v="1"/>
  </r>
  <r>
    <x v="300"/>
    <s v="INV-01369"/>
    <x v="0"/>
    <x v="7"/>
    <x v="5"/>
    <s v="Lagos"/>
    <s v="Samuel"/>
    <s v="Wholesale"/>
    <n v="45.771009272849831"/>
    <n v="6062.55"/>
    <n v="277489.03226711578"/>
    <n v="12479.89"/>
    <x v="1212"/>
    <n v="183719.76"/>
    <n v="4263.95"/>
    <n v="14835.92"/>
    <n v="5255.72"/>
    <n v="5825.64"/>
    <n v="213900.99000000005"/>
    <n v="81289.382267115754"/>
    <n v="51108.152267115714"/>
    <n v="0.19285429864755871"/>
    <s v="Paid"/>
    <x v="10"/>
    <x v="10"/>
    <x v="1"/>
  </r>
  <r>
    <x v="300"/>
    <s v="INV-00840"/>
    <x v="2"/>
    <x v="10"/>
    <x v="5"/>
    <s v="Port Harcourt"/>
    <s v="Tunde"/>
    <s v="Supermarket"/>
    <n v="33.639313454465352"/>
    <n v="7793.1"/>
    <n v="262154.53368199395"/>
    <n v="9269.25"/>
    <x v="1213"/>
    <n v="134182.79"/>
    <n v="7052.44"/>
    <n v="15598.37"/>
    <n v="5783.83"/>
    <n v="4446.3100000000004"/>
    <n v="167063.74"/>
    <n v="118702.49368199395"/>
    <n v="85821.543681993964"/>
    <n v="0.33936946599832796"/>
    <s v="Paid"/>
    <x v="10"/>
    <x v="10"/>
    <x v="1"/>
  </r>
  <r>
    <x v="300"/>
    <s v="INV-00116"/>
    <x v="3"/>
    <x v="4"/>
    <x v="4"/>
    <s v="Lagos"/>
    <s v="Fatima"/>
    <s v="Supermarket"/>
    <n v="20.72352821187615"/>
    <n v="3482.95"/>
    <n v="72179.012585554039"/>
    <n v="2006.36"/>
    <x v="1214"/>
    <n v="34059.79"/>
    <n v="1382.19"/>
    <n v="3466.65"/>
    <n v="1911.09"/>
    <n v="1279.6300000000001"/>
    <n v="42099.35"/>
    <n v="36112.862585554038"/>
    <n v="28073.30258555404"/>
    <n v="0.40006044450617356"/>
    <s v="Paid"/>
    <x v="10"/>
    <x v="10"/>
    <x v="1"/>
  </r>
  <r>
    <x v="300"/>
    <s v="INV-00944"/>
    <x v="9"/>
    <x v="0"/>
    <x v="0"/>
    <s v="Port Harcourt"/>
    <s v="Emeka"/>
    <s v="Retail"/>
    <n v="53.334867556287392"/>
    <n v="1229.8"/>
    <n v="65591.220120722239"/>
    <n v="1672.57"/>
    <x v="1215"/>
    <n v="34795.11"/>
    <n v="1626.49"/>
    <n v="3609.13"/>
    <n v="1753.66"/>
    <n v="995.17"/>
    <n v="42779.56"/>
    <n v="29123.540120722238"/>
    <n v="21139.090120722241"/>
    <n v="0.33071865693028785"/>
    <s v="Paid"/>
    <x v="10"/>
    <x v="10"/>
    <x v="1"/>
  </r>
  <r>
    <x v="300"/>
    <s v="INV-00573"/>
    <x v="0"/>
    <x v="10"/>
    <x v="5"/>
    <s v="Abuja"/>
    <s v="Samuel"/>
    <s v="Wholesale"/>
    <n v="50.733153829569467"/>
    <n v="7660.76"/>
    <n v="388654.51553141262"/>
    <n v="17760.18"/>
    <x v="1216"/>
    <n v="196357.12"/>
    <n v="10069.09"/>
    <n v="20673.490000000002"/>
    <n v="9291.26"/>
    <n v="7707.13"/>
    <n v="244098.09"/>
    <n v="174537.21553141263"/>
    <n v="126796.24553141263"/>
    <n v="0.34186622276056228"/>
    <s v="Paid"/>
    <x v="10"/>
    <x v="10"/>
    <x v="1"/>
  </r>
  <r>
    <x v="300"/>
    <s v="INV-00649"/>
    <x v="8"/>
    <x v="11"/>
    <x v="1"/>
    <s v="Lagos"/>
    <s v="Daniel"/>
    <s v="Retail"/>
    <n v="61.536810119626658"/>
    <n v="7399.07"/>
    <n v="455315.16565182601"/>
    <n v="18422.47"/>
    <x v="1217"/>
    <n v="241179.24"/>
    <n v="7408.45"/>
    <n v="22036.720000000001"/>
    <n v="13927.82"/>
    <n v="6541.28"/>
    <n v="291093.51000000007"/>
    <n v="195713.45565182599"/>
    <n v="145799.18565182592"/>
    <n v="0.33371852425753995"/>
    <s v="Paid"/>
    <x v="10"/>
    <x v="10"/>
    <x v="1"/>
  </r>
  <r>
    <x v="301"/>
    <s v="INV-00067"/>
    <x v="9"/>
    <x v="5"/>
    <x v="3"/>
    <s v="Lagos"/>
    <s v="Daniel"/>
    <s v="Wholesale"/>
    <n v="50.35022134199064"/>
    <n v="1656.38"/>
    <n v="83399.099626446463"/>
    <n v="4210.6000000000004"/>
    <x v="1218"/>
    <n v="41467.64"/>
    <n v="1539.77"/>
    <n v="4423.3500000000004"/>
    <n v="2302.4699999999998"/>
    <n v="1281.1500000000001"/>
    <n v="51014.38"/>
    <n v="37720.859626446458"/>
    <n v="28174.11962644646"/>
    <n v="0.35578549611814081"/>
    <s v="Pending"/>
    <x v="10"/>
    <x v="10"/>
    <x v="1"/>
  </r>
  <r>
    <x v="301"/>
    <s v="INV-00420"/>
    <x v="11"/>
    <x v="5"/>
    <x v="3"/>
    <s v="Port Harcourt"/>
    <s v="Fatima"/>
    <s v="Retail"/>
    <n v="51.267020195345751"/>
    <n v="1632.76"/>
    <n v="83706.739894152721"/>
    <n v="2068.56"/>
    <x v="1219"/>
    <n v="39936.92"/>
    <n v="2736.29"/>
    <n v="4164.6899999999996"/>
    <n v="2186.1"/>
    <n v="1517.66"/>
    <n v="50541.66"/>
    <n v="41701.259894152725"/>
    <n v="31096.51989415272"/>
    <n v="0.38090657991727211"/>
    <s v="Paid"/>
    <x v="10"/>
    <x v="10"/>
    <x v="1"/>
  </r>
  <r>
    <x v="301"/>
    <s v="INV-01054"/>
    <x v="5"/>
    <x v="7"/>
    <x v="5"/>
    <s v="Port Harcourt"/>
    <s v="Ibrahim"/>
    <s v="Retail"/>
    <n v="71.546556753024845"/>
    <n v="5772.29"/>
    <n v="412987.47407991777"/>
    <n v="14219.34"/>
    <x v="1220"/>
    <n v="269869.92"/>
    <n v="10198.02"/>
    <n v="19306.77"/>
    <n v="7859.93"/>
    <n v="8494.66"/>
    <n v="315729.3"/>
    <n v="128898.21407991776"/>
    <n v="83038.834079917753"/>
    <n v="0.20823838963841532"/>
    <s v="Paid"/>
    <x v="10"/>
    <x v="10"/>
    <x v="1"/>
  </r>
  <r>
    <x v="301"/>
    <s v="INV-01198"/>
    <x v="0"/>
    <x v="3"/>
    <x v="3"/>
    <s v="Port Harcourt"/>
    <s v="Fatima"/>
    <s v="Wholesale"/>
    <n v="107.19321561779201"/>
    <n v="890.67"/>
    <n v="95473.781354298801"/>
    <n v="4419.87"/>
    <x v="1221"/>
    <n v="55397.84"/>
    <n v="3085.63"/>
    <n v="4388.96"/>
    <n v="2097.4899999999998"/>
    <n v="1193.95"/>
    <n v="66163.87"/>
    <n v="35656.071354298809"/>
    <n v="24890.04135429881"/>
    <n v="0.27335499358670562"/>
    <s v="Paid"/>
    <x v="10"/>
    <x v="10"/>
    <x v="1"/>
  </r>
  <r>
    <x v="301"/>
    <s v="INV-00051"/>
    <x v="0"/>
    <x v="7"/>
    <x v="5"/>
    <s v="Abuja"/>
    <s v="Fatima"/>
    <s v="Retail"/>
    <n v="80.807039797080463"/>
    <n v="6138.93"/>
    <n v="496068.76082149119"/>
    <n v="21847.23"/>
    <x v="1222"/>
    <n v="328981.65999999997"/>
    <n v="12546.97"/>
    <n v="24405.32"/>
    <n v="8816.6200000000008"/>
    <n v="7801.23"/>
    <n v="382551.79999999993"/>
    <n v="145239.87082149123"/>
    <n v="91669.730821491277"/>
    <n v="0.19330571233805502"/>
    <s v="Paid"/>
    <x v="10"/>
    <x v="10"/>
    <x v="1"/>
  </r>
  <r>
    <x v="301"/>
    <s v="INV-01167"/>
    <x v="6"/>
    <x v="0"/>
    <x v="0"/>
    <s v="Ibadan"/>
    <s v="Ibrahim"/>
    <s v="Wholesale"/>
    <n v="72.944933517884721"/>
    <n v="1261.8"/>
    <n v="92041.91711286694"/>
    <n v="4715.04"/>
    <x v="1223"/>
    <n v="48375.63"/>
    <n v="1775.63"/>
    <n v="4294.33"/>
    <n v="2146.73"/>
    <n v="1626.77"/>
    <n v="58219.09"/>
    <n v="38951.247112866949"/>
    <n v="29107.78711286695"/>
    <n v="0.33331991335549704"/>
    <s v="Paid"/>
    <x v="10"/>
    <x v="10"/>
    <x v="1"/>
  </r>
  <r>
    <x v="301"/>
    <s v="INV-00891"/>
    <x v="7"/>
    <x v="4"/>
    <x v="4"/>
    <s v="Lagos"/>
    <s v="Amina"/>
    <s v="Wholesale"/>
    <n v="71.548566715028173"/>
    <n v="3394.94"/>
    <n v="242903.09108351773"/>
    <n v="11476.64"/>
    <x v="1224"/>
    <n v="117892.58"/>
    <n v="3551"/>
    <n v="12578.06"/>
    <n v="5645.3"/>
    <n v="4754.82"/>
    <n v="144421.76000000001"/>
    <n v="113533.87108351775"/>
    <n v="87004.69108351774"/>
    <n v="0.37594964048478308"/>
    <s v="Paid"/>
    <x v="10"/>
    <x v="10"/>
    <x v="1"/>
  </r>
  <r>
    <x v="302"/>
    <s v="INV-00882"/>
    <x v="7"/>
    <x v="5"/>
    <x v="3"/>
    <s v="Ibadan"/>
    <s v="Daniel"/>
    <s v="Retail"/>
    <n v="45.210970416133399"/>
    <n v="1676.69"/>
    <n v="75804.781987026712"/>
    <n v="2994.64"/>
    <x v="1225"/>
    <n v="35621.379999999997"/>
    <n v="1473.58"/>
    <n v="3846.77"/>
    <n v="1642.04"/>
    <n v="1084.02"/>
    <n v="43667.789999999994"/>
    <n v="37188.761987026715"/>
    <n v="29142.351987026719"/>
    <n v="0.400251272579846"/>
    <s v="Paid"/>
    <x v="10"/>
    <x v="10"/>
    <x v="1"/>
  </r>
  <r>
    <x v="302"/>
    <s v="INV-00801"/>
    <x v="0"/>
    <x v="0"/>
    <x v="0"/>
    <s v="Lagos"/>
    <s v="Amina"/>
    <s v="Wholesale"/>
    <n v="68.713220178788418"/>
    <n v="1248.68"/>
    <n v="85800.82377284953"/>
    <n v="3005.87"/>
    <x v="1226"/>
    <n v="44019.199999999997"/>
    <n v="1735.23"/>
    <n v="4990.57"/>
    <n v="2641.24"/>
    <n v="1297.92"/>
    <n v="54684.159999999996"/>
    <n v="38775.753772849537"/>
    <n v="28110.793772849538"/>
    <n v="0.33952303240572307"/>
    <s v="Pending"/>
    <x v="10"/>
    <x v="10"/>
    <x v="1"/>
  </r>
  <r>
    <x v="302"/>
    <s v="INV-00234"/>
    <x v="10"/>
    <x v="10"/>
    <x v="5"/>
    <s v="Abuja"/>
    <s v="Ibrahim"/>
    <s v="Retail"/>
    <n v="57.31928557972882"/>
    <n v="7371.43"/>
    <n v="422525.10130098043"/>
    <n v="17993.75"/>
    <x v="1227"/>
    <n v="220152.8"/>
    <n v="10866.86"/>
    <n v="20755.55"/>
    <n v="11638.3"/>
    <n v="8766.33"/>
    <n v="272179.83999999997"/>
    <n v="184378.55130098044"/>
    <n v="132351.51130098046"/>
    <n v="0.32717244504124465"/>
    <s v="Paid"/>
    <x v="10"/>
    <x v="10"/>
    <x v="1"/>
  </r>
  <r>
    <x v="302"/>
    <s v="INV-00634"/>
    <x v="6"/>
    <x v="2"/>
    <x v="2"/>
    <s v="Lagos"/>
    <s v="Daniel"/>
    <s v="Wholesale"/>
    <n v="36.886324369079873"/>
    <n v="5031.91"/>
    <n v="185608.6644560167"/>
    <n v="8919.6299999999992"/>
    <x v="1228"/>
    <n v="109947.98"/>
    <n v="2938.51"/>
    <n v="10593.16"/>
    <n v="5453.88"/>
    <n v="2208.31"/>
    <n v="131141.84"/>
    <n v="66741.054456016704"/>
    <n v="45547.194456016703"/>
    <n v="0.25778167047120737"/>
    <s v="Paid"/>
    <x v="10"/>
    <x v="10"/>
    <x v="1"/>
  </r>
  <r>
    <x v="302"/>
    <s v="INV-00917"/>
    <x v="10"/>
    <x v="8"/>
    <x v="2"/>
    <s v="Abuja"/>
    <s v="Ibrahim"/>
    <s v="Supermarket"/>
    <n v="48.405946607191787"/>
    <n v="6937.61"/>
    <n v="335821.57924151979"/>
    <n v="16269.29"/>
    <x v="1229"/>
    <n v="162900.69"/>
    <n v="6996.83"/>
    <n v="17154.71"/>
    <n v="10036.76"/>
    <n v="5108.1400000000003"/>
    <n v="202197.13"/>
    <n v="156651.59924151981"/>
    <n v="117355.15924151981"/>
    <n v="0.36724868884548023"/>
    <s v="Pending"/>
    <x v="10"/>
    <x v="10"/>
    <x v="1"/>
  </r>
  <r>
    <x v="302"/>
    <s v="INV-01238"/>
    <x v="4"/>
    <x v="0"/>
    <x v="0"/>
    <s v="Abuja"/>
    <s v="Amina"/>
    <s v="Wholesale"/>
    <n v="43.378663164259187"/>
    <n v="1259.42"/>
    <n v="54631.955962331311"/>
    <n v="2448.5700000000002"/>
    <x v="1230"/>
    <n v="28359.84"/>
    <n v="1270.2"/>
    <n v="3146.67"/>
    <n v="1360.55"/>
    <n v="763.37"/>
    <n v="34900.630000000005"/>
    <n v="23823.545962331311"/>
    <n v="17282.755962331306"/>
    <n v="0.33119268984973305"/>
    <s v="Paid"/>
    <x v="10"/>
    <x v="10"/>
    <x v="1"/>
  </r>
  <r>
    <x v="303"/>
    <s v="INV-00165"/>
    <x v="1"/>
    <x v="11"/>
    <x v="1"/>
    <s v="Abuja"/>
    <s v="Amina"/>
    <s v="Wholesale"/>
    <n v="14.90281225109209"/>
    <n v="7441.05"/>
    <n v="110892.5711009888"/>
    <n v="4474.0200000000004"/>
    <x v="1231"/>
    <n v="59544.73"/>
    <n v="2464.38"/>
    <n v="6563.01"/>
    <n v="2663.79"/>
    <n v="1297.1300000000001"/>
    <n v="72533.039999999994"/>
    <n v="46873.821100988796"/>
    <n v="33885.511100988806"/>
    <n v="0.31841733185064908"/>
    <s v="Paid"/>
    <x v="10"/>
    <x v="10"/>
    <x v="1"/>
  </r>
  <r>
    <x v="303"/>
    <s v="INV-00439"/>
    <x v="10"/>
    <x v="4"/>
    <x v="4"/>
    <s v="Port Harcourt"/>
    <s v="Emeka"/>
    <s v="Retail"/>
    <n v="32.127162810341822"/>
    <n v="3316.56"/>
    <n v="106551.66309026728"/>
    <n v="2939.13"/>
    <x v="1232"/>
    <n v="53290.27"/>
    <n v="2783.5"/>
    <n v="5038.5200000000004"/>
    <n v="2097.42"/>
    <n v="2227.1799999999998"/>
    <n v="65436.889999999992"/>
    <n v="50322.263090267275"/>
    <n v="38175.64309026728"/>
    <n v="0.368446190356225"/>
    <s v="Pending"/>
    <x v="10"/>
    <x v="10"/>
    <x v="1"/>
  </r>
  <r>
    <x v="303"/>
    <s v="INV-00530"/>
    <x v="6"/>
    <x v="3"/>
    <x v="3"/>
    <s v="Ibadan"/>
    <s v="Ibrahim"/>
    <s v="Retail"/>
    <n v="57.998123288137293"/>
    <n v="917.04"/>
    <n v="53186.598980153423"/>
    <n v="1838.33"/>
    <x v="1233"/>
    <n v="31930.55"/>
    <n v="1048.51"/>
    <n v="2877.01"/>
    <n v="1429.56"/>
    <n v="678.99"/>
    <n v="37964.619999999995"/>
    <n v="19417.718980153422"/>
    <n v="13383.648980153426"/>
    <n v="0.26064459904824311"/>
    <s v="Paid"/>
    <x v="10"/>
    <x v="10"/>
    <x v="1"/>
  </r>
  <r>
    <x v="303"/>
    <s v="INV-01300"/>
    <x v="10"/>
    <x v="8"/>
    <x v="2"/>
    <s v="Port Harcourt"/>
    <s v="Emeka"/>
    <s v="Retail"/>
    <n v="35.003068650028247"/>
    <n v="7185.86"/>
    <n v="251527.15088949198"/>
    <n v="11291.09"/>
    <x v="1234"/>
    <n v="124917.65"/>
    <n v="7757.85"/>
    <n v="12728.11"/>
    <n v="5047.5"/>
    <n v="4949.8599999999997"/>
    <n v="155400.96999999997"/>
    <n v="115318.41088949199"/>
    <n v="84835.090889492014"/>
    <n v="0.35313220910875637"/>
    <s v="Paid"/>
    <x v="10"/>
    <x v="10"/>
    <x v="1"/>
  </r>
  <r>
    <x v="303"/>
    <s v="INV-00747"/>
    <x v="6"/>
    <x v="0"/>
    <x v="0"/>
    <s v="Port Harcourt"/>
    <s v="Ibrahim"/>
    <s v="Supermarket"/>
    <n v="51.026640345645319"/>
    <n v="1279.93"/>
    <n v="65310.527777601819"/>
    <n v="2584.65"/>
    <x v="1235"/>
    <n v="35241.120000000003"/>
    <n v="2127.5300000000002"/>
    <n v="3324.4"/>
    <n v="1946.14"/>
    <n v="933.35"/>
    <n v="43572.54"/>
    <n v="27484.757777601815"/>
    <n v="19153.337777601817"/>
    <n v="0.30534985649002905"/>
    <s v="Paid"/>
    <x v="10"/>
    <x v="10"/>
    <x v="1"/>
  </r>
  <r>
    <x v="304"/>
    <s v="INV-01121"/>
    <x v="0"/>
    <x v="10"/>
    <x v="5"/>
    <s v="Ibadan"/>
    <s v="Amina"/>
    <s v="Supermarket"/>
    <n v="54.321139882957837"/>
    <n v="7797.01"/>
    <n v="423542.4708788211"/>
    <n v="11879.21"/>
    <x v="1236"/>
    <n v="226652.49"/>
    <n v="8951.41"/>
    <n v="20099.64"/>
    <n v="9579.24"/>
    <n v="8863.4599999999991"/>
    <n v="274146.24"/>
    <n v="185010.77087882109"/>
    <n v="137517.02087882109"/>
    <n v="0.33405220710065059"/>
    <s v="Paid"/>
    <x v="10"/>
    <x v="10"/>
    <x v="1"/>
  </r>
  <r>
    <x v="304"/>
    <s v="INV-00519"/>
    <x v="9"/>
    <x v="7"/>
    <x v="5"/>
    <s v="Port Harcourt"/>
    <s v="Tunde"/>
    <s v="Wholesale"/>
    <n v="52.923254261438743"/>
    <n v="5906.9"/>
    <n v="312612.37059689249"/>
    <n v="13644.38"/>
    <x v="1237"/>
    <n v="199390.09"/>
    <n v="9615.0499999999993"/>
    <n v="17437.349999999999"/>
    <n v="6828.02"/>
    <n v="4161.96"/>
    <n v="237432.46999999997"/>
    <n v="99577.90059689249"/>
    <n v="61535.520596892515"/>
    <n v="0.2058264514339353"/>
    <s v="Pending"/>
    <x v="10"/>
    <x v="10"/>
    <x v="1"/>
  </r>
  <r>
    <x v="304"/>
    <s v="INV-00794"/>
    <x v="10"/>
    <x v="11"/>
    <x v="1"/>
    <s v="Lagos"/>
    <s v="Daniel"/>
    <s v="Wholesale"/>
    <n v="61.388099678993846"/>
    <n v="7101.14"/>
    <n v="435925.4901544904"/>
    <n v="15601.77"/>
    <x v="1238"/>
    <n v="213170.14"/>
    <n v="8078.22"/>
    <n v="23446.35"/>
    <n v="9817.76"/>
    <n v="7143.14"/>
    <n v="261655.61000000004"/>
    <n v="207153.58015449037"/>
    <n v="158668.11015449034"/>
    <n v="0.37749025940332781"/>
    <s v="Pending"/>
    <x v="10"/>
    <x v="10"/>
    <x v="1"/>
  </r>
  <r>
    <x v="304"/>
    <s v="INV-00065"/>
    <x v="7"/>
    <x v="2"/>
    <x v="2"/>
    <s v="Port Harcourt"/>
    <s v="Emeka"/>
    <s v="Supermarket"/>
    <n v="52.372899291699547"/>
    <n v="4993.01"/>
    <n v="261498.40989244878"/>
    <n v="12491.06"/>
    <x v="1239"/>
    <n v="155027.23000000001"/>
    <n v="7874.98"/>
    <n v="13164.3"/>
    <n v="7328.65"/>
    <n v="4914.47"/>
    <n v="188309.63"/>
    <n v="93980.119892448769"/>
    <n v="60697.719892448775"/>
    <n v="0.24375874816010581"/>
    <s v="Paid"/>
    <x v="10"/>
    <x v="10"/>
    <x v="1"/>
  </r>
  <r>
    <x v="305"/>
    <s v="INV-00874"/>
    <x v="4"/>
    <x v="6"/>
    <x v="0"/>
    <s v="Abuja"/>
    <s v="Daniel"/>
    <s v="Wholesale"/>
    <n v="97.091091458983172"/>
    <n v="412.2"/>
    <n v="40020.947899392864"/>
    <n v="2019.55"/>
    <x v="1240"/>
    <n v="28670.16"/>
    <n v="1050.45"/>
    <n v="1859.74"/>
    <n v="1212.8599999999999"/>
    <n v="647.41"/>
    <n v="33440.620000000003"/>
    <n v="9331.2378993928614"/>
    <n v="4560.7778993928587"/>
    <n v="0.12001605602686856"/>
    <s v="Paid"/>
    <x v="10"/>
    <x v="10"/>
    <x v="1"/>
  </r>
  <r>
    <x v="305"/>
    <s v="INV-01304"/>
    <x v="5"/>
    <x v="4"/>
    <x v="4"/>
    <s v="Lagos"/>
    <s v="Samuel"/>
    <s v="Wholesale"/>
    <n v="50.249008171634998"/>
    <n v="3456.48"/>
    <n v="173684.69176509292"/>
    <n v="6014.14"/>
    <x v="1241"/>
    <n v="88002"/>
    <n v="2733.9"/>
    <n v="8618.89"/>
    <n v="4377.71"/>
    <n v="3022.8"/>
    <n v="106755.3"/>
    <n v="79668.551765092911"/>
    <n v="60915.251765092908"/>
    <n v="0.36330322244323149"/>
    <s v="Paid"/>
    <x v="10"/>
    <x v="10"/>
    <x v="1"/>
  </r>
  <r>
    <x v="305"/>
    <s v="INV-00102"/>
    <x v="7"/>
    <x v="0"/>
    <x v="0"/>
    <s v="Abuja"/>
    <s v="Samuel"/>
    <s v="Wholesale"/>
    <n v="78.585818719835828"/>
    <n v="1303"/>
    <n v="102397.32179194609"/>
    <n v="4336.97"/>
    <x v="1242"/>
    <n v="51652.36"/>
    <n v="2523.39"/>
    <n v="5227.0200000000004"/>
    <n v="2129.06"/>
    <n v="2124.6"/>
    <n v="63656.43"/>
    <n v="46407.991791946086"/>
    <n v="34403.921791946086"/>
    <n v="0.35084436434554739"/>
    <s v="Paid"/>
    <x v="10"/>
    <x v="10"/>
    <x v="1"/>
  </r>
  <r>
    <x v="305"/>
    <s v="INV-00923"/>
    <x v="11"/>
    <x v="11"/>
    <x v="1"/>
    <s v="Abuja"/>
    <s v="Ibrahim"/>
    <s v="Retail"/>
    <n v="58.121767445554532"/>
    <n v="7437.24"/>
    <n v="432265.533716776"/>
    <n v="11630.85"/>
    <x v="1243"/>
    <n v="219354.77"/>
    <n v="10835"/>
    <n v="21872.86"/>
    <n v="8128.27"/>
    <n v="6226.79"/>
    <n v="266417.69"/>
    <n v="201279.91371677603"/>
    <n v="154216.99371677602"/>
    <n v="0.36662928590219207"/>
    <s v="Paid"/>
    <x v="10"/>
    <x v="10"/>
    <x v="1"/>
  </r>
  <r>
    <x v="305"/>
    <s v="INV-00744"/>
    <x v="1"/>
    <x v="0"/>
    <x v="0"/>
    <s v="Lagos"/>
    <s v="Samuel"/>
    <s v="Distributor"/>
    <n v="95.127115646256726"/>
    <n v="1284.47"/>
    <n v="122187.92623414738"/>
    <n v="7098.23"/>
    <x v="1244"/>
    <n v="58011.54"/>
    <n v="2207.46"/>
    <n v="7120.5"/>
    <n v="2826.61"/>
    <n v="1541.85"/>
    <n v="71707.960000000006"/>
    <n v="57078.156234147384"/>
    <n v="43381.736234147378"/>
    <n v="0.3769384893143537"/>
    <s v="Paid"/>
    <x v="10"/>
    <x v="10"/>
    <x v="1"/>
  </r>
  <r>
    <x v="306"/>
    <s v="INV-01344"/>
    <x v="8"/>
    <x v="7"/>
    <x v="5"/>
    <s v="Lagos"/>
    <s v="Fatima"/>
    <s v="Wholesale"/>
    <n v="65.701375406691511"/>
    <n v="6177.58"/>
    <n v="405875.50268486934"/>
    <n v="16582.759999999998"/>
    <x v="1245"/>
    <n v="264837.63"/>
    <n v="6150.75"/>
    <n v="22897.7"/>
    <n v="10853.59"/>
    <n v="5763.28"/>
    <n v="310502.95000000007"/>
    <n v="124455.11268486932"/>
    <n v="78789.792684869259"/>
    <n v="0.20239214361272909"/>
    <s v="Paid"/>
    <x v="10"/>
    <x v="10"/>
    <x v="1"/>
  </r>
  <r>
    <x v="306"/>
    <s v="INV-01171"/>
    <x v="10"/>
    <x v="11"/>
    <x v="1"/>
    <s v="Lagos"/>
    <s v="Fatima"/>
    <s v="Wholesale"/>
    <n v="40.327939951243621"/>
    <n v="7358.67"/>
    <n v="296760.00188101787"/>
    <n v="14125.04"/>
    <x v="1246"/>
    <n v="145566.41"/>
    <n v="5686.59"/>
    <n v="17329.62"/>
    <n v="6172.83"/>
    <n v="4513.92"/>
    <n v="179269.37"/>
    <n v="137068.55188101789"/>
    <n v="103365.5918810179"/>
    <n v="0.36572118039852469"/>
    <s v="Paid"/>
    <x v="10"/>
    <x v="10"/>
    <x v="1"/>
  </r>
  <r>
    <x v="306"/>
    <s v="INV-00583"/>
    <x v="1"/>
    <x v="7"/>
    <x v="5"/>
    <s v="Lagos"/>
    <s v="Samuel"/>
    <s v="Retail"/>
    <n v="56.373743252181399"/>
    <n v="6092.45"/>
    <n v="343454.21207675256"/>
    <n v="7847.2"/>
    <x v="1247"/>
    <n v="235633.87"/>
    <n v="5930.41"/>
    <n v="19034"/>
    <n v="10097.129999999999"/>
    <n v="5581.74"/>
    <n v="276277.14999999997"/>
    <n v="99973.142076752556"/>
    <n v="59329.862076752586"/>
    <n v="0.17678373794878868"/>
    <s v="Pending"/>
    <x v="10"/>
    <x v="10"/>
    <x v="1"/>
  </r>
  <r>
    <x v="306"/>
    <s v="INV-00135"/>
    <x v="11"/>
    <x v="3"/>
    <x v="3"/>
    <s v="Abuja"/>
    <s v="Fatima"/>
    <s v="Wholesale"/>
    <n v="57.037376085255339"/>
    <n v="905.98"/>
    <n v="51674.721985719632"/>
    <n v="2141.37"/>
    <x v="1248"/>
    <n v="29393.13"/>
    <n v="1402.33"/>
    <n v="2802.11"/>
    <n v="1375.63"/>
    <n v="853.46"/>
    <n v="35826.659999999996"/>
    <n v="20140.221985719629"/>
    <n v="13706.691985719634"/>
    <n v="0.27671642310157502"/>
    <s v="Paid"/>
    <x v="10"/>
    <x v="10"/>
    <x v="1"/>
  </r>
  <r>
    <x v="307"/>
    <s v="INV-00935"/>
    <x v="5"/>
    <x v="11"/>
    <x v="1"/>
    <s v="Port Harcourt"/>
    <s v="Daniel"/>
    <s v="Wholesale"/>
    <n v="59.173577669574321"/>
    <n v="7285.37"/>
    <n v="431101.40754658665"/>
    <n v="23432.78"/>
    <x v="1249"/>
    <n v="221185.19"/>
    <n v="13482.41"/>
    <n v="24602.14"/>
    <n v="7447.19"/>
    <n v="8747.2800000000007"/>
    <n v="275464.21000000002"/>
    <n v="186483.43754658668"/>
    <n v="132204.41754658666"/>
    <n v="0.32429382251514777"/>
    <s v="Paid"/>
    <x v="10"/>
    <x v="10"/>
    <x v="1"/>
  </r>
  <r>
    <x v="307"/>
    <s v="INV-01403"/>
    <x v="8"/>
    <x v="7"/>
    <x v="5"/>
    <s v="Lagos"/>
    <s v="Amina"/>
    <s v="Supermarket"/>
    <n v="76.690338359311951"/>
    <n v="6238.34"/>
    <n v="478420.40540043014"/>
    <n v="19836.16"/>
    <x v="1250"/>
    <n v="310856.17"/>
    <n v="8001.79"/>
    <n v="22609.75"/>
    <n v="12814.87"/>
    <n v="7900.25"/>
    <n v="362182.82999999996"/>
    <n v="147728.07540043019"/>
    <n v="96401.415400430211"/>
    <n v="0.2102152796728847"/>
    <s v="Paid"/>
    <x v="10"/>
    <x v="10"/>
    <x v="1"/>
  </r>
  <r>
    <x v="307"/>
    <s v="INV-00379"/>
    <x v="8"/>
    <x v="10"/>
    <x v="5"/>
    <s v="Port Harcourt"/>
    <s v="Daniel"/>
    <s v="Wholesale"/>
    <n v="57.290396453017422"/>
    <n v="7817.27"/>
    <n v="447854.49748027953"/>
    <n v="18006.04"/>
    <x v="1251"/>
    <n v="243141.92"/>
    <n v="13753.25"/>
    <n v="21014.82"/>
    <n v="8902.6299999999992"/>
    <n v="7666.99"/>
    <n v="294479.61"/>
    <n v="186706.53748027954"/>
    <n v="135368.84748027957"/>
    <n v="0.3149222595186118"/>
    <s v="Pending"/>
    <x v="10"/>
    <x v="10"/>
    <x v="1"/>
  </r>
  <r>
    <x v="307"/>
    <s v="INV-00724"/>
    <x v="5"/>
    <x v="8"/>
    <x v="2"/>
    <s v="Lagos"/>
    <s v="Amina"/>
    <s v="Supermarket"/>
    <n v="64.03173662135319"/>
    <n v="6985.65"/>
    <n v="447303.3009289559"/>
    <n v="17290.46"/>
    <x v="1252"/>
    <n v="220139.8"/>
    <n v="7998.83"/>
    <n v="24190.78"/>
    <n v="11014.88"/>
    <n v="5408.75"/>
    <n v="268753.03999999998"/>
    <n v="209873.04092895589"/>
    <n v="161259.8009289559"/>
    <n v="0.37501159402725431"/>
    <s v="Paid"/>
    <x v="10"/>
    <x v="10"/>
    <x v="1"/>
  </r>
  <r>
    <x v="308"/>
    <s v="INV-00853"/>
    <x v="0"/>
    <x v="7"/>
    <x v="5"/>
    <s v="Lagos"/>
    <s v="Ibrahim"/>
    <s v="Supermarket"/>
    <n v="36.682885649681559"/>
    <n v="6184.55"/>
    <n v="226867.14044473809"/>
    <n v="5880.7"/>
    <x v="1253"/>
    <n v="145430.92000000001"/>
    <n v="3477.03"/>
    <n v="10886.32"/>
    <n v="6383.13"/>
    <n v="3616.71"/>
    <n v="169794.11000000002"/>
    <n v="75555.520444738067"/>
    <n v="51192.330444738065"/>
    <n v="0.23165371749376493"/>
    <s v="Paid"/>
    <x v="10"/>
    <x v="10"/>
    <x v="1"/>
  </r>
  <r>
    <x v="308"/>
    <s v="INV-00561"/>
    <x v="6"/>
    <x v="7"/>
    <x v="5"/>
    <s v="Lagos"/>
    <s v="Amina"/>
    <s v="Supermarket"/>
    <n v="75.003241102272312"/>
    <n v="6022.35"/>
    <n v="451695.76905226969"/>
    <n v="14749.83"/>
    <x v="1254"/>
    <n v="312783.57"/>
    <n v="7112.33"/>
    <n v="26215.34"/>
    <n v="12933.47"/>
    <n v="5818.36"/>
    <n v="364863.07"/>
    <n v="124162.36905226967"/>
    <n v="72082.869052269671"/>
    <n v="0.16496976538703281"/>
    <s v="Pending"/>
    <x v="10"/>
    <x v="10"/>
    <x v="1"/>
  </r>
  <r>
    <x v="308"/>
    <s v="INV-01395"/>
    <x v="4"/>
    <x v="1"/>
    <x v="1"/>
    <s v="Ibadan"/>
    <s v="Tunde"/>
    <s v="Wholesale"/>
    <n v="35.011689733442203"/>
    <n v="4699.4399999999996"/>
    <n v="164535.33520092763"/>
    <n v="8366.2999999999993"/>
    <x v="1255"/>
    <n v="104927.96"/>
    <n v="2883.73"/>
    <n v="9579.82"/>
    <n v="3100.17"/>
    <n v="2909.2"/>
    <n v="123400.88"/>
    <n v="51241.075200927633"/>
    <n v="32768.155200927635"/>
    <n v="0.20982491925347435"/>
    <s v="Paid"/>
    <x v="10"/>
    <x v="10"/>
    <x v="1"/>
  </r>
  <r>
    <x v="308"/>
    <s v="INV-00899"/>
    <x v="10"/>
    <x v="2"/>
    <x v="2"/>
    <s v="Abuja"/>
    <s v="Emeka"/>
    <s v="Distributor"/>
    <n v="71.395644706463131"/>
    <n v="4679.46"/>
    <n v="334093.06357810594"/>
    <n v="19942.79"/>
    <x v="1256"/>
    <n v="201274.42"/>
    <n v="7641.07"/>
    <n v="16379.79"/>
    <n v="7483.57"/>
    <n v="5143.26"/>
    <n v="237922.11000000004"/>
    <n v="112875.85357810595"/>
    <n v="76228.163578105916"/>
    <n v="0.24264872575116062"/>
    <s v="Paid"/>
    <x v="10"/>
    <x v="10"/>
    <x v="1"/>
  </r>
  <r>
    <x v="309"/>
    <s v="INV-01233"/>
    <x v="6"/>
    <x v="8"/>
    <x v="2"/>
    <s v="Lagos"/>
    <s v="Daniel"/>
    <s v="Supermarket"/>
    <n v="78.704576660779026"/>
    <n v="7148.05"/>
    <n v="562584.24920008157"/>
    <n v="28079.34"/>
    <x v="1257"/>
    <n v="268412.84999999998"/>
    <n v="10881.47"/>
    <n v="30709.03"/>
    <n v="12581.75"/>
    <n v="11059.8"/>
    <n v="333644.89999999997"/>
    <n v="266092.05920008163"/>
    <n v="200860.00920008164"/>
    <n v="0.37578702410924641"/>
    <s v="Paid"/>
    <x v="10"/>
    <x v="10"/>
    <x v="1"/>
  </r>
  <r>
    <x v="310"/>
    <s v="INV-00034"/>
    <x v="7"/>
    <x v="0"/>
    <x v="0"/>
    <s v="Abuja"/>
    <s v="Samuel"/>
    <s v="Wholesale"/>
    <n v="93.413834578358603"/>
    <n v="1309.33"/>
    <n v="122309.53602848227"/>
    <n v="4195.45"/>
    <x v="1258"/>
    <n v="63215.38"/>
    <n v="3108.74"/>
    <n v="6884.85"/>
    <n v="2893.7"/>
    <n v="2182.73"/>
    <n v="78285.399999999994"/>
    <n v="54898.706028482273"/>
    <n v="39828.686028482276"/>
    <n v="0.3372052171565541"/>
    <s v="Paid"/>
    <x v="10"/>
    <x v="10"/>
    <x v="1"/>
  </r>
  <r>
    <x v="310"/>
    <s v="INV-00508"/>
    <x v="7"/>
    <x v="1"/>
    <x v="1"/>
    <s v="Abuja"/>
    <s v="Fatima"/>
    <s v="Wholesale"/>
    <n v="95.125122729945829"/>
    <n v="4972.5600000000004"/>
    <n v="473015.3802820195"/>
    <n v="17392.29"/>
    <x v="1259"/>
    <n v="302252.65000000002"/>
    <n v="10736.74"/>
    <n v="22231.47"/>
    <n v="12699.85"/>
    <n v="9096.5400000000009"/>
    <n v="357017.24999999994"/>
    <n v="153370.4402820195"/>
    <n v="98605.840282019577"/>
    <n v="0.21641976094974683"/>
    <s v="Pending"/>
    <x v="10"/>
    <x v="10"/>
    <x v="1"/>
  </r>
  <r>
    <x v="311"/>
    <s v="INV-01090"/>
    <x v="0"/>
    <x v="10"/>
    <x v="5"/>
    <s v="Lagos"/>
    <s v="Emeka"/>
    <s v="Supermarket"/>
    <n v="31.87721093726655"/>
    <n v="7700.27"/>
    <n v="245463.13106390552"/>
    <n v="9589.0499999999993"/>
    <x v="1260"/>
    <n v="129412.22"/>
    <n v="4955.59"/>
    <n v="13255.1"/>
    <n v="5480.43"/>
    <n v="3993.36"/>
    <n v="157096.69999999998"/>
    <n v="106461.86106390553"/>
    <n v="78777.381063905545"/>
    <n v="0.33398065912363784"/>
    <s v="Paid"/>
    <x v="10"/>
    <x v="10"/>
    <x v="1"/>
  </r>
  <r>
    <x v="311"/>
    <s v="INV-00651"/>
    <x v="3"/>
    <x v="3"/>
    <x v="3"/>
    <s v="Ibadan"/>
    <s v="Emeka"/>
    <s v="Wholesale"/>
    <n v="87.048086297452556"/>
    <n v="946.19"/>
    <n v="82364.028773786646"/>
    <n v="3751.66"/>
    <x v="1261"/>
    <n v="48407.7"/>
    <n v="1982.03"/>
    <n v="4786.2700000000004"/>
    <n v="1846.97"/>
    <n v="1173.58"/>
    <n v="58196.55"/>
    <n v="30204.668773786645"/>
    <n v="20415.818773786639"/>
    <n v="0.25970237371341381"/>
    <s v="Pending"/>
    <x v="10"/>
    <x v="10"/>
    <x v="1"/>
  </r>
  <r>
    <x v="312"/>
    <s v="INV-01397"/>
    <x v="11"/>
    <x v="10"/>
    <x v="5"/>
    <s v="Abuja"/>
    <s v="Mary"/>
    <s v="Wholesale"/>
    <n v="42.639662827862907"/>
    <n v="7228.06"/>
    <n v="308202.04129956278"/>
    <n v="14702.36"/>
    <x v="1262"/>
    <n v="158420.57999999999"/>
    <n v="6657.78"/>
    <n v="16702.75"/>
    <n v="5324.91"/>
    <n v="4524.29"/>
    <n v="191630.31"/>
    <n v="135079.10129956281"/>
    <n v="101869.3712995628"/>
    <n v="0.34708511725976632"/>
    <s v="Paid"/>
    <x v="10"/>
    <x v="10"/>
    <x v="1"/>
  </r>
  <r>
    <x v="312"/>
    <s v="INV-01246"/>
    <x v="6"/>
    <x v="11"/>
    <x v="1"/>
    <s v="Lagos"/>
    <s v="Fatima"/>
    <s v="Distributor"/>
    <n v="72.969507957259836"/>
    <n v="7227.07"/>
    <n v="527355.74187267385"/>
    <n v="25734.560000000001"/>
    <x v="1263"/>
    <n v="249003.8"/>
    <n v="9436.67"/>
    <n v="30864.76"/>
    <n v="15610.26"/>
    <n v="6515.74"/>
    <n v="311431.23"/>
    <n v="252617.38187267387"/>
    <n v="190189.95187267388"/>
    <n v="0.3791505597164947"/>
    <s v="Pending"/>
    <x v="10"/>
    <x v="10"/>
    <x v="1"/>
  </r>
  <r>
    <x v="313"/>
    <s v="INV-00043"/>
    <x v="1"/>
    <x v="1"/>
    <x v="1"/>
    <s v="Lagos"/>
    <s v="Tunde"/>
    <s v="Wholesale"/>
    <n v="64.732653325446805"/>
    <n v="4671.5600000000004"/>
    <n v="302402.47396902432"/>
    <n v="14656.63"/>
    <x v="1264"/>
    <n v="190171.94"/>
    <n v="4275.03"/>
    <n v="15181.33"/>
    <n v="5546.01"/>
    <n v="4539.57"/>
    <n v="219713.88"/>
    <n v="97573.903969024308"/>
    <n v="68031.963969024306"/>
    <n v="0.23643074398790589"/>
    <s v="Pending"/>
    <x v="10"/>
    <x v="10"/>
    <x v="1"/>
  </r>
  <r>
    <x v="313"/>
    <s v="INV-01319"/>
    <x v="8"/>
    <x v="1"/>
    <x v="1"/>
    <s v="Lagos"/>
    <s v="Daniel"/>
    <s v="Supermarket"/>
    <n v="79.67414657875733"/>
    <n v="4802.1099999999997"/>
    <n v="382604.01602731633"/>
    <n v="18322.37"/>
    <x v="1265"/>
    <n v="237769.36"/>
    <n v="6331.97"/>
    <n v="21425.78"/>
    <n v="9898.3700000000008"/>
    <n v="7271.92"/>
    <n v="282697.39999999997"/>
    <n v="126512.28602731635"/>
    <n v="81584.246027316374"/>
    <n v="0.22395925492551066"/>
    <s v="Paid"/>
    <x v="10"/>
    <x v="10"/>
    <x v="1"/>
  </r>
  <r>
    <x v="313"/>
    <s v="INV-01303"/>
    <x v="5"/>
    <x v="9"/>
    <x v="4"/>
    <s v="Port Harcourt"/>
    <s v="Amina"/>
    <s v="Retail"/>
    <n v="79.737891755383572"/>
    <n v="2165.5300000000002"/>
    <n v="172674.79673303579"/>
    <n v="7058.46"/>
    <x v="1266"/>
    <n v="105170.98"/>
    <n v="4061.79"/>
    <n v="8349.17"/>
    <n v="4320.03"/>
    <n v="2590.4899999999998"/>
    <n v="124492.45999999999"/>
    <n v="60445.356733035806"/>
    <n v="41123.87673303581"/>
    <n v="0.24830809293484846"/>
    <s v="Paid"/>
    <x v="10"/>
    <x v="10"/>
    <x v="1"/>
  </r>
  <r>
    <x v="313"/>
    <s v="INV-01366"/>
    <x v="1"/>
    <x v="7"/>
    <x v="5"/>
    <s v="Port Harcourt"/>
    <s v="Daniel"/>
    <s v="Distributor"/>
    <n v="66.256244150889017"/>
    <n v="5818.33"/>
    <n v="385500.69303044211"/>
    <n v="21144.65"/>
    <x v="1267"/>
    <n v="263117.7"/>
    <n v="13030.21"/>
    <n v="18480.47"/>
    <n v="7308.53"/>
    <n v="5239.1499999999996"/>
    <n v="307176.06000000006"/>
    <n v="101238.34303044208"/>
    <n v="57179.983030442032"/>
    <n v="0.1569343616613616"/>
    <s v="Paid"/>
    <x v="10"/>
    <x v="10"/>
    <x v="1"/>
  </r>
  <r>
    <x v="313"/>
    <s v="INV-00720"/>
    <x v="5"/>
    <x v="9"/>
    <x v="4"/>
    <s v="Ibadan"/>
    <s v="Ibrahim"/>
    <s v="Retail"/>
    <n v="29.677807572222431"/>
    <n v="2070.1999999999998"/>
    <n v="61438.997236014868"/>
    <n v="1920.93"/>
    <x v="1268"/>
    <n v="39428.44"/>
    <n v="1405.22"/>
    <n v="3335.6"/>
    <n v="1233.1300000000001"/>
    <n v="1094.07"/>
    <n v="46496.46"/>
    <n v="20089.627236014865"/>
    <n v="13021.607236014868"/>
    <n v="0.21878410776308588"/>
    <s v="Paid"/>
    <x v="10"/>
    <x v="10"/>
    <x v="1"/>
  </r>
  <r>
    <x v="313"/>
    <s v="INV-01141"/>
    <x v="8"/>
    <x v="7"/>
    <x v="5"/>
    <s v="Abuja"/>
    <s v="Amina"/>
    <s v="Retail"/>
    <n v="80.011727844840891"/>
    <n v="5927.21"/>
    <n v="474246.31339921936"/>
    <n v="16314.15"/>
    <x v="1269"/>
    <n v="334695.44"/>
    <n v="9855.64"/>
    <n v="27648.98"/>
    <n v="13400.8"/>
    <n v="6872.73"/>
    <n v="392473.58999999997"/>
    <n v="123236.72339921934"/>
    <n v="65458.573399219371"/>
    <n v="0.14294382144578352"/>
    <s v="Paid"/>
    <x v="10"/>
    <x v="10"/>
    <x v="1"/>
  </r>
  <r>
    <x v="313"/>
    <s v="INV-00339"/>
    <x v="1"/>
    <x v="7"/>
    <x v="5"/>
    <s v="Abuja"/>
    <s v="Mary"/>
    <s v="Distributor"/>
    <n v="33.313458167309527"/>
    <n v="5751.13"/>
    <n v="191590.02866975885"/>
    <n v="6916.12"/>
    <x v="1270"/>
    <n v="125214.67"/>
    <n v="4919.03"/>
    <n v="9853.83"/>
    <n v="4065.34"/>
    <n v="2810.98"/>
    <n v="146863.85"/>
    <n v="59459.238669758852"/>
    <n v="37810.058669758844"/>
    <n v="0.20473958093003966"/>
    <s v="Pending"/>
    <x v="10"/>
    <x v="10"/>
    <x v="1"/>
  </r>
  <r>
    <x v="313"/>
    <s v="INV-01416"/>
    <x v="11"/>
    <x v="1"/>
    <x v="1"/>
    <s v="Lagos"/>
    <s v="Ibrahim"/>
    <s v="Wholesale"/>
    <n v="85.835094310577304"/>
    <n v="5019.72"/>
    <n v="430868.13961269113"/>
    <n v="14590.33"/>
    <x v="1271"/>
    <n v="277452.96999999997"/>
    <n v="7253.72"/>
    <n v="21152"/>
    <n v="7865.1"/>
    <n v="5311.17"/>
    <n v="319034.9599999999"/>
    <n v="138824.83961269114"/>
    <n v="97242.849612691207"/>
    <n v="0.2336008486812374"/>
    <s v="Pending"/>
    <x v="10"/>
    <x v="10"/>
    <x v="1"/>
  </r>
  <r>
    <x v="313"/>
    <s v="INV-00950"/>
    <x v="11"/>
    <x v="8"/>
    <x v="2"/>
    <s v="Port Harcourt"/>
    <s v="Mary"/>
    <s v="Supermarket"/>
    <n v="36.108638876824052"/>
    <n v="7061.67"/>
    <n v="254987.29189730212"/>
    <n v="9504.4599999999991"/>
    <x v="1272"/>
    <n v="133209.51999999999"/>
    <n v="7618.33"/>
    <n v="12906.26"/>
    <n v="5072.8999999999996"/>
    <n v="5211.8500000000004"/>
    <n v="164018.85999999999"/>
    <n v="112273.31189730213"/>
    <n v="81463.971897302137"/>
    <n v="0.33185201289914495"/>
    <s v="Paid"/>
    <x v="10"/>
    <x v="10"/>
    <x v="1"/>
  </r>
  <r>
    <x v="313"/>
    <s v="INV-00877"/>
    <x v="4"/>
    <x v="0"/>
    <x v="0"/>
    <s v="Abuja"/>
    <s v="Fatima"/>
    <s v="Wholesale"/>
    <n v="69.993619755572738"/>
    <n v="1268.6199999999999"/>
    <n v="88795.305894314675"/>
    <n v="3664.56"/>
    <x v="1273"/>
    <n v="45255.519999999997"/>
    <n v="1855.83"/>
    <n v="5064.8599999999997"/>
    <n v="2487.3000000000002"/>
    <n v="1753.48"/>
    <n v="56416.990000000005"/>
    <n v="39875.225894314681"/>
    <n v="28713.755894314672"/>
    <n v="0.33729007766431746"/>
    <s v="Paid"/>
    <x v="10"/>
    <x v="10"/>
    <x v="1"/>
  </r>
  <r>
    <x v="314"/>
    <s v="INV-00657"/>
    <x v="7"/>
    <x v="8"/>
    <x v="2"/>
    <s v="Lagos"/>
    <s v="Ibrahim"/>
    <s v="Wholesale"/>
    <n v="40.672206663485277"/>
    <n v="7365.75"/>
    <n v="299581.3062315667"/>
    <n v="14014.81"/>
    <x v="1274"/>
    <n v="145885.34"/>
    <n v="5009.12"/>
    <n v="14540.22"/>
    <n v="8093.16"/>
    <n v="3458.88"/>
    <n v="176986.72"/>
    <n v="139681.15623156671"/>
    <n v="108579.77623156671"/>
    <n v="0.38022589366897946"/>
    <s v="Pending"/>
    <x v="10"/>
    <x v="10"/>
    <x v="1"/>
  </r>
  <r>
    <x v="314"/>
    <s v="INV-01126"/>
    <x v="10"/>
    <x v="10"/>
    <x v="5"/>
    <s v="Lagos"/>
    <s v="Emeka"/>
    <s v="Distributor"/>
    <n v="64.460920102832816"/>
    <n v="7263.57"/>
    <n v="468216.40543133335"/>
    <n v="21635.53"/>
    <x v="1275"/>
    <n v="238956.59"/>
    <n v="8000.35"/>
    <n v="21837.64"/>
    <n v="10056.66"/>
    <n v="9333.92"/>
    <n v="288185.15999999997"/>
    <n v="207624.28543133332"/>
    <n v="158395.71543133334"/>
    <n v="0.35468539775319691"/>
    <s v="Paid"/>
    <x v="10"/>
    <x v="10"/>
    <x v="1"/>
  </r>
  <r>
    <x v="314"/>
    <s v="INV-00498"/>
    <x v="6"/>
    <x v="0"/>
    <x v="0"/>
    <s v="Lagos"/>
    <s v="Tunde"/>
    <s v="Supermarket"/>
    <n v="114.0574932556349"/>
    <n v="1319.17"/>
    <n v="150461.22337803588"/>
    <n v="5684.32"/>
    <x v="1276"/>
    <n v="76886.929999999993"/>
    <n v="2572.5300000000002"/>
    <n v="8164.8"/>
    <n v="4206.62"/>
    <n v="2186.46"/>
    <n v="94017.34"/>
    <n v="67889.97337803588"/>
    <n v="50759.563378035877"/>
    <n v="0.3506053948777621"/>
    <s v="Paid"/>
    <x v="10"/>
    <x v="10"/>
    <x v="1"/>
  </r>
  <r>
    <x v="314"/>
    <s v="INV-00641"/>
    <x v="6"/>
    <x v="11"/>
    <x v="1"/>
    <s v="Lagos"/>
    <s v="Daniel"/>
    <s v="Wholesale"/>
    <n v="41.479047394400467"/>
    <n v="7364.99"/>
    <n v="305492.76926928549"/>
    <n v="15041.19"/>
    <x v="1277"/>
    <n v="153279.93"/>
    <n v="4276.41"/>
    <n v="15190.09"/>
    <n v="7738.82"/>
    <n v="5848.7"/>
    <n v="186333.95"/>
    <n v="137171.6492692855"/>
    <n v="104117.62926928548"/>
    <n v="0.35846811207301171"/>
    <s v="Paid"/>
    <x v="10"/>
    <x v="10"/>
    <x v="1"/>
  </r>
  <r>
    <x v="314"/>
    <s v="INV-00865"/>
    <x v="11"/>
    <x v="0"/>
    <x v="0"/>
    <s v="Lagos"/>
    <s v="Mary"/>
    <s v="Supermarket"/>
    <n v="69.061616747472328"/>
    <n v="1301.18"/>
    <n v="89861.594479476043"/>
    <n v="3348.34"/>
    <x v="1278"/>
    <n v="43777.1"/>
    <n v="1419.83"/>
    <n v="4421.08"/>
    <n v="1802.96"/>
    <n v="1290.69"/>
    <n v="52711.66"/>
    <n v="42736.154479476048"/>
    <n v="33801.594479476043"/>
    <n v="0.39071000949912199"/>
    <s v="Pending"/>
    <x v="10"/>
    <x v="10"/>
    <x v="1"/>
  </r>
  <r>
    <x v="314"/>
    <s v="INV-00039"/>
    <x v="0"/>
    <x v="7"/>
    <x v="5"/>
    <s v="Ibadan"/>
    <s v="Tunde"/>
    <s v="Supermarket"/>
    <n v="70.180617967331131"/>
    <n v="6005.69"/>
    <n v="421483.03552022087"/>
    <n v="17236.21"/>
    <x v="1279"/>
    <n v="267386.09000000003"/>
    <n v="7666.27"/>
    <n v="22595.01"/>
    <n v="11980.22"/>
    <n v="6107.86"/>
    <n v="315735.45"/>
    <n v="136860.73552022083"/>
    <n v="88511.375520220841"/>
    <n v="0.21895379241708704"/>
    <s v="Paid"/>
    <x v="10"/>
    <x v="10"/>
    <x v="1"/>
  </r>
  <r>
    <x v="315"/>
    <s v="INV-00967"/>
    <x v="7"/>
    <x v="10"/>
    <x v="5"/>
    <s v="Abuja"/>
    <s v="Ibrahim"/>
    <s v="Supermarket"/>
    <n v="32.308015872143052"/>
    <n v="7643.74"/>
    <n v="246954.07324253474"/>
    <n v="7281.41"/>
    <x v="1280"/>
    <n v="125974"/>
    <n v="6001.43"/>
    <n v="12288.63"/>
    <n v="5613.26"/>
    <n v="3399.22"/>
    <n v="153276.54"/>
    <n v="113698.66324253473"/>
    <n v="86396.123242534726"/>
    <n v="0.36047550051674809"/>
    <s v="Paid"/>
    <x v="10"/>
    <x v="10"/>
    <x v="1"/>
  </r>
  <r>
    <x v="315"/>
    <s v="INV-00466"/>
    <x v="11"/>
    <x v="6"/>
    <x v="0"/>
    <s v="Lagos"/>
    <s v="Tunde"/>
    <s v="Wholesale"/>
    <n v="140.49827181020919"/>
    <n v="419.96"/>
    <n v="59003.65422941545"/>
    <n v="2250.16"/>
    <x v="1281"/>
    <n v="39422.980000000003"/>
    <n v="984.1"/>
    <n v="3211.26"/>
    <n v="1512.71"/>
    <n v="1141.21"/>
    <n v="46272.26"/>
    <n v="17330.514229415443"/>
    <n v="10481.234229415444"/>
    <n v="0.18467998088447213"/>
    <s v="Pending"/>
    <x v="10"/>
    <x v="10"/>
    <x v="1"/>
  </r>
  <r>
    <x v="315"/>
    <s v="INV-00785"/>
    <x v="1"/>
    <x v="8"/>
    <x v="2"/>
    <s v="Lagos"/>
    <s v="Amina"/>
    <s v="Distributor"/>
    <n v="31.613386787937099"/>
    <n v="7134.58"/>
    <n v="225548.23710948025"/>
    <n v="11168.19"/>
    <x v="1282"/>
    <n v="104564.16"/>
    <n v="3793.54"/>
    <n v="11696.46"/>
    <n v="4214.33"/>
    <n v="2573.59"/>
    <n v="126842.08"/>
    <n v="109815.88710948025"/>
    <n v="87537.967109480247"/>
    <n v="0.40833075787494388"/>
    <s v="Paid"/>
    <x v="10"/>
    <x v="10"/>
    <x v="1"/>
  </r>
  <r>
    <x v="315"/>
    <s v="INV-00154"/>
    <x v="7"/>
    <x v="5"/>
    <x v="3"/>
    <s v="Ibadan"/>
    <s v="Fatima"/>
    <s v="Wholesale"/>
    <n v="37.330741317102941"/>
    <n v="1584.26"/>
    <n v="59141.600239033505"/>
    <n v="1853.26"/>
    <x v="1283"/>
    <n v="27077.98"/>
    <n v="1301.6600000000001"/>
    <n v="3194.14"/>
    <n v="1628.44"/>
    <n v="1214.46"/>
    <n v="34416.68"/>
    <n v="30210.360239033504"/>
    <n v="22871.660239033503"/>
    <n v="0.3992376135109228"/>
    <s v="Paid"/>
    <x v="10"/>
    <x v="10"/>
    <x v="1"/>
  </r>
  <r>
    <x v="315"/>
    <s v="INV-01173"/>
    <x v="3"/>
    <x v="6"/>
    <x v="0"/>
    <s v="Lagos"/>
    <s v="Samuel"/>
    <s v="Wholesale"/>
    <n v="74.966641799717152"/>
    <n v="403.23"/>
    <n v="30228.798972899949"/>
    <n v="1029.29"/>
    <x v="1284"/>
    <n v="21427.89"/>
    <n v="578.70000000000005"/>
    <n v="1489.17"/>
    <n v="778.04"/>
    <n v="631.54"/>
    <n v="24905.340000000004"/>
    <n v="7771.6189728999489"/>
    <n v="4294.1689728999445"/>
    <n v="0.14706305427551405"/>
    <s v="Paid"/>
    <x v="10"/>
    <x v="10"/>
    <x v="1"/>
  </r>
  <r>
    <x v="315"/>
    <s v="INV-00415"/>
    <x v="11"/>
    <x v="0"/>
    <x v="0"/>
    <s v="Abuja"/>
    <s v="Daniel"/>
    <s v="Retail"/>
    <n v="66.419992852853753"/>
    <n v="1275.24"/>
    <n v="84701.431685673218"/>
    <n v="3050.21"/>
    <x v="1285"/>
    <n v="41273.18"/>
    <n v="2128.6"/>
    <n v="4157.3"/>
    <n v="1790.97"/>
    <n v="1552.42"/>
    <n v="50902.47"/>
    <n v="40378.041685673212"/>
    <n v="30748.751685673211"/>
    <n v="0.37658654764584482"/>
    <s v="Pending"/>
    <x v="10"/>
    <x v="10"/>
    <x v="1"/>
  </r>
  <r>
    <x v="315"/>
    <s v="INV-01056"/>
    <x v="3"/>
    <x v="7"/>
    <x v="5"/>
    <s v="Abuja"/>
    <s v="Emeka"/>
    <s v="Distributor"/>
    <n v="57.156668467407783"/>
    <n v="6000.46"/>
    <n v="342966.30287194171"/>
    <n v="14593.41"/>
    <x v="1286"/>
    <n v="226610.49"/>
    <n v="8254.1200000000008"/>
    <n v="19717.03"/>
    <n v="7528.9"/>
    <n v="5090.17"/>
    <n v="267200.70999999996"/>
    <n v="101762.40287194174"/>
    <n v="61172.182871941768"/>
    <n v="0.18628877169772229"/>
    <s v="Paid"/>
    <x v="10"/>
    <x v="10"/>
    <x v="1"/>
  </r>
  <r>
    <x v="315"/>
    <s v="INV-01368"/>
    <x v="3"/>
    <x v="8"/>
    <x v="2"/>
    <s v="Lagos"/>
    <s v="Ibrahim"/>
    <s v="Wholesale"/>
    <n v="30.546342831107332"/>
    <n v="7157.38"/>
    <n v="218631.783252511"/>
    <n v="7564.19"/>
    <x v="1287"/>
    <n v="108954.66"/>
    <n v="3394.34"/>
    <n v="10630.05"/>
    <n v="5002.21"/>
    <n v="3273.95"/>
    <n v="131255.21000000002"/>
    <n v="102112.93325251099"/>
    <n v="79812.383252510976"/>
    <n v="0.37813660554241185"/>
    <s v="Pending"/>
    <x v="10"/>
    <x v="10"/>
    <x v="1"/>
  </r>
  <r>
    <x v="316"/>
    <s v="INV-01287"/>
    <x v="9"/>
    <x v="5"/>
    <x v="3"/>
    <s v="Ibadan"/>
    <s v="Daniel"/>
    <s v="Retail"/>
    <n v="45.669968180554953"/>
    <n v="1619.32"/>
    <n v="73954.292874136241"/>
    <n v="1920.95"/>
    <x v="1288"/>
    <n v="35129.64"/>
    <n v="1558.23"/>
    <n v="3580.91"/>
    <n v="1652.78"/>
    <n v="1130.6300000000001"/>
    <n v="43052.189999999995"/>
    <n v="36903.702874136245"/>
    <n v="28981.152874136249"/>
    <n v="0.40232969507988786"/>
    <s v="Paid"/>
    <x v="10"/>
    <x v="10"/>
    <x v="1"/>
  </r>
  <r>
    <x v="316"/>
    <s v="INV-00680"/>
    <x v="9"/>
    <x v="11"/>
    <x v="1"/>
    <s v="Lagos"/>
    <s v="Ibrahim"/>
    <s v="Supermarket"/>
    <n v="36.146951812653072"/>
    <n v="7138.4"/>
    <n v="258031.40081944267"/>
    <n v="10607.91"/>
    <x v="1289"/>
    <n v="125488.34"/>
    <n v="4938.38"/>
    <n v="12307.7"/>
    <n v="6094.35"/>
    <n v="4074.65"/>
    <n v="152903.42000000001"/>
    <n v="121935.15081944267"/>
    <n v="94520.070819442655"/>
    <n v="0.38201736830404148"/>
    <s v="Paid"/>
    <x v="10"/>
    <x v="10"/>
    <x v="1"/>
  </r>
  <r>
    <x v="316"/>
    <s v="INV-00222"/>
    <x v="4"/>
    <x v="9"/>
    <x v="4"/>
    <s v="Lagos"/>
    <s v="Emeka"/>
    <s v="Distributor"/>
    <n v="54.00314632524389"/>
    <n v="2045.09"/>
    <n v="110441.29451829303"/>
    <n v="3887.71"/>
    <x v="1290"/>
    <n v="64666.17"/>
    <n v="1988.4"/>
    <n v="5363.09"/>
    <n v="2877.82"/>
    <n v="1694.99"/>
    <n v="76590.47"/>
    <n v="41887.414518293022"/>
    <n v="29963.11451829302"/>
    <n v="0.28120231387569117"/>
    <s v="Paid"/>
    <x v="10"/>
    <x v="10"/>
    <x v="1"/>
  </r>
  <r>
    <x v="316"/>
    <s v="INV-00442"/>
    <x v="0"/>
    <x v="5"/>
    <x v="3"/>
    <s v="Abuja"/>
    <s v="Daniel"/>
    <s v="Retail"/>
    <n v="34.743225488146869"/>
    <n v="1582.97"/>
    <n v="54997.483650971852"/>
    <n v="1914.46"/>
    <x v="1291"/>
    <n v="24921.19"/>
    <n v="1197.1099999999999"/>
    <n v="3219.57"/>
    <n v="1363.67"/>
    <n v="1017.77"/>
    <n v="31719.31"/>
    <n v="28161.833650971854"/>
    <n v="21363.713650971851"/>
    <n v="0.40245849203016754"/>
    <s v="Paid"/>
    <x v="10"/>
    <x v="10"/>
    <x v="1"/>
  </r>
  <r>
    <x v="316"/>
    <s v="INV-00506"/>
    <x v="5"/>
    <x v="3"/>
    <x v="3"/>
    <s v="Abuja"/>
    <s v="Emeka"/>
    <s v="Supermarket"/>
    <n v="55.607157054892077"/>
    <n v="883.59"/>
    <n v="49133.927902132091"/>
    <n v="2004.78"/>
    <x v="1292"/>
    <n v="29694.9"/>
    <n v="1054.3900000000001"/>
    <n v="2585.6"/>
    <n v="1141.47"/>
    <n v="895.29"/>
    <n v="35371.65"/>
    <n v="17434.247902132091"/>
    <n v="11757.497902132091"/>
    <n v="0.24947401821368786"/>
    <s v="Paid"/>
    <x v="10"/>
    <x v="10"/>
    <x v="1"/>
  </r>
  <r>
    <x v="317"/>
    <s v="INV-00219"/>
    <x v="11"/>
    <x v="5"/>
    <x v="3"/>
    <s v="Lagos"/>
    <s v="Mary"/>
    <s v="Retail"/>
    <n v="30.288227776784151"/>
    <n v="1546.35"/>
    <n v="46836.201022630172"/>
    <n v="1664.44"/>
    <x v="1293"/>
    <n v="21377.09"/>
    <n v="963.93"/>
    <n v="2663.06"/>
    <n v="1059.68"/>
    <n v="874.86"/>
    <n v="26938.620000000003"/>
    <n v="23794.671022630169"/>
    <n v="18233.141022630167"/>
    <n v="0.40364025244656104"/>
    <s v="Pending"/>
    <x v="10"/>
    <x v="10"/>
    <x v="1"/>
  </r>
  <r>
    <x v="317"/>
    <s v="INV-00186"/>
    <x v="1"/>
    <x v="0"/>
    <x v="0"/>
    <s v="Abuja"/>
    <s v="Emeka"/>
    <s v="Distributor"/>
    <n v="20.4158365402706"/>
    <n v="1272.8"/>
    <n v="25985.276748456417"/>
    <n v="1095.75"/>
    <x v="1294"/>
    <n v="13837.32"/>
    <n v="642.03"/>
    <n v="1502.22"/>
    <n v="496.23"/>
    <n v="429.64"/>
    <n v="16907.439999999999"/>
    <n v="11052.206748456418"/>
    <n v="7982.0867484564187"/>
    <n v="0.32070062356454593"/>
    <s v="Paid"/>
    <x v="10"/>
    <x v="10"/>
    <x v="1"/>
  </r>
  <r>
    <x v="317"/>
    <s v="INV-00540"/>
    <x v="10"/>
    <x v="0"/>
    <x v="0"/>
    <s v="Lagos"/>
    <s v="Fatima"/>
    <s v="Supermarket"/>
    <n v="49.872989480454351"/>
    <n v="1295.6400000000001"/>
    <n v="64617.440090455879"/>
    <n v="1797.38"/>
    <x v="1295"/>
    <n v="34966.050000000003"/>
    <n v="1070.22"/>
    <n v="3233.74"/>
    <n v="1720.57"/>
    <n v="1205.51"/>
    <n v="42196.090000000004"/>
    <n v="27854.010090455879"/>
    <n v="20623.970090455878"/>
    <n v="0.32830229803599364"/>
    <s v="Paid"/>
    <x v="10"/>
    <x v="10"/>
    <x v="1"/>
  </r>
  <r>
    <x v="317"/>
    <s v="INV-00909"/>
    <x v="7"/>
    <x v="2"/>
    <x v="2"/>
    <s v="Ibadan"/>
    <s v="Daniel"/>
    <s v="Retail"/>
    <n v="64.667659208501718"/>
    <n v="5051.3100000000004"/>
    <n v="326656.39363649685"/>
    <n v="9540.1"/>
    <x v="1296"/>
    <n v="204957.24"/>
    <n v="6207.1"/>
    <n v="15335.38"/>
    <n v="8310.39"/>
    <n v="4843.32"/>
    <n v="239653.43"/>
    <n v="112159.05363649689"/>
    <n v="77462.863636496884"/>
    <n v="0.24427273271959588"/>
    <s v="Paid"/>
    <x v="10"/>
    <x v="10"/>
    <x v="1"/>
  </r>
  <r>
    <x v="317"/>
    <s v="INV-00660"/>
    <x v="10"/>
    <x v="11"/>
    <x v="1"/>
    <s v="Lagos"/>
    <s v="Ibrahim"/>
    <s v="Retail"/>
    <n v="41.559600672547937"/>
    <n v="6900.12"/>
    <n v="286766.23179266148"/>
    <n v="10547.83"/>
    <x v="1297"/>
    <n v="141018.26"/>
    <n v="4302.21"/>
    <n v="14074.66"/>
    <n v="5074.08"/>
    <n v="4738.72"/>
    <n v="169207.93"/>
    <n v="135200.14179266145"/>
    <n v="107010.47179266147"/>
    <n v="0.38741253695684991"/>
    <s v="Paid"/>
    <x v="10"/>
    <x v="10"/>
    <x v="1"/>
  </r>
  <r>
    <x v="318"/>
    <s v="INV-00760"/>
    <x v="2"/>
    <x v="5"/>
    <x v="3"/>
    <s v="Ibadan"/>
    <s v="Amina"/>
    <s v="Supermarket"/>
    <n v="16.68253547349693"/>
    <n v="1604.51"/>
    <n v="26767.294992580559"/>
    <n v="761.53"/>
    <x v="1298"/>
    <n v="11723.56"/>
    <n v="615.79"/>
    <n v="1341.49"/>
    <n v="694.38"/>
    <n v="529.12"/>
    <n v="14904.339999999998"/>
    <n v="14282.20499258056"/>
    <n v="11101.424992580562"/>
    <n v="0.42688323130458944"/>
    <s v="Pending"/>
    <x v="10"/>
    <x v="10"/>
    <x v="1"/>
  </r>
  <r>
    <x v="318"/>
    <s v="INV-00281"/>
    <x v="6"/>
    <x v="2"/>
    <x v="2"/>
    <s v="Lagos"/>
    <s v="Tunde"/>
    <s v="Wholesale"/>
    <n v="102.25963254980969"/>
    <n v="4853.83"/>
    <n v="496350.87225924281"/>
    <n v="16462.009999999998"/>
    <x v="1299"/>
    <n v="299385"/>
    <n v="7795.8"/>
    <n v="28329.7"/>
    <n v="10208.25"/>
    <n v="9615.17"/>
    <n v="355333.92"/>
    <n v="180503.8622592428"/>
    <n v="124554.94225924282"/>
    <n v="0.25954955835577709"/>
    <s v="Paid"/>
    <x v="10"/>
    <x v="10"/>
    <x v="1"/>
  </r>
  <r>
    <x v="318"/>
    <s v="INV-00494"/>
    <x v="10"/>
    <x v="10"/>
    <x v="5"/>
    <s v="Lagos"/>
    <s v="Emeka"/>
    <s v="Wholesale"/>
    <n v="45.363711813449576"/>
    <n v="7386.42"/>
    <n v="335075.42821310024"/>
    <n v="11221.79"/>
    <x v="1300"/>
    <n v="180286.93"/>
    <n v="5165"/>
    <n v="15921.52"/>
    <n v="5947.34"/>
    <n v="4362.6899999999996"/>
    <n v="211683.47999999998"/>
    <n v="143566.70821310027"/>
    <n v="112170.15821310028"/>
    <n v="0.34636065486869949"/>
    <s v="Paid"/>
    <x v="10"/>
    <x v="10"/>
    <x v="1"/>
  </r>
  <r>
    <x v="318"/>
    <s v="INV-00353"/>
    <x v="11"/>
    <x v="8"/>
    <x v="2"/>
    <s v="Lagos"/>
    <s v="Ibrahim"/>
    <s v="Wholesale"/>
    <n v="54.351398978113011"/>
    <n v="7248.65"/>
    <n v="393974.26820269885"/>
    <n v="16070.15"/>
    <x v="1301"/>
    <n v="189112"/>
    <n v="6430.91"/>
    <n v="22929.34"/>
    <n v="10411"/>
    <n v="7443.36"/>
    <n v="236326.61"/>
    <n v="188792.11820269882"/>
    <n v="141577.50820269884"/>
    <n v="0.37463870167924451"/>
    <s v="Pending"/>
    <x v="10"/>
    <x v="10"/>
    <x v="1"/>
  </r>
  <r>
    <x v="318"/>
    <s v="INV-01262"/>
    <x v="4"/>
    <x v="2"/>
    <x v="2"/>
    <s v="Ibadan"/>
    <s v="Tunde"/>
    <s v="Wholesale"/>
    <n v="63.281099184590772"/>
    <n v="4927.6899999999996"/>
    <n v="311829.63964091608"/>
    <n v="11443.56"/>
    <x v="1302"/>
    <n v="196381.45"/>
    <n v="5641.07"/>
    <n v="17818.29"/>
    <n v="8217.1200000000008"/>
    <n v="5781.84"/>
    <n v="233839.77000000002"/>
    <n v="104004.62964091607"/>
    <n v="66546.309640916064"/>
    <n v="0.2215359304281545"/>
    <s v="Paid"/>
    <x v="10"/>
    <x v="10"/>
    <x v="1"/>
  </r>
  <r>
    <x v="318"/>
    <s v="INV-00941"/>
    <x v="8"/>
    <x v="10"/>
    <x v="5"/>
    <s v="Port Harcourt"/>
    <s v="Samuel"/>
    <s v="Distributor"/>
    <n v="30.867226048572501"/>
    <n v="7210.37"/>
    <n v="222564.12068384571"/>
    <n v="9924.2800000000007"/>
    <x v="1303"/>
    <n v="117287.2"/>
    <n v="5308.32"/>
    <n v="10788.32"/>
    <n v="6350.05"/>
    <n v="3227.75"/>
    <n v="142961.63999999998"/>
    <n v="95352.640683845719"/>
    <n v="69678.200683845731"/>
    <n v="0.32768177618908079"/>
    <s v="Paid"/>
    <x v="10"/>
    <x v="10"/>
    <x v="1"/>
  </r>
  <r>
    <x v="319"/>
    <s v="INV-00847"/>
    <x v="1"/>
    <x v="6"/>
    <x v="0"/>
    <s v="Lagos"/>
    <s v="Tunde"/>
    <s v="Supermarket"/>
    <n v="92.793411355454211"/>
    <n v="405.59"/>
    <n v="37636.079711658669"/>
    <n v="1583.68"/>
    <x v="1304"/>
    <n v="25368.82"/>
    <n v="646.72"/>
    <n v="1894.62"/>
    <n v="1070.8399999999999"/>
    <n v="449.65"/>
    <n v="29430.65"/>
    <n v="10683.579711658669"/>
    <n v="6621.7497116586674"/>
    <n v="0.18367015135243045"/>
    <s v="Paid"/>
    <x v="10"/>
    <x v="10"/>
    <x v="1"/>
  </r>
  <r>
    <x v="319"/>
    <s v="INV-01361"/>
    <x v="1"/>
    <x v="0"/>
    <x v="0"/>
    <s v="Ibadan"/>
    <s v="Amina"/>
    <s v="Supermarket"/>
    <n v="99.239070302961508"/>
    <n v="1312.59"/>
    <n v="130260.21128896424"/>
    <n v="6343.55"/>
    <x v="1305"/>
    <n v="62241.37"/>
    <n v="2572.16"/>
    <n v="6207.22"/>
    <n v="3697.77"/>
    <n v="2708.14"/>
    <n v="77426.66"/>
    <n v="61675.291288964239"/>
    <n v="46490.001288964238"/>
    <n v="0.37517151289730999"/>
    <s v="Paid"/>
    <x v="10"/>
    <x v="10"/>
    <x v="1"/>
  </r>
  <r>
    <x v="319"/>
    <s v="INV-00986"/>
    <x v="8"/>
    <x v="9"/>
    <x v="4"/>
    <s v="Lagos"/>
    <s v="Amina"/>
    <s v="Supermarket"/>
    <n v="70.840242267015725"/>
    <n v="2053.48"/>
    <n v="145469.02069047146"/>
    <n v="5338.05"/>
    <x v="1306"/>
    <n v="91680.71"/>
    <n v="2818.38"/>
    <n v="7692.35"/>
    <n v="4421.29"/>
    <n v="2631.92"/>
    <n v="109244.65000000001"/>
    <n v="48450.260690471463"/>
    <n v="30886.320690471461"/>
    <n v="0.220410381361696"/>
    <s v="Paid"/>
    <x v="10"/>
    <x v="10"/>
    <x v="1"/>
  </r>
  <r>
    <x v="320"/>
    <s v="INV-01264"/>
    <x v="2"/>
    <x v="8"/>
    <x v="2"/>
    <s v="Ibadan"/>
    <s v="Daniel"/>
    <s v="Distributor"/>
    <n v="29.905326842904959"/>
    <n v="7068.53"/>
    <n v="211386.69994887899"/>
    <n v="8352.77"/>
    <x v="1307"/>
    <n v="100197.6"/>
    <n v="3679.59"/>
    <n v="10478.84"/>
    <n v="5757.32"/>
    <n v="3200.69"/>
    <n v="123314.04000000001"/>
    <n v="102836.32994887899"/>
    <n v="79719.88994887899"/>
    <n v="0.39264319007641385"/>
    <s v="Paid"/>
    <x v="10"/>
    <x v="10"/>
    <x v="1"/>
  </r>
  <r>
    <x v="320"/>
    <s v="INV-01299"/>
    <x v="5"/>
    <x v="5"/>
    <x v="3"/>
    <s v="Lagos"/>
    <s v="Daniel"/>
    <s v="Wholesale"/>
    <n v="25.761310423112249"/>
    <n v="1664.69"/>
    <n v="42884.595848250734"/>
    <n v="1803.48"/>
    <x v="1308"/>
    <n v="19532.8"/>
    <n v="681.94"/>
    <n v="2494.0100000000002"/>
    <n v="1115.99"/>
    <n v="538.25"/>
    <n v="24362.99"/>
    <n v="21548.315848250732"/>
    <n v="16718.125848250729"/>
    <n v="0.40695403479315673"/>
    <s v="Paid"/>
    <x v="10"/>
    <x v="10"/>
    <x v="1"/>
  </r>
  <r>
    <x v="320"/>
    <s v="INV-00750"/>
    <x v="6"/>
    <x v="1"/>
    <x v="1"/>
    <s v="Lagos"/>
    <s v="Samuel"/>
    <s v="Retail"/>
    <n v="58.605437065519133"/>
    <n v="4963.21"/>
    <n v="290871.09129795519"/>
    <n v="10309.469999999999"/>
    <x v="1309"/>
    <n v="187811.68"/>
    <n v="5573.51"/>
    <n v="16079.99"/>
    <n v="6509.96"/>
    <n v="5785.66"/>
    <n v="221760.8"/>
    <n v="92749.941297955229"/>
    <n v="58800.821297955234"/>
    <n v="0.20958255454158864"/>
    <s v="Pending"/>
    <x v="10"/>
    <x v="10"/>
    <x v="1"/>
  </r>
  <r>
    <x v="320"/>
    <s v="INV-01350"/>
    <x v="8"/>
    <x v="11"/>
    <x v="1"/>
    <s v="Abuja"/>
    <s v="Daniel"/>
    <s v="Retail"/>
    <n v="50.003774252605027"/>
    <n v="6968.75"/>
    <n v="348463.80182284128"/>
    <n v="11949.1"/>
    <x v="1310"/>
    <n v="177379.46"/>
    <n v="9261.06"/>
    <n v="19770.830000000002"/>
    <n v="9147.24"/>
    <n v="4210.7299999999996"/>
    <n v="219769.31999999998"/>
    <n v="159135.24182284132"/>
    <n v="116745.38182284133"/>
    <n v="0.34692505614302138"/>
    <s v="Paid"/>
    <x v="10"/>
    <x v="10"/>
    <x v="1"/>
  </r>
  <r>
    <x v="321"/>
    <s v="INV-00780"/>
    <x v="6"/>
    <x v="6"/>
    <x v="0"/>
    <s v="Lagos"/>
    <s v="Emeka"/>
    <s v="Supermarket"/>
    <n v="82.50104162696195"/>
    <n v="389.66"/>
    <n v="32147.355880361996"/>
    <n v="1538.55"/>
    <x v="1311"/>
    <n v="22543.85"/>
    <n v="537.23"/>
    <n v="1761.68"/>
    <n v="699.84"/>
    <n v="435.64"/>
    <n v="25978.239999999998"/>
    <n v="8064.9558803619984"/>
    <n v="4630.565880361999"/>
    <n v="0.15128214731607281"/>
    <s v="Paid"/>
    <x v="10"/>
    <x v="10"/>
    <x v="1"/>
  </r>
  <r>
    <x v="321"/>
    <s v="INV-01226"/>
    <x v="8"/>
    <x v="11"/>
    <x v="1"/>
    <s v="Lagos"/>
    <s v="Fatima"/>
    <s v="Retail"/>
    <n v="27.467035528076"/>
    <n v="6916.39"/>
    <n v="189972.72985602956"/>
    <n v="8508.77"/>
    <x v="1312"/>
    <n v="95938.39"/>
    <n v="3200.55"/>
    <n v="9667.2000000000007"/>
    <n v="5255.58"/>
    <n v="2335.15"/>
    <n v="116396.87"/>
    <n v="85525.569856029571"/>
    <n v="65067.089856029575"/>
    <n v="0.35856756298965758"/>
    <s v="Paid"/>
    <x v="10"/>
    <x v="10"/>
    <x v="1"/>
  </r>
  <r>
    <x v="322"/>
    <s v="INV-01285"/>
    <x v="0"/>
    <x v="2"/>
    <x v="2"/>
    <s v="Lagos"/>
    <s v="Amina"/>
    <s v="Wholesale"/>
    <n v="92.702901567535093"/>
    <n v="4744.08"/>
    <n v="439789.98126851185"/>
    <n v="18481.46"/>
    <x v="1313"/>
    <n v="279215.52"/>
    <n v="7147.74"/>
    <n v="22604.57"/>
    <n v="11169.09"/>
    <n v="9231.9699999999993"/>
    <n v="329368.89"/>
    <n v="142093.00126851181"/>
    <n v="91939.631268511817"/>
    <n v="0.21822400124187399"/>
    <s v="Paid"/>
    <x v="10"/>
    <x v="10"/>
    <x v="1"/>
  </r>
  <r>
    <x v="322"/>
    <s v="INV-01060"/>
    <x v="5"/>
    <x v="10"/>
    <x v="5"/>
    <s v="Lagos"/>
    <s v="Mary"/>
    <s v="Retail"/>
    <n v="67.329937117499284"/>
    <n v="7667.07"/>
    <n v="516223.34097546519"/>
    <n v="12311.78"/>
    <x v="1314"/>
    <n v="267306.3"/>
    <n v="9126.01"/>
    <n v="27213.02"/>
    <n v="12681.59"/>
    <n v="8045.44"/>
    <n v="324372.36000000004"/>
    <n v="236605.26097546518"/>
    <n v="179539.20097546512"/>
    <n v="0.3562910932781847"/>
    <s v="Pending"/>
    <x v="10"/>
    <x v="10"/>
    <x v="1"/>
  </r>
  <r>
    <x v="322"/>
    <s v="INV-00329"/>
    <x v="4"/>
    <x v="5"/>
    <x v="3"/>
    <s v="Abuja"/>
    <s v="Emeka"/>
    <s v="Wholesale"/>
    <n v="77.351149540116026"/>
    <n v="1601.46"/>
    <n v="123874.77194251421"/>
    <n v="4876.43"/>
    <x v="1315"/>
    <n v="55137.19"/>
    <n v="3105.09"/>
    <n v="5777.38"/>
    <n v="3171.76"/>
    <n v="1493.95"/>
    <n v="68685.37"/>
    <n v="63861.151942514203"/>
    <n v="50312.97194251421"/>
    <n v="0.42280397458663277"/>
    <s v="Paid"/>
    <x v="10"/>
    <x v="10"/>
    <x v="1"/>
  </r>
  <r>
    <x v="322"/>
    <s v="INV-01375"/>
    <x v="5"/>
    <x v="3"/>
    <x v="3"/>
    <s v="Lagos"/>
    <s v="Mary"/>
    <s v="Wholesale"/>
    <n v="35.708946778002662"/>
    <n v="883.81"/>
    <n v="31559.924251866531"/>
    <n v="1076.05"/>
    <x v="1316"/>
    <n v="18597.18"/>
    <n v="518.74"/>
    <n v="1513.15"/>
    <n v="920.9"/>
    <n v="612.07000000000005"/>
    <n v="22162.040000000005"/>
    <n v="11886.694251866531"/>
    <n v="8321.8342518665268"/>
    <n v="0.27299135874623875"/>
    <s v="Paid"/>
    <x v="10"/>
    <x v="10"/>
    <x v="1"/>
  </r>
  <r>
    <x v="322"/>
    <s v="INV-00789"/>
    <x v="5"/>
    <x v="8"/>
    <x v="2"/>
    <s v="Ibadan"/>
    <s v="Daniel"/>
    <s v="Retail"/>
    <n v="50.304444221712778"/>
    <n v="6998.97"/>
    <n v="352079.29597444111"/>
    <n v="7436.8"/>
    <x v="1317"/>
    <n v="173679.52"/>
    <n v="7212.26"/>
    <n v="17593.07"/>
    <n v="9155.1299999999992"/>
    <n v="5084.6899999999996"/>
    <n v="212724.67"/>
    <n v="170962.97597444113"/>
    <n v="131917.8259744411"/>
    <n v="0.38276715006214501"/>
    <s v="Paid"/>
    <x v="10"/>
    <x v="10"/>
    <x v="1"/>
  </r>
  <r>
    <x v="323"/>
    <s v="INV-00307"/>
    <x v="11"/>
    <x v="2"/>
    <x v="2"/>
    <s v="Abuja"/>
    <s v="Daniel"/>
    <s v="Wholesale"/>
    <n v="58.394053126024147"/>
    <n v="4827.03"/>
    <n v="281869.84626091231"/>
    <n v="12276.56"/>
    <x v="1318"/>
    <n v="167438.9"/>
    <n v="6878.46"/>
    <n v="14756.55"/>
    <n v="7459.82"/>
    <n v="3717.41"/>
    <n v="200251.13999999998"/>
    <n v="102154.38626091232"/>
    <n v="69342.146260912326"/>
    <n v="0.25721021180699216"/>
    <s v="Paid"/>
    <x v="10"/>
    <x v="10"/>
    <x v="1"/>
  </r>
  <r>
    <x v="324"/>
    <s v="INV-01308"/>
    <x v="1"/>
    <x v="1"/>
    <x v="1"/>
    <s v="Lagos"/>
    <s v="Ibrahim"/>
    <s v="Wholesale"/>
    <n v="66.697361813806111"/>
    <n v="4895.42"/>
    <n v="326511.59897054272"/>
    <n v="10264.58"/>
    <x v="1319"/>
    <n v="211352.45"/>
    <n v="5599.42"/>
    <n v="16328.98"/>
    <n v="5893.5"/>
    <n v="6654.91"/>
    <n v="245829.26000000004"/>
    <n v="104894.56897054269"/>
    <n v="70417.758970542665"/>
    <n v="0.22266694939850748"/>
    <s v="Paid"/>
    <x v="10"/>
    <x v="10"/>
    <x v="1"/>
  </r>
  <r>
    <x v="324"/>
    <s v="INV-00905"/>
    <x v="6"/>
    <x v="2"/>
    <x v="2"/>
    <s v="Abuja"/>
    <s v="Samuel"/>
    <s v="Wholesale"/>
    <n v="39.118360294190978"/>
    <n v="4936.5200000000004"/>
    <n v="193108.56795947967"/>
    <n v="6154.29"/>
    <x v="1320"/>
    <n v="124215.86"/>
    <n v="4798.25"/>
    <n v="11193.23"/>
    <n v="4181.3500000000004"/>
    <n v="3689.08"/>
    <n v="148077.76999999999"/>
    <n v="62738.417959479659"/>
    <n v="38876.50795947967"/>
    <n v="0.20794660803592704"/>
    <s v="Pending"/>
    <x v="10"/>
    <x v="10"/>
    <x v="1"/>
  </r>
  <r>
    <x v="324"/>
    <s v="INV-01192"/>
    <x v="10"/>
    <x v="5"/>
    <x v="3"/>
    <s v="Lagos"/>
    <s v="Tunde"/>
    <s v="Wholesale"/>
    <n v="48.072079995218068"/>
    <n v="1588.45"/>
    <n v="76360.09546840415"/>
    <n v="4097.1000000000004"/>
    <x v="1321"/>
    <n v="35073.35"/>
    <n v="1166.6400000000001"/>
    <n v="4012.67"/>
    <n v="1310.96"/>
    <n v="1155.3499999999999"/>
    <n v="42718.969999999994"/>
    <n v="37189.645468404146"/>
    <n v="29544.02546840415"/>
    <n v="0.40884030999409388"/>
    <s v="Paid"/>
    <x v="10"/>
    <x v="10"/>
    <x v="1"/>
  </r>
  <r>
    <x v="325"/>
    <s v="INV-00166"/>
    <x v="0"/>
    <x v="6"/>
    <x v="0"/>
    <s v="Lagos"/>
    <s v="Samuel"/>
    <s v="Wholesale"/>
    <n v="107.37431325194569"/>
    <n v="421.12"/>
    <n v="45217.470796659371"/>
    <n v="1523.28"/>
    <x v="1322"/>
    <n v="32991.01"/>
    <n v="891.5"/>
    <n v="2108.5500000000002"/>
    <n v="796.98"/>
    <n v="931.7"/>
    <n v="37719.740000000005"/>
    <n v="10703.18079665937"/>
    <n v="5974.4507966593665"/>
    <n v="0.1367332976702281"/>
    <s v="Pending"/>
    <x v="10"/>
    <x v="10"/>
    <x v="1"/>
  </r>
  <r>
    <x v="325"/>
    <s v="INV-01009"/>
    <x v="10"/>
    <x v="2"/>
    <x v="2"/>
    <s v="Lagos"/>
    <s v="Ibrahim"/>
    <s v="Wholesale"/>
    <n v="71.902195525755545"/>
    <n v="4972.8"/>
    <n v="357555.23791047721"/>
    <n v="14311.91"/>
    <x v="1323"/>
    <n v="231795.93"/>
    <n v="6829.24"/>
    <n v="19798.13"/>
    <n v="8738.16"/>
    <n v="7455.15"/>
    <n v="274616.61"/>
    <n v="111447.39791047724"/>
    <n v="68626.717910477251"/>
    <n v="0.19993605798034939"/>
    <s v="Paid"/>
    <x v="10"/>
    <x v="10"/>
    <x v="1"/>
  </r>
  <r>
    <x v="325"/>
    <s v="INV-00315"/>
    <x v="2"/>
    <x v="1"/>
    <x v="1"/>
    <s v="Lagos"/>
    <s v="Emeka"/>
    <s v="Retail"/>
    <n v="44.391879886134987"/>
    <n v="4956.53"/>
    <n v="220029.68441202462"/>
    <n v="8224.76"/>
    <x v="1324"/>
    <n v="145085.21"/>
    <n v="3658.29"/>
    <n v="12433.37"/>
    <n v="5702.17"/>
    <n v="3336.15"/>
    <n v="170215.19"/>
    <n v="66719.714412024623"/>
    <n v="41589.734412024613"/>
    <n v="0.19635867545326757"/>
    <s v="Paid"/>
    <x v="10"/>
    <x v="10"/>
    <x v="1"/>
  </r>
  <r>
    <x v="325"/>
    <s v="INV-00927"/>
    <x v="4"/>
    <x v="11"/>
    <x v="1"/>
    <s v="Lagos"/>
    <s v="Ibrahim"/>
    <s v="Wholesale"/>
    <n v="41.901984021734009"/>
    <n v="7463.5"/>
    <n v="312735.45774621179"/>
    <n v="11168.85"/>
    <x v="1325"/>
    <n v="162852.15"/>
    <n v="4829.17"/>
    <n v="14779.64"/>
    <n v="8914.94"/>
    <n v="4662.26"/>
    <n v="196038.16000000003"/>
    <n v="138714.45774621182"/>
    <n v="105528.44774621178"/>
    <n v="0.34993412743834335"/>
    <s v="Paid"/>
    <x v="10"/>
    <x v="10"/>
    <x v="1"/>
  </r>
  <r>
    <x v="325"/>
    <s v="INV-00158"/>
    <x v="0"/>
    <x v="7"/>
    <x v="5"/>
    <s v="Lagos"/>
    <s v="Mary"/>
    <s v="Wholesale"/>
    <n v="53.103029970425247"/>
    <n v="6037.19"/>
    <n v="320593.0815071516"/>
    <n v="15157.84"/>
    <x v="1326"/>
    <n v="208253.69"/>
    <n v="5003.25"/>
    <n v="18292.04"/>
    <n v="8410.4"/>
    <n v="3677.88"/>
    <n v="243637.26"/>
    <n v="97181.551507151569"/>
    <n v="61797.981507151562"/>
    <n v="0.20232760699850216"/>
    <s v="Paid"/>
    <x v="10"/>
    <x v="10"/>
    <x v="1"/>
  </r>
  <r>
    <x v="326"/>
    <s v="INV-01234"/>
    <x v="0"/>
    <x v="5"/>
    <x v="3"/>
    <s v="Lagos"/>
    <s v="Daniel"/>
    <s v="Wholesale"/>
    <n v="49.151304797227638"/>
    <n v="1660.43"/>
    <n v="81612.301024460685"/>
    <n v="3789.44"/>
    <x v="1327"/>
    <n v="36626.400000000001"/>
    <n v="1472.27"/>
    <n v="3743.91"/>
    <n v="2220.6999999999998"/>
    <n v="1033.1400000000001"/>
    <n v="45096.42"/>
    <n v="41196.461024460681"/>
    <n v="32726.441024460684"/>
    <n v="0.42052477374449598"/>
    <s v="Paid"/>
    <x v="11"/>
    <x v="11"/>
    <x v="1"/>
  </r>
  <r>
    <x v="326"/>
    <s v="INV-00669"/>
    <x v="8"/>
    <x v="10"/>
    <x v="5"/>
    <s v="Port Harcourt"/>
    <s v="Daniel"/>
    <s v="Wholesale"/>
    <n v="42.133128330137012"/>
    <n v="7392.99"/>
    <n v="311489.79641341959"/>
    <n v="13301.54"/>
    <x v="1328"/>
    <n v="162508.85999999999"/>
    <n v="9273.86"/>
    <n v="16749.439999999999"/>
    <n v="8565.9699999999993"/>
    <n v="4462.95"/>
    <n v="201561.08"/>
    <n v="135679.39641341963"/>
    <n v="96627.176413419627"/>
    <n v="0.3240475583299029"/>
    <s v="Paid"/>
    <x v="11"/>
    <x v="11"/>
    <x v="1"/>
  </r>
  <r>
    <x v="326"/>
    <s v="INV-00443"/>
    <x v="8"/>
    <x v="9"/>
    <x v="4"/>
    <s v="Lagos"/>
    <s v="Emeka"/>
    <s v="Supermarket"/>
    <n v="53.495951342232949"/>
    <n v="2148.48"/>
    <n v="114934.98153976064"/>
    <n v="5529.97"/>
    <x v="1329"/>
    <n v="71627.12"/>
    <n v="1597.44"/>
    <n v="6338.66"/>
    <n v="3041.72"/>
    <n v="2293.29"/>
    <n v="84898.23"/>
    <n v="37777.891539760647"/>
    <n v="24506.781539760646"/>
    <n v="0.22400053886794977"/>
    <s v="Paid"/>
    <x v="11"/>
    <x v="11"/>
    <x v="1"/>
  </r>
  <r>
    <x v="327"/>
    <s v="INV-01399"/>
    <x v="11"/>
    <x v="2"/>
    <x v="2"/>
    <s v="Lagos"/>
    <s v="Emeka"/>
    <s v="Wholesale"/>
    <n v="38.126484955295417"/>
    <n v="4891.1499999999996"/>
    <n v="186482.35688909318"/>
    <n v="7231.45"/>
    <x v="1330"/>
    <n v="113788.07"/>
    <n v="3062.55"/>
    <n v="9100.76"/>
    <n v="4624.8500000000004"/>
    <n v="3328.86"/>
    <n v="133905.09"/>
    <n v="65462.83688909316"/>
    <n v="45345.81688909317"/>
    <n v="0.25297398867359544"/>
    <s v="Paid"/>
    <x v="11"/>
    <x v="11"/>
    <x v="1"/>
  </r>
  <r>
    <x v="327"/>
    <s v="INV-00628"/>
    <x v="11"/>
    <x v="11"/>
    <x v="1"/>
    <s v="Abuja"/>
    <s v="Amina"/>
    <s v="Wholesale"/>
    <n v="36.038970013820929"/>
    <n v="7028.29"/>
    <n v="253292.33255843748"/>
    <n v="10708.93"/>
    <x v="1331"/>
    <n v="128701.55"/>
    <n v="5125.54"/>
    <n v="14333.9"/>
    <n v="5305.71"/>
    <n v="5176.7299999999996"/>
    <n v="158643.43"/>
    <n v="113881.85255843749"/>
    <n v="83939.972558437497"/>
    <n v="0.34602520895145189"/>
    <s v="Pending"/>
    <x v="11"/>
    <x v="11"/>
    <x v="1"/>
  </r>
  <r>
    <x v="327"/>
    <s v="INV-01150"/>
    <x v="8"/>
    <x v="1"/>
    <x v="1"/>
    <s v="Ibadan"/>
    <s v="Tunde"/>
    <s v="Retail"/>
    <n v="48.568103486301688"/>
    <n v="4932.47"/>
    <n v="239560.71340307849"/>
    <n v="5728.46"/>
    <x v="1332"/>
    <n v="145130.41"/>
    <n v="4340.34"/>
    <n v="14206.66"/>
    <n v="6634.46"/>
    <n v="2899.79"/>
    <n v="173211.66"/>
    <n v="88701.843403078499"/>
    <n v="60620.593403078499"/>
    <n v="0.2592482111463944"/>
    <s v="Paid"/>
    <x v="11"/>
    <x v="11"/>
    <x v="1"/>
  </r>
  <r>
    <x v="327"/>
    <s v="INV-00806"/>
    <x v="8"/>
    <x v="11"/>
    <x v="1"/>
    <s v="Lagos"/>
    <s v="Emeka"/>
    <s v="Wholesale"/>
    <n v="32.459142830426309"/>
    <n v="7072.72"/>
    <n v="229574.42867961279"/>
    <n v="7129.98"/>
    <x v="1333"/>
    <n v="115242.42"/>
    <n v="3452.81"/>
    <n v="13239.53"/>
    <n v="6096.09"/>
    <n v="3016.11"/>
    <n v="141046.96"/>
    <n v="107202.02867961278"/>
    <n v="81397.488679612783"/>
    <n v="0.3659227693150921"/>
    <s v="Paid"/>
    <x v="11"/>
    <x v="11"/>
    <x v="1"/>
  </r>
  <r>
    <x v="328"/>
    <s v="INV-00362"/>
    <x v="9"/>
    <x v="6"/>
    <x v="0"/>
    <s v="Ibadan"/>
    <s v="Emeka"/>
    <s v="Wholesale"/>
    <n v="91.94250014064778"/>
    <n v="418.6"/>
    <n v="38487.130558875164"/>
    <n v="1913.5"/>
    <x v="1334"/>
    <n v="26720.01"/>
    <n v="628.09"/>
    <n v="2159.9899999999998"/>
    <n v="890.97"/>
    <n v="636.1"/>
    <n v="31035.159999999996"/>
    <n v="9853.6205588751654"/>
    <n v="5538.4705588751676"/>
    <n v="0.15143343644704615"/>
    <s v="Paid"/>
    <x v="11"/>
    <x v="11"/>
    <x v="1"/>
  </r>
  <r>
    <x v="328"/>
    <s v="INV-00479"/>
    <x v="1"/>
    <x v="0"/>
    <x v="0"/>
    <s v="Lagos"/>
    <s v="Ibrahim"/>
    <s v="Supermarket"/>
    <n v="94.052303739965026"/>
    <n v="1286.0999999999999"/>
    <n v="120960.66783996901"/>
    <n v="4002.03"/>
    <x v="1335"/>
    <n v="64775.05"/>
    <n v="2002.75"/>
    <n v="6118.44"/>
    <n v="2248.0500000000002"/>
    <n v="2541.7399999999998"/>
    <n v="77686.030000000013"/>
    <n v="52183.587839969012"/>
    <n v="39272.607839969001"/>
    <n v="0.33578202145022013"/>
    <s v="Pending"/>
    <x v="11"/>
    <x v="11"/>
    <x v="1"/>
  </r>
  <r>
    <x v="328"/>
    <s v="INV-01388"/>
    <x v="4"/>
    <x v="8"/>
    <x v="2"/>
    <s v="Lagos"/>
    <s v="Ibrahim"/>
    <s v="Supermarket"/>
    <n v="53.185334866771797"/>
    <n v="7542.71"/>
    <n v="401161.55715294828"/>
    <n v="14943.13"/>
    <x v="1336"/>
    <n v="200047.83"/>
    <n v="6766.49"/>
    <n v="22204.63"/>
    <n v="7071.88"/>
    <n v="5369.12"/>
    <n v="241459.94999999998"/>
    <n v="186170.59715294829"/>
    <n v="144758.4771529483"/>
    <n v="0.37480986658262622"/>
    <s v="Paid"/>
    <x v="11"/>
    <x v="11"/>
    <x v="1"/>
  </r>
  <r>
    <x v="328"/>
    <s v="INV-01111"/>
    <x v="10"/>
    <x v="8"/>
    <x v="2"/>
    <s v="Abuja"/>
    <s v="Fatima"/>
    <s v="Wholesale"/>
    <n v="61.820155502512037"/>
    <n v="7472.69"/>
    <n v="461962.85782206664"/>
    <n v="23268.59"/>
    <x v="1337"/>
    <n v="238564.12"/>
    <n v="11388.58"/>
    <n v="23025.83"/>
    <n v="13253.04"/>
    <n v="5316.12"/>
    <n v="291547.68999999994"/>
    <n v="200130.14782206662"/>
    <n v="147146.57782206667"/>
    <n v="0.33541942216976717"/>
    <s v="Paid"/>
    <x v="11"/>
    <x v="11"/>
    <x v="1"/>
  </r>
  <r>
    <x v="328"/>
    <s v="INV-00228"/>
    <x v="0"/>
    <x v="3"/>
    <x v="3"/>
    <s v="Abuja"/>
    <s v="Mary"/>
    <s v="Wholesale"/>
    <n v="76.481172394239607"/>
    <n v="927.8"/>
    <n v="70959.23174737551"/>
    <n v="2298.02"/>
    <x v="1338"/>
    <n v="42714.28"/>
    <n v="1639.74"/>
    <n v="3855.73"/>
    <n v="1357.99"/>
    <n v="1060.8900000000001"/>
    <n v="50628.63"/>
    <n v="25946.931747375507"/>
    <n v="18032.581747375509"/>
    <n v="0.26263127737568343"/>
    <s v="Paid"/>
    <x v="11"/>
    <x v="11"/>
    <x v="1"/>
  </r>
  <r>
    <x v="329"/>
    <s v="INV-00563"/>
    <x v="1"/>
    <x v="8"/>
    <x v="2"/>
    <s v="Lagos"/>
    <s v="Ibrahim"/>
    <s v="Wholesale"/>
    <n v="64.866902129110457"/>
    <n v="7411.75"/>
    <n v="480777.26185543445"/>
    <n v="20456.57"/>
    <x v="1339"/>
    <n v="240889.2"/>
    <n v="8311.94"/>
    <n v="27317.94"/>
    <n v="10557.24"/>
    <n v="5751.16"/>
    <n v="292827.48"/>
    <n v="219431.49185543443"/>
    <n v="167493.21185543446"/>
    <n v="0.36386200928816032"/>
    <s v="Paid"/>
    <x v="11"/>
    <x v="11"/>
    <x v="1"/>
  </r>
  <r>
    <x v="329"/>
    <s v="INV-00238"/>
    <x v="6"/>
    <x v="5"/>
    <x v="3"/>
    <s v="Lagos"/>
    <s v="Ibrahim"/>
    <s v="Wholesale"/>
    <n v="57.965546466767748"/>
    <n v="1650.97"/>
    <n v="95699.378250239548"/>
    <n v="4305.84"/>
    <x v="1340"/>
    <n v="43977.53"/>
    <n v="1742.87"/>
    <n v="5491.12"/>
    <n v="2398.06"/>
    <n v="1522.59"/>
    <n v="55132.17"/>
    <n v="47416.008250239553"/>
    <n v="36261.368250239553"/>
    <n v="0.3967607441890949"/>
    <s v="Paid"/>
    <x v="11"/>
    <x v="11"/>
    <x v="1"/>
  </r>
  <r>
    <x v="329"/>
    <s v="INV-00239"/>
    <x v="4"/>
    <x v="11"/>
    <x v="1"/>
    <s v="Lagos"/>
    <s v="Tunde"/>
    <s v="Distributor"/>
    <n v="64.803938177642095"/>
    <n v="7119.36"/>
    <n v="461362.56530437799"/>
    <n v="18113.25"/>
    <x v="1341"/>
    <n v="220491.5"/>
    <n v="7544.8"/>
    <n v="24518.59"/>
    <n v="10752.16"/>
    <n v="9247.7099999999991"/>
    <n v="272554.76"/>
    <n v="222757.81530437799"/>
    <n v="170694.55530437798"/>
    <n v="0.38509829436998122"/>
    <s v="Pending"/>
    <x v="11"/>
    <x v="11"/>
    <x v="1"/>
  </r>
  <r>
    <x v="329"/>
    <s v="INV-00483"/>
    <x v="8"/>
    <x v="7"/>
    <x v="5"/>
    <s v="Lagos"/>
    <s v="Daniel"/>
    <s v="Distributor"/>
    <n v="97.064344858567637"/>
    <n v="6257.14"/>
    <n v="607345.19478833792"/>
    <n v="26086.77"/>
    <x v="1342"/>
    <n v="406999.14"/>
    <n v="10252.540000000001"/>
    <n v="28152.68"/>
    <n v="15957.01"/>
    <n v="8382.1"/>
    <n v="469743.47"/>
    <n v="174259.28478833789"/>
    <n v="111514.95478833793"/>
    <n v="0.19185090492055318"/>
    <s v="Paid"/>
    <x v="11"/>
    <x v="11"/>
    <x v="1"/>
  </r>
  <r>
    <x v="329"/>
    <s v="INV-00535"/>
    <x v="5"/>
    <x v="8"/>
    <x v="2"/>
    <s v="Lagos"/>
    <s v="Fatima"/>
    <s v="Wholesale"/>
    <n v="63.665902986207122"/>
    <n v="7155.45"/>
    <n v="455558.18552265572"/>
    <n v="20151.88"/>
    <x v="1343"/>
    <n v="219941.52"/>
    <n v="8833.24"/>
    <n v="26288.07"/>
    <n v="13491.11"/>
    <n v="7735.71"/>
    <n v="276289.65000000002"/>
    <n v="215464.78552265573"/>
    <n v="159116.6555226557"/>
    <n v="0.36544407718591548"/>
    <s v="Paid"/>
    <x v="11"/>
    <x v="11"/>
    <x v="1"/>
  </r>
  <r>
    <x v="330"/>
    <s v="INV-01080"/>
    <x v="5"/>
    <x v="4"/>
    <x v="4"/>
    <s v="Ibadan"/>
    <s v="Ibrahim"/>
    <s v="Retail"/>
    <n v="35.654263674113487"/>
    <n v="3648.65"/>
    <n v="130089.92915455418"/>
    <n v="5680.92"/>
    <x v="1344"/>
    <n v="63112.55"/>
    <n v="2143.16"/>
    <n v="6048.25"/>
    <n v="3025.55"/>
    <n v="2690.69"/>
    <n v="77020.200000000012"/>
    <n v="61296.459154554177"/>
    <n v="47388.809154554168"/>
    <n v="0.38091139441262423"/>
    <s v="Pending"/>
    <x v="11"/>
    <x v="11"/>
    <x v="1"/>
  </r>
  <r>
    <x v="330"/>
    <s v="INV-01407"/>
    <x v="1"/>
    <x v="0"/>
    <x v="0"/>
    <s v="Lagos"/>
    <s v="Amina"/>
    <s v="Supermarket"/>
    <n v="107.8381481344269"/>
    <n v="1267.8900000000001"/>
    <n v="136726.90963815854"/>
    <n v="4696.6000000000004"/>
    <x v="1345"/>
    <n v="68787.850000000006"/>
    <n v="2446.2600000000002"/>
    <n v="6827.69"/>
    <n v="2511.08"/>
    <n v="2296.08"/>
    <n v="82868.960000000006"/>
    <n v="63242.459638158529"/>
    <n v="49161.349638158528"/>
    <n v="0.37234896875490048"/>
    <s v="Paid"/>
    <x v="11"/>
    <x v="11"/>
    <x v="1"/>
  </r>
  <r>
    <x v="330"/>
    <s v="INV-00737"/>
    <x v="0"/>
    <x v="3"/>
    <x v="3"/>
    <s v="Abuja"/>
    <s v="Daniel"/>
    <s v="Distributor"/>
    <n v="61.806835039334388"/>
    <n v="899.23"/>
    <n v="55578.560272420662"/>
    <n v="2220.63"/>
    <x v="1346"/>
    <n v="33405.730000000003"/>
    <n v="1479.67"/>
    <n v="3087.06"/>
    <n v="1414.26"/>
    <n v="895.49"/>
    <n v="40282.21"/>
    <n v="19952.200272420661"/>
    <n v="13075.720272420665"/>
    <n v="0.24505673675238426"/>
    <s v="Paid"/>
    <x v="11"/>
    <x v="11"/>
    <x v="1"/>
  </r>
  <r>
    <x v="330"/>
    <s v="INV-00145"/>
    <x v="11"/>
    <x v="3"/>
    <x v="3"/>
    <s v="Lagos"/>
    <s v="Emeka"/>
    <s v="Wholesale"/>
    <n v="83.131626267039579"/>
    <n v="953.11"/>
    <n v="79233.584311378101"/>
    <n v="3896.89"/>
    <x v="1347"/>
    <n v="45500.76"/>
    <n v="1531.28"/>
    <n v="3714.18"/>
    <n v="1557.06"/>
    <n v="1476.06"/>
    <n v="53779.34"/>
    <n v="29835.9343113781"/>
    <n v="21557.354311378105"/>
    <n v="0.28614680413608617"/>
    <s v="Pending"/>
    <x v="11"/>
    <x v="11"/>
    <x v="1"/>
  </r>
  <r>
    <x v="331"/>
    <s v="INV-01045"/>
    <x v="3"/>
    <x v="8"/>
    <x v="2"/>
    <s v="Lagos"/>
    <s v="Daniel"/>
    <s v="Wholesale"/>
    <n v="31.633334984855999"/>
    <n v="7371.12"/>
    <n v="233173.10817357176"/>
    <n v="8973.7900000000009"/>
    <x v="1348"/>
    <n v="112563.12"/>
    <n v="4571.42"/>
    <n v="12033.31"/>
    <n v="5759.4"/>
    <n v="3985.5"/>
    <n v="138912.75"/>
    <n v="111636.19817357176"/>
    <n v="85286.568173571752"/>
    <n v="0.38040511839355445"/>
    <s v="Paid"/>
    <x v="11"/>
    <x v="11"/>
    <x v="1"/>
  </r>
  <r>
    <x v="331"/>
    <s v="INV-01011"/>
    <x v="10"/>
    <x v="3"/>
    <x v="3"/>
    <s v="Abuja"/>
    <s v="Amina"/>
    <s v="Wholesale"/>
    <n v="82.795983833692105"/>
    <n v="900.18"/>
    <n v="74531.288727412961"/>
    <n v="3664.09"/>
    <x v="1349"/>
    <n v="40178.050000000003"/>
    <n v="1748.54"/>
    <n v="4069.97"/>
    <n v="1282.08"/>
    <n v="1535.24"/>
    <n v="48813.880000000005"/>
    <n v="30689.148727412961"/>
    <n v="22053.31872741296"/>
    <n v="0.31119218938284715"/>
    <s v="Paid"/>
    <x v="11"/>
    <x v="11"/>
    <x v="1"/>
  </r>
  <r>
    <x v="331"/>
    <s v="INV-00838"/>
    <x v="1"/>
    <x v="11"/>
    <x v="1"/>
    <s v="Lagos"/>
    <s v="Tunde"/>
    <s v="Wholesale"/>
    <n v="61.712941921433803"/>
    <n v="6949.12"/>
    <n v="428850.63896507409"/>
    <n v="17598.439999999999"/>
    <x v="1350"/>
    <n v="216828.67"/>
    <n v="8337.77"/>
    <n v="24772.93"/>
    <n v="11258.44"/>
    <n v="5535.2"/>
    <n v="266733.01"/>
    <n v="194423.52896507407"/>
    <n v="144519.18896507408"/>
    <n v="0.35141256223981304"/>
    <s v="Paid"/>
    <x v="11"/>
    <x v="11"/>
    <x v="1"/>
  </r>
  <r>
    <x v="331"/>
    <s v="INV-01302"/>
    <x v="5"/>
    <x v="6"/>
    <x v="0"/>
    <s v="Ibadan"/>
    <s v="Tunde"/>
    <s v="Wholesale"/>
    <n v="37.350246066800743"/>
    <n v="407.83"/>
    <n v="15232.550853423347"/>
    <n v="588.76"/>
    <x v="1351"/>
    <n v="10799.94"/>
    <n v="293.68"/>
    <n v="833.6"/>
    <n v="380.16"/>
    <n v="301.87"/>
    <n v="12609.250000000002"/>
    <n v="3843.8508534233461"/>
    <n v="2034.5408534233447"/>
    <n v="0.1389353941058043"/>
    <s v="Paid"/>
    <x v="11"/>
    <x v="11"/>
    <x v="1"/>
  </r>
  <r>
    <x v="331"/>
    <s v="INV-01165"/>
    <x v="2"/>
    <x v="3"/>
    <x v="3"/>
    <s v="Lagos"/>
    <s v="Amina"/>
    <s v="Wholesale"/>
    <n v="60.773308560692172"/>
    <n v="932.41"/>
    <n v="56665.640635074989"/>
    <n v="2741.58"/>
    <x v="1352"/>
    <n v="34615.949999999997"/>
    <n v="1030.8900000000001"/>
    <n v="3001.07"/>
    <n v="1264.98"/>
    <n v="969.91"/>
    <n v="40882.800000000003"/>
    <n v="19308.110635074991"/>
    <n v="13041.260635074985"/>
    <n v="0.24184492935964613"/>
    <s v="Paid"/>
    <x v="11"/>
    <x v="11"/>
    <x v="1"/>
  </r>
  <r>
    <x v="331"/>
    <s v="INV-00908"/>
    <x v="6"/>
    <x v="0"/>
    <x v="0"/>
    <s v="Lagos"/>
    <s v="Amina"/>
    <s v="Retail"/>
    <n v="56.714545901400122"/>
    <n v="1269.8"/>
    <n v="72016.130385597877"/>
    <n v="2790.54"/>
    <x v="1353"/>
    <n v="37105.94"/>
    <n v="1512.64"/>
    <n v="4176.6400000000003"/>
    <n v="1871.16"/>
    <n v="1446.33"/>
    <n v="46112.710000000006"/>
    <n v="32119.650385597881"/>
    <n v="23112.880385597877"/>
    <n v="0.33387769258240119"/>
    <s v="Paid"/>
    <x v="11"/>
    <x v="11"/>
    <x v="1"/>
  </r>
  <r>
    <x v="332"/>
    <s v="INV-00740"/>
    <x v="6"/>
    <x v="4"/>
    <x v="4"/>
    <s v="Abuja"/>
    <s v="Daniel"/>
    <s v="Wholesale"/>
    <n v="74.587841761116351"/>
    <n v="3549.58"/>
    <n v="264755.51135842339"/>
    <n v="12151.58"/>
    <x v="1354"/>
    <n v="125212.2"/>
    <n v="7063.56"/>
    <n v="14411.65"/>
    <n v="6004.54"/>
    <n v="4341.54"/>
    <n v="157033.49000000002"/>
    <n v="127391.73135842341"/>
    <n v="95570.441358423384"/>
    <n v="0.37834106874139301"/>
    <s v="Paid"/>
    <x v="11"/>
    <x v="11"/>
    <x v="1"/>
  </r>
  <r>
    <x v="332"/>
    <s v="INV-00648"/>
    <x v="4"/>
    <x v="2"/>
    <x v="2"/>
    <s v="Abuja"/>
    <s v="Amina"/>
    <s v="Retail"/>
    <n v="55.860775611129952"/>
    <n v="4787.93"/>
    <n v="267457.48337179743"/>
    <n v="10822.11"/>
    <x v="1355"/>
    <n v="164588.57"/>
    <n v="5996.76"/>
    <n v="15108.7"/>
    <n v="5928.85"/>
    <n v="5496.3"/>
    <n v="197119.18000000002"/>
    <n v="92046.803371797432"/>
    <n v="59516.193371797417"/>
    <n v="0.23190954773632877"/>
    <s v="Paid"/>
    <x v="11"/>
    <x v="11"/>
    <x v="1"/>
  </r>
  <r>
    <x v="332"/>
    <s v="INV-01282"/>
    <x v="3"/>
    <x v="11"/>
    <x v="1"/>
    <s v="Port Harcourt"/>
    <s v="Samuel"/>
    <s v="Supermarket"/>
    <n v="42.154928909409932"/>
    <n v="7503.18"/>
    <n v="316296.01949450641"/>
    <n v="15089.99"/>
    <x v="1356"/>
    <n v="161867.41"/>
    <n v="7487.39"/>
    <n v="15356.06"/>
    <n v="8088.08"/>
    <n v="4773.6899999999996"/>
    <n v="197572.63"/>
    <n v="139338.61949450642"/>
    <n v="103633.39949450642"/>
    <n v="0.34406150390955753"/>
    <s v="Paid"/>
    <x v="11"/>
    <x v="11"/>
    <x v="1"/>
  </r>
  <r>
    <x v="332"/>
    <s v="INV-00635"/>
    <x v="11"/>
    <x v="6"/>
    <x v="0"/>
    <s v="Lagos"/>
    <s v="Emeka"/>
    <s v="Wholesale"/>
    <n v="108.56030209115301"/>
    <n v="414.77"/>
    <n v="45027.556498347527"/>
    <n v="1478.99"/>
    <x v="1357"/>
    <n v="31541.97"/>
    <n v="805.95"/>
    <n v="2295.7800000000002"/>
    <n v="1001.02"/>
    <n v="738.21"/>
    <n v="36382.93"/>
    <n v="12006.596498347528"/>
    <n v="7165.6364983475287"/>
    <n v="0.1645435676652969"/>
    <s v="Paid"/>
    <x v="11"/>
    <x v="11"/>
    <x v="1"/>
  </r>
  <r>
    <x v="333"/>
    <s v="INV-00783"/>
    <x v="6"/>
    <x v="11"/>
    <x v="1"/>
    <s v="Abuja"/>
    <s v="Emeka"/>
    <s v="Wholesale"/>
    <n v="32.533619894219193"/>
    <n v="6951.35"/>
    <n v="226152.57865168061"/>
    <n v="7876.37"/>
    <x v="1358"/>
    <n v="114945.49"/>
    <n v="5223.74"/>
    <n v="12246.56"/>
    <n v="4565.1099999999997"/>
    <n v="4248.6000000000004"/>
    <n v="141229.5"/>
    <n v="103330.71865168061"/>
    <n v="77046.708651680616"/>
    <n v="0.35297804157222518"/>
    <s v="Paid"/>
    <x v="11"/>
    <x v="11"/>
    <x v="1"/>
  </r>
  <r>
    <x v="334"/>
    <s v="INV-01438"/>
    <x v="1"/>
    <x v="11"/>
    <x v="1"/>
    <s v="Port Harcourt"/>
    <s v="Fatima"/>
    <s v="Wholesale"/>
    <n v="53.588864194120873"/>
    <n v="6993.81"/>
    <n v="374790.33428948454"/>
    <n v="18934.599999999999"/>
    <x v="1359"/>
    <n v="194523.83"/>
    <n v="10166.299999999999"/>
    <n v="18187.43"/>
    <n v="6923.21"/>
    <n v="7053.34"/>
    <n v="236854.10999999996"/>
    <n v="161331.90428948458"/>
    <n v="119001.62428948461"/>
    <n v="0.33440974199021378"/>
    <s v="Paid"/>
    <x v="11"/>
    <x v="11"/>
    <x v="1"/>
  </r>
  <r>
    <x v="334"/>
    <s v="INV-00199"/>
    <x v="7"/>
    <x v="10"/>
    <x v="5"/>
    <s v="Ibadan"/>
    <s v="Samuel"/>
    <s v="Supermarket"/>
    <n v="57.957527101883599"/>
    <n v="7592.67"/>
    <n v="440052.37730065855"/>
    <n v="18268.990000000002"/>
    <x v="1360"/>
    <n v="229155.12"/>
    <n v="7553.19"/>
    <n v="23274.47"/>
    <n v="10463.530000000001"/>
    <n v="7966.81"/>
    <n v="278413.12"/>
    <n v="192628.26730065857"/>
    <n v="143370.26730065857"/>
    <n v="0.33991444807298771"/>
    <s v="Paid"/>
    <x v="11"/>
    <x v="11"/>
    <x v="1"/>
  </r>
  <r>
    <x v="334"/>
    <s v="INV-00969"/>
    <x v="4"/>
    <x v="10"/>
    <x v="5"/>
    <s v="Abuja"/>
    <s v="Daniel"/>
    <s v="Wholesale"/>
    <n v="49.337442584007363"/>
    <n v="7587.26"/>
    <n v="374336.0046199357"/>
    <n v="11411.94"/>
    <x v="1361"/>
    <n v="190128.32"/>
    <n v="9591.19"/>
    <n v="20543.07"/>
    <n v="6850.2"/>
    <n v="5850.71"/>
    <n v="232963.49000000002"/>
    <n v="172795.74461993569"/>
    <n v="129960.57461993568"/>
    <n v="0.35809302079770888"/>
    <s v="Paid"/>
    <x v="11"/>
    <x v="11"/>
    <x v="1"/>
  </r>
  <r>
    <x v="334"/>
    <s v="INV-00206"/>
    <x v="7"/>
    <x v="3"/>
    <x v="3"/>
    <s v="Lagos"/>
    <s v="Amina"/>
    <s v="Wholesale"/>
    <n v="62.980598533985102"/>
    <n v="919.69"/>
    <n v="57922.62666572076"/>
    <n v="2008.42"/>
    <x v="1362"/>
    <n v="35331.49"/>
    <n v="1018.54"/>
    <n v="3093.32"/>
    <n v="1007.77"/>
    <n v="852.89"/>
    <n v="41304.009999999995"/>
    <n v="20582.716665720764"/>
    <n v="14610.196665720767"/>
    <n v="0.26129668177296733"/>
    <s v="Paid"/>
    <x v="11"/>
    <x v="11"/>
    <x v="1"/>
  </r>
  <r>
    <x v="334"/>
    <s v="INV-00152"/>
    <x v="11"/>
    <x v="7"/>
    <x v="5"/>
    <s v="Ibadan"/>
    <s v="Daniel"/>
    <s v="Retail"/>
    <n v="61.63660493154282"/>
    <n v="5935.66"/>
    <n v="365853.93042796146"/>
    <n v="10473.48"/>
    <x v="1363"/>
    <n v="250168.68"/>
    <n v="6946.51"/>
    <n v="20575.310000000001"/>
    <n v="8121.54"/>
    <n v="5867.51"/>
    <n v="291679.55"/>
    <n v="105211.77042796148"/>
    <n v="63700.900427961489"/>
    <n v="0.17924705861352433"/>
    <s v="Paid"/>
    <x v="11"/>
    <x v="11"/>
    <x v="1"/>
  </r>
  <r>
    <x v="335"/>
    <s v="INV-00753"/>
    <x v="8"/>
    <x v="4"/>
    <x v="4"/>
    <s v="Lagos"/>
    <s v="Amina"/>
    <s v="Wholesale"/>
    <n v="20.93171761451536"/>
    <n v="3459.8"/>
    <n v="72419.55660270025"/>
    <n v="3205.83"/>
    <x v="1364"/>
    <n v="33261.910000000003"/>
    <n v="1203.92"/>
    <n v="3328.91"/>
    <n v="1386.91"/>
    <n v="1315.52"/>
    <n v="40497.170000000006"/>
    <n v="35951.816602700244"/>
    <n v="28716.556602700242"/>
    <n v="0.41489684217609979"/>
    <s v="Paid"/>
    <x v="11"/>
    <x v="11"/>
    <x v="1"/>
  </r>
  <r>
    <x v="335"/>
    <s v="INV-01153"/>
    <x v="1"/>
    <x v="10"/>
    <x v="5"/>
    <s v="Lagos"/>
    <s v="Daniel"/>
    <s v="Wholesale"/>
    <n v="30.450974132093219"/>
    <n v="7903.25"/>
    <n v="240661.66130946574"/>
    <n v="7240.17"/>
    <x v="1365"/>
    <n v="124231.43"/>
    <n v="4038.93"/>
    <n v="13355.4"/>
    <n v="6305.84"/>
    <n v="4308.84"/>
    <n v="152240.43999999997"/>
    <n v="109190.06130946573"/>
    <n v="81181.051309465751"/>
    <n v="0.34778739033004236"/>
    <s v="Paid"/>
    <x v="11"/>
    <x v="11"/>
    <x v="1"/>
  </r>
  <r>
    <x v="335"/>
    <s v="INV-01103"/>
    <x v="1"/>
    <x v="1"/>
    <x v="1"/>
    <s v="Lagos"/>
    <s v="Mary"/>
    <s v="Wholesale"/>
    <n v="26.727571311662771"/>
    <n v="5128.2700000000004"/>
    <n v="137066.20213046085"/>
    <n v="6947.24"/>
    <x v="1366"/>
    <n v="83349.14"/>
    <n v="2661.76"/>
    <n v="7035.58"/>
    <n v="2706.56"/>
    <n v="1584.96"/>
    <n v="97338"/>
    <n v="46769.822130460845"/>
    <n v="32780.962130460844"/>
    <n v="0.25193070705247211"/>
    <s v="Paid"/>
    <x v="11"/>
    <x v="11"/>
    <x v="1"/>
  </r>
  <r>
    <x v="336"/>
    <s v="INV-01089"/>
    <x v="10"/>
    <x v="3"/>
    <x v="3"/>
    <s v="Lagos"/>
    <s v="Ibrahim"/>
    <s v="Wholesale"/>
    <n v="67.446528778157784"/>
    <n v="961.26"/>
    <n v="64833.650253291948"/>
    <n v="2725.86"/>
    <x v="1367"/>
    <n v="39286.32"/>
    <n v="1321.86"/>
    <n v="3804.41"/>
    <n v="1911.04"/>
    <n v="974.11"/>
    <n v="47297.74"/>
    <n v="22821.470253291947"/>
    <n v="14810.050253291949"/>
    <n v="0.23845720791051586"/>
    <s v="Paid"/>
    <x v="11"/>
    <x v="11"/>
    <x v="1"/>
  </r>
  <r>
    <x v="336"/>
    <s v="INV-00355"/>
    <x v="3"/>
    <x v="2"/>
    <x v="2"/>
    <s v="Port Harcourt"/>
    <s v="Amina"/>
    <s v="Retail"/>
    <n v="66.807409341399932"/>
    <n v="4762.97"/>
    <n v="318201.68647080765"/>
    <n v="10777.43"/>
    <x v="1368"/>
    <n v="194684.93"/>
    <n v="8922.7999999999993"/>
    <n v="15941.94"/>
    <n v="5717.6"/>
    <n v="5405.89"/>
    <n v="230673.16"/>
    <n v="112739.32647080766"/>
    <n v="76751.09647080765"/>
    <n v="0.24965855769450571"/>
    <s v="Paid"/>
    <x v="11"/>
    <x v="11"/>
    <x v="1"/>
  </r>
  <r>
    <x v="336"/>
    <s v="INV-00505"/>
    <x v="7"/>
    <x v="3"/>
    <x v="3"/>
    <s v="Lagos"/>
    <s v="Fatima"/>
    <s v="Retail"/>
    <n v="45.280236616390397"/>
    <n v="943.28"/>
    <n v="42711.941595508732"/>
    <n v="1387.71"/>
    <x v="1369"/>
    <n v="25527.439999999999"/>
    <n v="703.88"/>
    <n v="2411.12"/>
    <n v="930.54"/>
    <n v="538.77"/>
    <n v="30111.75"/>
    <n v="15796.791595508734"/>
    <n v="11212.481595508732"/>
    <n v="0.27132946367301225"/>
    <s v="Paid"/>
    <x v="11"/>
    <x v="11"/>
    <x v="1"/>
  </r>
  <r>
    <x v="336"/>
    <s v="INV-00428"/>
    <x v="10"/>
    <x v="6"/>
    <x v="0"/>
    <s v="Lagos"/>
    <s v="Daniel"/>
    <s v="Wholesale"/>
    <n v="122.2008196573734"/>
    <n v="406.93"/>
    <n v="49727.179543174956"/>
    <n v="1649.16"/>
    <x v="1370"/>
    <n v="32525.43"/>
    <n v="867.31"/>
    <n v="2311.0500000000002"/>
    <n v="1191.55"/>
    <n v="618.35"/>
    <n v="37513.69"/>
    <n v="15552.589543174952"/>
    <n v="10564.32954317495"/>
    <n v="0.2197330431568211"/>
    <s v="Paid"/>
    <x v="11"/>
    <x v="11"/>
    <x v="1"/>
  </r>
  <r>
    <x v="336"/>
    <s v="INV-00636"/>
    <x v="5"/>
    <x v="8"/>
    <x v="2"/>
    <s v="Lagos"/>
    <s v="Emeka"/>
    <s v="Distributor"/>
    <n v="51.257866049787673"/>
    <n v="7112.37"/>
    <n v="364564.90875652834"/>
    <n v="15392.6"/>
    <x v="1371"/>
    <n v="185510.89"/>
    <n v="6236.67"/>
    <n v="17045.82"/>
    <n v="10067.35"/>
    <n v="6611.71"/>
    <n v="225472.44000000003"/>
    <n v="163661.41875652835"/>
    <n v="123699.86875652833"/>
    <n v="0.3542659760077998"/>
    <s v="Paid"/>
    <x v="11"/>
    <x v="11"/>
    <x v="1"/>
  </r>
  <r>
    <x v="337"/>
    <s v="INV-00768"/>
    <x v="4"/>
    <x v="2"/>
    <x v="2"/>
    <s v="Lagos"/>
    <s v="Emeka"/>
    <s v="Wholesale"/>
    <n v="48.842401430248529"/>
    <n v="4927.5"/>
    <n v="240670.93304754962"/>
    <n v="10272.379999999999"/>
    <x v="1372"/>
    <n v="154567.54"/>
    <n v="4601.5"/>
    <n v="13653"/>
    <n v="5945.28"/>
    <n v="3028.38"/>
    <n v="181795.7"/>
    <n v="75831.013047549612"/>
    <n v="48602.853047549608"/>
    <n v="0.21095120782949953"/>
    <s v="Paid"/>
    <x v="11"/>
    <x v="11"/>
    <x v="1"/>
  </r>
  <r>
    <x v="337"/>
    <s v="INV-01154"/>
    <x v="4"/>
    <x v="3"/>
    <x v="3"/>
    <s v="Port Harcourt"/>
    <s v="Daniel"/>
    <s v="Wholesale"/>
    <n v="81.339062604908221"/>
    <n v="929.33"/>
    <n v="75590.831050619367"/>
    <n v="2927.14"/>
    <x v="1373"/>
    <n v="44722.6"/>
    <n v="2154.4299999999998"/>
    <n v="4452.3"/>
    <n v="1778.73"/>
    <n v="1403.73"/>
    <n v="54511.790000000008"/>
    <n v="27941.091050619369"/>
    <n v="18151.901050619359"/>
    <n v="0.24980703275827656"/>
    <s v="Paid"/>
    <x v="11"/>
    <x v="11"/>
    <x v="1"/>
  </r>
  <r>
    <x v="337"/>
    <s v="INV-00537"/>
    <x v="6"/>
    <x v="4"/>
    <x v="4"/>
    <s v="Lagos"/>
    <s v="Emeka"/>
    <s v="Supermarket"/>
    <n v="53.927313562850543"/>
    <n v="3577.01"/>
    <n v="192898.53988745203"/>
    <n v="7378.86"/>
    <x v="1374"/>
    <n v="92450.17"/>
    <n v="3072.47"/>
    <n v="11004.57"/>
    <n v="4226.51"/>
    <n v="3937.94"/>
    <n v="114691.65999999999"/>
    <n v="93069.509887452048"/>
    <n v="70828.019887452057"/>
    <n v="0.38178170601857875"/>
    <s v="Paid"/>
    <x v="11"/>
    <x v="11"/>
    <x v="1"/>
  </r>
  <r>
    <x v="338"/>
    <s v="INV-00236"/>
    <x v="3"/>
    <x v="1"/>
    <x v="1"/>
    <s v="Lagos"/>
    <s v="Samuel"/>
    <s v="Supermarket"/>
    <n v="62.810345459112717"/>
    <n v="5065.08"/>
    <n v="318139.42457804264"/>
    <n v="8254.92"/>
    <x v="1375"/>
    <n v="211467.19"/>
    <n v="4809.47"/>
    <n v="18885.669999999998"/>
    <n v="9086.33"/>
    <n v="5949.26"/>
    <n v="250197.92"/>
    <n v="98417.314578042657"/>
    <n v="59686.584578042646"/>
    <n v="0.19260912919578049"/>
    <s v="Paid"/>
    <x v="11"/>
    <x v="11"/>
    <x v="1"/>
  </r>
  <r>
    <x v="338"/>
    <s v="INV-00091"/>
    <x v="7"/>
    <x v="3"/>
    <x v="3"/>
    <s v="Lagos"/>
    <s v="Emeka"/>
    <s v="Supermarket"/>
    <n v="74.744085330465552"/>
    <n v="928.63"/>
    <n v="69409.59996043022"/>
    <n v="2654.91"/>
    <x v="1376"/>
    <n v="40828.32"/>
    <n v="1164.0899999999999"/>
    <n v="4050.82"/>
    <n v="1508.07"/>
    <n v="1388.44"/>
    <n v="48939.74"/>
    <n v="25926.369960430216"/>
    <n v="17814.949960430218"/>
    <n v="0.26687188527113648"/>
    <s v="Paid"/>
    <x v="11"/>
    <x v="11"/>
    <x v="1"/>
  </r>
  <r>
    <x v="339"/>
    <s v="INV-01105"/>
    <x v="11"/>
    <x v="6"/>
    <x v="0"/>
    <s v="Port Harcourt"/>
    <s v="Emeka"/>
    <s v="Wholesale"/>
    <n v="142.10880994367429"/>
    <n v="393.35"/>
    <n v="55898.500391344285"/>
    <n v="2077.8000000000002"/>
    <x v="1377"/>
    <n v="39629.760000000002"/>
    <n v="1608.19"/>
    <n v="3170.31"/>
    <n v="1634.97"/>
    <n v="920.09"/>
    <n v="46963.32"/>
    <n v="14190.94039134428"/>
    <n v="6857.3803913442825"/>
    <n v="0.12741157847226978"/>
    <s v="Paid"/>
    <x v="11"/>
    <x v="11"/>
    <x v="1"/>
  </r>
  <r>
    <x v="339"/>
    <s v="INV-00163"/>
    <x v="10"/>
    <x v="1"/>
    <x v="1"/>
    <s v="Lagos"/>
    <s v="Daniel"/>
    <s v="Supermarket"/>
    <n v="96.952536641236392"/>
    <n v="4870.62"/>
    <n v="472218.9640155388"/>
    <n v="23433.91"/>
    <x v="1378"/>
    <n v="280482.78000000003"/>
    <n v="7544.04"/>
    <n v="23862.77"/>
    <n v="11237.58"/>
    <n v="6561.97"/>
    <n v="329689.14"/>
    <n v="168302.2740155388"/>
    <n v="119095.91401553882"/>
    <n v="0.26537406482216586"/>
    <s v="Paid"/>
    <x v="11"/>
    <x v="11"/>
    <x v="1"/>
  </r>
  <r>
    <x v="340"/>
    <s v="INV-01283"/>
    <x v="10"/>
    <x v="0"/>
    <x v="0"/>
    <s v="Ibadan"/>
    <s v="Fatima"/>
    <s v="Retail"/>
    <n v="115.2839877495439"/>
    <n v="1236.96"/>
    <n v="142601.68148667584"/>
    <n v="5327.28"/>
    <x v="1379"/>
    <n v="75350.2"/>
    <n v="2753.29"/>
    <n v="7702.2"/>
    <n v="3100.88"/>
    <n v="2232.65"/>
    <n v="91139.219999999987"/>
    <n v="61924.20148667584"/>
    <n v="46135.18148667585"/>
    <n v="0.33608000462601789"/>
    <s v="Paid"/>
    <x v="11"/>
    <x v="11"/>
    <x v="1"/>
  </r>
  <r>
    <x v="340"/>
    <s v="INV-00290"/>
    <x v="1"/>
    <x v="9"/>
    <x v="4"/>
    <s v="Port Harcourt"/>
    <s v="Daniel"/>
    <s v="Supermarket"/>
    <n v="67.333565993082075"/>
    <n v="2135.81"/>
    <n v="143811.70358368463"/>
    <n v="5906.76"/>
    <x v="1380"/>
    <n v="84228.66"/>
    <n v="4105.54"/>
    <n v="7267.94"/>
    <n v="2640.46"/>
    <n v="2053.75"/>
    <n v="100296.35"/>
    <n v="53676.283583684621"/>
    <n v="37608.593583684618"/>
    <n v="0.27271388977337613"/>
    <s v="Paid"/>
    <x v="11"/>
    <x v="11"/>
    <x v="1"/>
  </r>
  <r>
    <x v="340"/>
    <s v="INV-00147"/>
    <x v="11"/>
    <x v="11"/>
    <x v="1"/>
    <s v="Lagos"/>
    <s v="Amina"/>
    <s v="Supermarket"/>
    <n v="35.848087104849519"/>
    <n v="7145.97"/>
    <n v="256169.35500864152"/>
    <n v="7547.59"/>
    <x v="1381"/>
    <n v="136304.07"/>
    <n v="4023.54"/>
    <n v="13271.58"/>
    <n v="6572.59"/>
    <n v="3151.32"/>
    <n v="163323.1"/>
    <n v="112317.69500864152"/>
    <n v="85298.665008641517"/>
    <n v="0.34308607295775867"/>
    <s v="Paid"/>
    <x v="11"/>
    <x v="11"/>
    <x v="1"/>
  </r>
  <r>
    <x v="341"/>
    <s v="INV-01411"/>
    <x v="3"/>
    <x v="10"/>
    <x v="5"/>
    <s v="Port Harcourt"/>
    <s v="Amina"/>
    <s v="Wholesale"/>
    <n v="61.51349182729696"/>
    <n v="7443.8"/>
    <n v="457894.13046403311"/>
    <n v="19865.23"/>
    <x v="1382"/>
    <n v="235990.77"/>
    <n v="11181.36"/>
    <n v="21906.21"/>
    <n v="13061.05"/>
    <n v="7602.82"/>
    <n v="289742.21000000002"/>
    <n v="202038.13046403314"/>
    <n v="148286.6904640331"/>
    <n v="0.33853175054646661"/>
    <s v="Paid"/>
    <x v="11"/>
    <x v="11"/>
    <x v="1"/>
  </r>
  <r>
    <x v="341"/>
    <s v="INV-00502"/>
    <x v="4"/>
    <x v="6"/>
    <x v="0"/>
    <s v="Lagos"/>
    <s v="Fatima"/>
    <s v="Retail"/>
    <n v="83.873535594862602"/>
    <n v="406.08"/>
    <n v="34059.365334361806"/>
    <n v="858.63"/>
    <x v="1383"/>
    <n v="23164.3"/>
    <n v="714.39"/>
    <n v="1662.57"/>
    <n v="656.62"/>
    <n v="573.83000000000004"/>
    <n v="26771.71"/>
    <n v="10036.43533436181"/>
    <n v="6429.0253343618097"/>
    <n v="0.19364105251331445"/>
    <s v="Paid"/>
    <x v="11"/>
    <x v="11"/>
    <x v="1"/>
  </r>
  <r>
    <x v="341"/>
    <s v="INV-00303"/>
    <x v="11"/>
    <x v="1"/>
    <x v="1"/>
    <s v="Ibadan"/>
    <s v="Amina"/>
    <s v="Retail"/>
    <n v="59.472830674747783"/>
    <n v="4975.32"/>
    <n v="295896.36391268612"/>
    <n v="6155.98"/>
    <x v="1384"/>
    <n v="190904.87"/>
    <n v="6645.84"/>
    <n v="16892.009999999998"/>
    <n v="7624.73"/>
    <n v="5237.72"/>
    <n v="227305.17"/>
    <n v="98835.513912686147"/>
    <n v="62435.213912686129"/>
    <n v="0.2154867508269096"/>
    <s v="Paid"/>
    <x v="11"/>
    <x v="11"/>
    <x v="1"/>
  </r>
  <r>
    <x v="341"/>
    <s v="INV-00725"/>
    <x v="6"/>
    <x v="9"/>
    <x v="4"/>
    <s v="Lagos"/>
    <s v="Fatima"/>
    <s v="Retail"/>
    <n v="48.351394934643523"/>
    <n v="2047.64"/>
    <n v="99006.250323973465"/>
    <n v="4177.5200000000004"/>
    <x v="1385"/>
    <n v="60219.5"/>
    <n v="1628.04"/>
    <n v="4607.63"/>
    <n v="2384.7800000000002"/>
    <n v="1705.97"/>
    <n v="70545.919999999998"/>
    <n v="34609.230323973461"/>
    <n v="24282.810323973463"/>
    <n v="0.25607018296051753"/>
    <s v="Paid"/>
    <x v="11"/>
    <x v="11"/>
    <x v="1"/>
  </r>
  <r>
    <x v="342"/>
    <s v="INV-01318"/>
    <x v="4"/>
    <x v="2"/>
    <x v="2"/>
    <s v="Port Harcourt"/>
    <s v="Samuel"/>
    <s v="Wholesale"/>
    <n v="54.578475910882212"/>
    <n v="4923.91"/>
    <n v="268739.50332235201"/>
    <n v="11563.45"/>
    <x v="1386"/>
    <n v="177021.3"/>
    <n v="7147.32"/>
    <n v="13069.95"/>
    <n v="7580.96"/>
    <n v="3121.73"/>
    <n v="207941.26"/>
    <n v="80154.753322352015"/>
    <n v="49234.793322351994"/>
    <n v="0.19144392600441559"/>
    <s v="Pending"/>
    <x v="11"/>
    <x v="11"/>
    <x v="1"/>
  </r>
  <r>
    <x v="342"/>
    <s v="INV-01200"/>
    <x v="8"/>
    <x v="2"/>
    <x v="2"/>
    <s v="Abuja"/>
    <s v="Mary"/>
    <s v="Wholesale"/>
    <n v="73.177740482497626"/>
    <n v="4731.67"/>
    <n v="346252.91930881958"/>
    <n v="14336.01"/>
    <x v="1387"/>
    <n v="211120.34"/>
    <n v="8452.3700000000008"/>
    <n v="16618.599999999999"/>
    <n v="7390.93"/>
    <n v="4130.04"/>
    <n v="247712.28"/>
    <n v="120796.56930881957"/>
    <n v="84204.629308819567"/>
    <n v="0.25369189380609275"/>
    <s v="Paid"/>
    <x v="11"/>
    <x v="11"/>
    <x v="1"/>
  </r>
  <r>
    <x v="342"/>
    <s v="INV-01401"/>
    <x v="0"/>
    <x v="11"/>
    <x v="1"/>
    <s v="Lagos"/>
    <s v="Amina"/>
    <s v="Supermarket"/>
    <n v="53.603968123934763"/>
    <n v="7492.05"/>
    <n v="401603.60938292544"/>
    <n v="10536.35"/>
    <x v="1388"/>
    <n v="201932.57"/>
    <n v="7971.9"/>
    <n v="22125.73"/>
    <n v="10153.280000000001"/>
    <n v="6306.59"/>
    <n v="248490.07"/>
    <n v="189134.68938292545"/>
    <n v="142577.18938292545"/>
    <n v="0.36458482770432243"/>
    <s v="Paid"/>
    <x v="11"/>
    <x v="11"/>
    <x v="1"/>
  </r>
  <r>
    <x v="342"/>
    <s v="INV-00040"/>
    <x v="1"/>
    <x v="10"/>
    <x v="5"/>
    <s v="Lagos"/>
    <s v="Emeka"/>
    <s v="Wholesale"/>
    <n v="72.145079085686973"/>
    <n v="7476.46"/>
    <n v="539389.79798097524"/>
    <n v="19532.84"/>
    <x v="1389"/>
    <n v="292909.18"/>
    <n v="8656.17"/>
    <n v="25746.43"/>
    <n v="11748.97"/>
    <n v="10099.07"/>
    <n v="349159.81999999995"/>
    <n v="226947.77798097522"/>
    <n v="170697.13798097527"/>
    <n v="0.32835405078337365"/>
    <s v="Paid"/>
    <x v="11"/>
    <x v="11"/>
    <x v="1"/>
  </r>
  <r>
    <x v="343"/>
    <s v="INV-00159"/>
    <x v="10"/>
    <x v="0"/>
    <x v="0"/>
    <s v="Lagos"/>
    <s v="Samuel"/>
    <s v="Retail"/>
    <n v="124.31845825390531"/>
    <n v="1320.41"/>
    <n v="164151.33546303911"/>
    <n v="7073.99"/>
    <x v="1390"/>
    <n v="88751.3"/>
    <n v="2552.3200000000002"/>
    <n v="8613.6299999999992"/>
    <n v="3730.47"/>
    <n v="3023.84"/>
    <n v="106671.56000000001"/>
    <n v="68326.045463039118"/>
    <n v="50405.785463039108"/>
    <n v="0.32089786922774155"/>
    <s v="Paid"/>
    <x v="11"/>
    <x v="11"/>
    <x v="1"/>
  </r>
  <r>
    <x v="343"/>
    <s v="INV-00787"/>
    <x v="4"/>
    <x v="5"/>
    <x v="3"/>
    <s v="Lagos"/>
    <s v="Fatima"/>
    <s v="Distributor"/>
    <n v="44.626138504575103"/>
    <n v="1568.04"/>
    <n v="69975.57022071394"/>
    <n v="4159.07"/>
    <x v="1391"/>
    <n v="32090.36"/>
    <n v="1164.92"/>
    <n v="4045.08"/>
    <n v="2088.08"/>
    <n v="1247.21"/>
    <n v="40635.65"/>
    <n v="33726.140220713933"/>
    <n v="25180.850220713932"/>
    <n v="0.38259175337902501"/>
    <s v="Pending"/>
    <x v="11"/>
    <x v="11"/>
    <x v="1"/>
  </r>
  <r>
    <x v="343"/>
    <s v="INV-01355"/>
    <x v="4"/>
    <x v="4"/>
    <x v="4"/>
    <s v="Lagos"/>
    <s v="Fatima"/>
    <s v="Distributor"/>
    <n v="57.323944855268437"/>
    <n v="3410.93"/>
    <n v="195527.96322518075"/>
    <n v="9938.82"/>
    <x v="1392"/>
    <n v="96452.67"/>
    <n v="2969.15"/>
    <n v="9954.14"/>
    <n v="5095.9399999999996"/>
    <n v="2463.0700000000002"/>
    <n v="116934.97"/>
    <n v="89136.473225180744"/>
    <n v="68654.173225180741"/>
    <n v="0.36992558956900096"/>
    <s v="Paid"/>
    <x v="11"/>
    <x v="11"/>
    <x v="1"/>
  </r>
  <r>
    <x v="343"/>
    <s v="INV-00032"/>
    <x v="11"/>
    <x v="5"/>
    <x v="3"/>
    <s v="Lagos"/>
    <s v="Tunde"/>
    <s v="Supermarket"/>
    <n v="36.368531787759231"/>
    <n v="1571.92"/>
    <n v="57168.422487814496"/>
    <n v="1835.06"/>
    <x v="1393"/>
    <n v="26833.21"/>
    <n v="934.89"/>
    <n v="3151.55"/>
    <n v="1242.5"/>
    <n v="786.86"/>
    <n v="32949.009999999995"/>
    <n v="28500.152487814499"/>
    <n v="22384.352487814504"/>
    <n v="0.4045362775982389"/>
    <s v="Pending"/>
    <x v="11"/>
    <x v="11"/>
    <x v="1"/>
  </r>
  <r>
    <x v="343"/>
    <s v="INV-01327"/>
    <x v="1"/>
    <x v="9"/>
    <x v="4"/>
    <s v="Lagos"/>
    <s v="Samuel"/>
    <s v="Distributor"/>
    <n v="68.213331089775039"/>
    <n v="2065.4"/>
    <n v="140887.81403282136"/>
    <n v="6850.19"/>
    <x v="1394"/>
    <n v="86032.51"/>
    <n v="2603.5500000000002"/>
    <n v="7474.49"/>
    <n v="4279.0200000000004"/>
    <n v="2386"/>
    <n v="102775.57"/>
    <n v="48005.114032821366"/>
    <n v="31262.054032821354"/>
    <n v="0.23323342425979079"/>
    <s v="Paid"/>
    <x v="11"/>
    <x v="11"/>
    <x v="1"/>
  </r>
  <r>
    <x v="343"/>
    <s v="INV-00746"/>
    <x v="9"/>
    <x v="4"/>
    <x v="4"/>
    <s v="Port Harcourt"/>
    <s v="Samuel"/>
    <s v="Wholesale"/>
    <n v="5.3759051199823782"/>
    <n v="3525.75"/>
    <n v="18954.097476777872"/>
    <n v="608.85"/>
    <x v="1395"/>
    <n v="9293.81"/>
    <n v="491.51"/>
    <n v="944.43"/>
    <n v="585.29999999999995"/>
    <n v="239.07"/>
    <n v="11554.119999999999"/>
    <n v="9051.4374767778736"/>
    <n v="6791.1274767778741"/>
    <n v="0.37018456607763656"/>
    <s v="Paid"/>
    <x v="11"/>
    <x v="11"/>
    <x v="1"/>
  </r>
  <r>
    <x v="344"/>
    <s v="INV-00696"/>
    <x v="11"/>
    <x v="11"/>
    <x v="1"/>
    <s v="Ibadan"/>
    <s v="Amina"/>
    <s v="Supermarket"/>
    <n v="42.651668477763437"/>
    <n v="7291.3"/>
    <n v="310986.11037191655"/>
    <n v="14732.4"/>
    <x v="1396"/>
    <n v="148870.14000000001"/>
    <n v="5319.45"/>
    <n v="15784.93"/>
    <n v="8229.31"/>
    <n v="4729.4399999999996"/>
    <n v="182933.27000000002"/>
    <n v="147383.57037191652"/>
    <n v="113320.44037191651"/>
    <n v="0.38251146366961675"/>
    <s v="Paid"/>
    <x v="11"/>
    <x v="11"/>
    <x v="1"/>
  </r>
  <r>
    <x v="344"/>
    <s v="INV-01191"/>
    <x v="6"/>
    <x v="4"/>
    <x v="4"/>
    <s v="Abuja"/>
    <s v="Mary"/>
    <s v="Retail"/>
    <n v="30.445353084709431"/>
    <n v="3384.39"/>
    <n v="103038.94852635975"/>
    <n v="3106.07"/>
    <x v="1397"/>
    <n v="49236.09"/>
    <n v="2520.12"/>
    <n v="5433.85"/>
    <n v="2254.92"/>
    <n v="1781.58"/>
    <n v="61226.559999999998"/>
    <n v="50696.788526359742"/>
    <n v="38706.318526359741"/>
    <n v="0.38732316227786839"/>
    <s v="Paid"/>
    <x v="11"/>
    <x v="11"/>
    <x v="1"/>
  </r>
  <r>
    <x v="344"/>
    <s v="INV-00497"/>
    <x v="7"/>
    <x v="5"/>
    <x v="3"/>
    <s v="Lagos"/>
    <s v="Samuel"/>
    <s v="Wholesale"/>
    <n v="51.281625141692302"/>
    <n v="1699.34"/>
    <n v="87144.916868283399"/>
    <n v="3622.24"/>
    <x v="1398"/>
    <n v="41166.949999999997"/>
    <n v="1539.31"/>
    <n v="4023.16"/>
    <n v="2608.86"/>
    <n v="1733.13"/>
    <n v="51071.409999999996"/>
    <n v="42355.726868283396"/>
    <n v="32451.266868283397"/>
    <n v="0.38853240922174426"/>
    <s v="Pending"/>
    <x v="11"/>
    <x v="11"/>
    <x v="1"/>
  </r>
  <r>
    <x v="345"/>
    <s v="INV-00774"/>
    <x v="5"/>
    <x v="8"/>
    <x v="2"/>
    <s v="Lagos"/>
    <s v="Ibrahim"/>
    <s v="Retail"/>
    <n v="41.863757765711803"/>
    <n v="6982.65"/>
    <n v="292319.96816274751"/>
    <n v="9675.85"/>
    <x v="1399"/>
    <n v="147244.53"/>
    <n v="5000.7700000000004"/>
    <n v="17327.75"/>
    <n v="6770.9"/>
    <n v="3394.94"/>
    <n v="179738.88999999998"/>
    <n v="135399.58816274753"/>
    <n v="102905.22816274755"/>
    <n v="0.36408055766967823"/>
    <s v="Paid"/>
    <x v="11"/>
    <x v="11"/>
    <x v="1"/>
  </r>
  <r>
    <x v="345"/>
    <s v="INV-00156"/>
    <x v="0"/>
    <x v="0"/>
    <x v="0"/>
    <s v="Port Harcourt"/>
    <s v="Mary"/>
    <s v="Wholesale"/>
    <n v="101.2934103303888"/>
    <n v="1230.8499999999999"/>
    <n v="124676.99410515904"/>
    <n v="4834.18"/>
    <x v="1400"/>
    <n v="59807.7"/>
    <n v="3870.29"/>
    <n v="5905.16"/>
    <n v="2697.72"/>
    <n v="2011.14"/>
    <n v="74292.009999999995"/>
    <n v="60035.114105159053"/>
    <n v="45550.804105159055"/>
    <n v="0.3800879046881307"/>
    <s v="Paid"/>
    <x v="11"/>
    <x v="11"/>
    <x v="1"/>
  </r>
  <r>
    <x v="345"/>
    <s v="INV-01027"/>
    <x v="0"/>
    <x v="11"/>
    <x v="1"/>
    <s v="Lagos"/>
    <s v="Ibrahim"/>
    <s v="Supermarket"/>
    <n v="46.009870809885989"/>
    <n v="7362.92"/>
    <n v="338766.99798352574"/>
    <n v="16686.810000000001"/>
    <x v="1401"/>
    <n v="169181.73"/>
    <n v="4604.6899999999996"/>
    <n v="18277.71"/>
    <n v="8561.8799999999992"/>
    <n v="5783.77"/>
    <n v="206409.78"/>
    <n v="152898.45798352573"/>
    <n v="115670.40798352574"/>
    <n v="0.35913543365617456"/>
    <s v="Paid"/>
    <x v="11"/>
    <x v="11"/>
    <x v="1"/>
  </r>
  <r>
    <x v="345"/>
    <s v="INV-00611"/>
    <x v="7"/>
    <x v="10"/>
    <x v="5"/>
    <s v="Lagos"/>
    <s v="Amina"/>
    <s v="Wholesale"/>
    <n v="39.662323264605817"/>
    <n v="7710.06"/>
    <n v="305798.89210950676"/>
    <n v="15259.07"/>
    <x v="1402"/>
    <n v="157606.71"/>
    <n v="5879.81"/>
    <n v="15596.83"/>
    <n v="6932.04"/>
    <n v="3539.7"/>
    <n v="189555.09"/>
    <n v="132933.11210950676"/>
    <n v="100984.73210950676"/>
    <n v="0.3475762164934651"/>
    <s v="Paid"/>
    <x v="11"/>
    <x v="11"/>
    <x v="1"/>
  </r>
  <r>
    <x v="345"/>
    <s v="INV-00974"/>
    <x v="10"/>
    <x v="2"/>
    <x v="2"/>
    <s v="Lagos"/>
    <s v="Fatima"/>
    <s v="Wholesale"/>
    <n v="48.088707220462467"/>
    <n v="4936.58"/>
    <n v="237393.7502903906"/>
    <n v="10500.94"/>
    <x v="1403"/>
    <n v="148633.41"/>
    <n v="3907.41"/>
    <n v="12963.17"/>
    <n v="7012.49"/>
    <n v="4069.42"/>
    <n v="176585.90000000002"/>
    <n v="78259.400290390593"/>
    <n v="50306.910290390573"/>
    <n v="0.22172104186996877"/>
    <s v="Paid"/>
    <x v="11"/>
    <x v="11"/>
    <x v="1"/>
  </r>
  <r>
    <x v="345"/>
    <s v="INV-00287"/>
    <x v="4"/>
    <x v="8"/>
    <x v="2"/>
    <s v="Lagos"/>
    <s v="Mary"/>
    <s v="Retail"/>
    <n v="46.95365344175466"/>
    <n v="7040.46"/>
    <n v="330575.31891053601"/>
    <n v="9137.59"/>
    <x v="1404"/>
    <n v="163314.88"/>
    <n v="5184.8100000000004"/>
    <n v="17777.66"/>
    <n v="8180.37"/>
    <n v="6540.34"/>
    <n v="200998.06"/>
    <n v="158122.84891053598"/>
    <n v="120439.66891053598"/>
    <n v="0.37469051725429936"/>
    <s v="Pending"/>
    <x v="11"/>
    <x v="11"/>
    <x v="1"/>
  </r>
  <r>
    <x v="345"/>
    <s v="INV-01203"/>
    <x v="1"/>
    <x v="7"/>
    <x v="5"/>
    <s v="Lagos"/>
    <s v="Emeka"/>
    <s v="Wholesale"/>
    <n v="78.568170807793209"/>
    <n v="6124.96"/>
    <n v="481226.90347090107"/>
    <n v="20741.79"/>
    <x v="1405"/>
    <n v="317399.33"/>
    <n v="9882.9500000000007"/>
    <n v="25550.01"/>
    <n v="13144.25"/>
    <n v="7166.26"/>
    <n v="373142.80000000005"/>
    <n v="143085.78347090108"/>
    <n v="87342.313470901048"/>
    <n v="0.18967456474881325"/>
    <s v="Pending"/>
    <x v="11"/>
    <x v="11"/>
    <x v="1"/>
  </r>
  <r>
    <x v="346"/>
    <s v="INV-00394"/>
    <x v="8"/>
    <x v="3"/>
    <x v="3"/>
    <s v="Abuja"/>
    <s v="Daniel"/>
    <s v="Wholesale"/>
    <n v="76.827484603156861"/>
    <n v="922.66"/>
    <n v="70885.646943948712"/>
    <n v="2854.08"/>
    <x v="1406"/>
    <n v="40915.15"/>
    <n v="1559.7"/>
    <n v="3889.26"/>
    <n v="1229.77"/>
    <n v="927.28"/>
    <n v="48521.159999999996"/>
    <n v="27116.416943948709"/>
    <n v="19510.406943948714"/>
    <n v="0.2867846180880026"/>
    <s v="Paid"/>
    <x v="11"/>
    <x v="11"/>
    <x v="1"/>
  </r>
  <r>
    <x v="347"/>
    <s v="INV-00981"/>
    <x v="10"/>
    <x v="8"/>
    <x v="2"/>
    <s v="Port Harcourt"/>
    <s v="Emeka"/>
    <s v="Wholesale"/>
    <n v="26.649356776232981"/>
    <n v="7407.81"/>
    <n v="197413.37162054644"/>
    <n v="7858.04"/>
    <x v="1407"/>
    <n v="99878.37"/>
    <n v="5567.66"/>
    <n v="9538.93"/>
    <n v="5230.8999999999996"/>
    <n v="2754.12"/>
    <n v="122969.97999999998"/>
    <n v="89676.961620546441"/>
    <n v="66585.351620546455"/>
    <n v="0.35127132036485054"/>
    <s v="Paid"/>
    <x v="11"/>
    <x v="11"/>
    <x v="1"/>
  </r>
  <r>
    <x v="347"/>
    <s v="INV-01134"/>
    <x v="8"/>
    <x v="8"/>
    <x v="2"/>
    <s v="Lagos"/>
    <s v="Daniel"/>
    <s v="Retail"/>
    <n v="63.579223147905267"/>
    <n v="7309.3"/>
    <n v="464719.61575498397"/>
    <n v="13365.79"/>
    <x v="1408"/>
    <n v="239693.61"/>
    <n v="8203.27"/>
    <n v="22024.639999999999"/>
    <n v="12777.42"/>
    <n v="7288.11"/>
    <n v="289987.04999999993"/>
    <n v="211660.215754984"/>
    <n v="161366.77575498406"/>
    <n v="0.35751724378333177"/>
    <s v="Pending"/>
    <x v="11"/>
    <x v="11"/>
    <x v="1"/>
  </r>
  <r>
    <x v="347"/>
    <s v="INV-01181"/>
    <x v="5"/>
    <x v="0"/>
    <x v="0"/>
    <s v="Lagos"/>
    <s v="Samuel"/>
    <s v="Wholesale"/>
    <n v="77.691367830564104"/>
    <n v="1312.39"/>
    <n v="101961.37422715404"/>
    <n v="4129.43"/>
    <x v="1409"/>
    <n v="52058.69"/>
    <n v="1715.98"/>
    <n v="5628.87"/>
    <n v="2898.39"/>
    <n v="1590.78"/>
    <n v="63892.710000000006"/>
    <n v="45773.254227154044"/>
    <n v="33939.23422715404"/>
    <n v="0.34691362310403651"/>
    <s v="Paid"/>
    <x v="11"/>
    <x v="11"/>
    <x v="1"/>
  </r>
  <r>
    <x v="347"/>
    <s v="INV-00401"/>
    <x v="3"/>
    <x v="0"/>
    <x v="0"/>
    <s v="Lagos"/>
    <s v="Mary"/>
    <s v="Retail"/>
    <n v="91.99153496431525"/>
    <n v="1263.3800000000001"/>
    <n v="116220.26544321662"/>
    <n v="4162.72"/>
    <x v="1410"/>
    <n v="57548.02"/>
    <n v="2077.25"/>
    <n v="5382.51"/>
    <n v="3409.58"/>
    <n v="1884.96"/>
    <n v="70302.320000000007"/>
    <n v="54509.525443216618"/>
    <n v="41755.225443216608"/>
    <n v="0.37262305967941628"/>
    <s v="Pending"/>
    <x v="11"/>
    <x v="11"/>
    <x v="1"/>
  </r>
  <r>
    <x v="347"/>
    <s v="INV-01085"/>
    <x v="1"/>
    <x v="7"/>
    <x v="5"/>
    <s v="Abuja"/>
    <s v="Samuel"/>
    <s v="Supermarket"/>
    <n v="61.959936601978598"/>
    <n v="5909"/>
    <n v="366121.26538109151"/>
    <n v="9680.33"/>
    <x v="1411"/>
    <n v="246106.78"/>
    <n v="8932.49"/>
    <n v="21363.279999999999"/>
    <n v="7336.18"/>
    <n v="5715.84"/>
    <n v="289454.57"/>
    <n v="110334.15538109149"/>
    <n v="66986.365381091484"/>
    <n v="0.18793117942380133"/>
    <s v="Paid"/>
    <x v="11"/>
    <x v="11"/>
    <x v="1"/>
  </r>
  <r>
    <x v="347"/>
    <s v="INV-00984"/>
    <x v="4"/>
    <x v="8"/>
    <x v="2"/>
    <s v="Abuja"/>
    <s v="Ibrahim"/>
    <s v="Distributor"/>
    <n v="34.350073787154493"/>
    <n v="7305.9"/>
    <n v="250958.20408157201"/>
    <n v="13683.09"/>
    <x v="1412"/>
    <n v="127043.38"/>
    <n v="5770.65"/>
    <n v="13326.81"/>
    <n v="5991.07"/>
    <n v="4750.34"/>
    <n v="156882.25"/>
    <n v="110231.73408157201"/>
    <n v="80392.864081572014"/>
    <n v="0.33881709168174301"/>
    <s v="Pending"/>
    <x v="11"/>
    <x v="11"/>
    <x v="1"/>
  </r>
  <r>
    <x v="347"/>
    <s v="INV-00699"/>
    <x v="5"/>
    <x v="1"/>
    <x v="1"/>
    <s v="Abuja"/>
    <s v="Tunde"/>
    <s v="Distributor"/>
    <n v="44.039095682959918"/>
    <n v="4913.5200000000004"/>
    <n v="216386.97742013723"/>
    <n v="12775.25"/>
    <x v="1413"/>
    <n v="131724.73000000001"/>
    <n v="5472.36"/>
    <n v="12348.79"/>
    <n v="5251.25"/>
    <n v="3196.83"/>
    <n v="157993.96"/>
    <n v="71886.997420137224"/>
    <n v="45617.767420137243"/>
    <n v="0.22404292718370031"/>
    <s v="Paid"/>
    <x v="11"/>
    <x v="11"/>
    <x v="1"/>
  </r>
  <r>
    <x v="348"/>
    <s v="INV-01208"/>
    <x v="9"/>
    <x v="7"/>
    <x v="5"/>
    <s v="Lagos"/>
    <s v="Mary"/>
    <s v="Retail"/>
    <n v="43.132066471460803"/>
    <n v="6049.99"/>
    <n v="260948.57083167313"/>
    <n v="11546.37"/>
    <x v="1414"/>
    <n v="163120.07"/>
    <n v="4571.3900000000003"/>
    <n v="13200.42"/>
    <n v="7543.56"/>
    <n v="4743.21"/>
    <n v="193178.65000000002"/>
    <n v="86282.13083167313"/>
    <n v="56223.550831673114"/>
    <n v="0.22543325858467297"/>
    <s v="Paid"/>
    <x v="11"/>
    <x v="11"/>
    <x v="1"/>
  </r>
  <r>
    <x v="348"/>
    <s v="INV-01131"/>
    <x v="0"/>
    <x v="5"/>
    <x v="3"/>
    <s v="Ibadan"/>
    <s v="Emeka"/>
    <s v="Wholesale"/>
    <n v="72.825437299645145"/>
    <n v="1574.77"/>
    <n v="114683.31389636219"/>
    <n v="3754.24"/>
    <x v="1415"/>
    <n v="52429.48"/>
    <n v="2606.75"/>
    <n v="6306.73"/>
    <n v="2056.69"/>
    <n v="1973.54"/>
    <n v="65373.19000000001"/>
    <n v="58499.593896362181"/>
    <n v="45555.883896362175"/>
    <n v="0.41067577954291512"/>
    <s v="Paid"/>
    <x v="11"/>
    <x v="11"/>
    <x v="1"/>
  </r>
  <r>
    <x v="348"/>
    <s v="INV-00577"/>
    <x v="8"/>
    <x v="5"/>
    <x v="3"/>
    <s v="Abuja"/>
    <s v="Fatima"/>
    <s v="Retail"/>
    <n v="26.20153122613689"/>
    <n v="1640.28"/>
    <n v="42977.847639607819"/>
    <n v="1757.82"/>
    <x v="1416"/>
    <n v="21298.91"/>
    <n v="1103.57"/>
    <n v="2339.66"/>
    <n v="1054.27"/>
    <n v="836.34"/>
    <n v="26632.75"/>
    <n v="19921.117639607819"/>
    <n v="14587.277639607819"/>
    <n v="0.35388810912856067"/>
    <s v="Paid"/>
    <x v="11"/>
    <x v="11"/>
    <x v="1"/>
  </r>
  <r>
    <x v="348"/>
    <s v="INV-00417"/>
    <x v="4"/>
    <x v="3"/>
    <x v="3"/>
    <s v="Lagos"/>
    <s v="Samuel"/>
    <s v="Supermarket"/>
    <n v="46.141038474732611"/>
    <n v="970.52"/>
    <n v="44780.800660497494"/>
    <n v="1908.42"/>
    <x v="1417"/>
    <n v="25257.599999999999"/>
    <n v="779.32"/>
    <n v="2071.73"/>
    <n v="1141.0899999999999"/>
    <n v="540.57000000000005"/>
    <n v="29790.309999999998"/>
    <n v="17614.780660497498"/>
    <n v="13082.070660497498"/>
    <n v="0.30513982333039147"/>
    <s v="Paid"/>
    <x v="11"/>
    <x v="11"/>
    <x v="1"/>
  </r>
  <r>
    <x v="349"/>
    <s v="INV-00263"/>
    <x v="5"/>
    <x v="5"/>
    <x v="3"/>
    <s v="Lagos"/>
    <s v="Mary"/>
    <s v="Wholesale"/>
    <n v="72.332509036388061"/>
    <n v="1656.95"/>
    <n v="119851.3508478432"/>
    <n v="4672.07"/>
    <x v="1418"/>
    <n v="52832.14"/>
    <n v="1883.18"/>
    <n v="7002.9"/>
    <n v="3307.78"/>
    <n v="1613.8"/>
    <n v="66639.8"/>
    <n v="62347.140847843213"/>
    <n v="48539.48084784321"/>
    <n v="0.42142545508654422"/>
    <s v="Paid"/>
    <x v="11"/>
    <x v="11"/>
    <x v="1"/>
  </r>
  <r>
    <x v="349"/>
    <s v="INV-00848"/>
    <x v="10"/>
    <x v="7"/>
    <x v="5"/>
    <s v="Lagos"/>
    <s v="Ibrahim"/>
    <s v="Retail"/>
    <n v="29.74710871517086"/>
    <n v="6186.36"/>
    <n v="184026.32347118438"/>
    <n v="5496.32"/>
    <x v="1419"/>
    <n v="125175.42"/>
    <n v="3025.56"/>
    <n v="8990.26"/>
    <n v="4672.99"/>
    <n v="3401.77"/>
    <n v="145265.99999999997"/>
    <n v="53354.583471184378"/>
    <n v="33264.003471184405"/>
    <n v="0.1863216424378403"/>
    <s v="Paid"/>
    <x v="11"/>
    <x v="11"/>
    <x v="1"/>
  </r>
  <r>
    <x v="349"/>
    <s v="INV-00093"/>
    <x v="10"/>
    <x v="3"/>
    <x v="3"/>
    <s v="Lagos"/>
    <s v="Samuel"/>
    <s v="Retail"/>
    <n v="75.440613452794025"/>
    <n v="938.36"/>
    <n v="70790.454039563803"/>
    <n v="2890.97"/>
    <x v="1420"/>
    <n v="39099.769999999997"/>
    <n v="1138.6300000000001"/>
    <n v="3777.16"/>
    <n v="1701.22"/>
    <n v="1419.21"/>
    <n v="47135.99"/>
    <n v="28799.714039563805"/>
    <n v="20763.494039563804"/>
    <n v="0.30579752310732278"/>
    <s v="Paid"/>
    <x v="11"/>
    <x v="11"/>
    <x v="1"/>
  </r>
  <r>
    <x v="350"/>
    <s v="INV-01078"/>
    <x v="11"/>
    <x v="5"/>
    <x v="3"/>
    <s v="Lagos"/>
    <s v="Ibrahim"/>
    <s v="Wholesale"/>
    <n v="44.214238059993328"/>
    <n v="1669.43"/>
    <n v="73812.575444494665"/>
    <n v="3010.43"/>
    <x v="1421"/>
    <n v="32594.93"/>
    <n v="1363.48"/>
    <n v="3605.03"/>
    <n v="2163.41"/>
    <n v="1367.72"/>
    <n v="41094.570000000007"/>
    <n v="38207.215444494672"/>
    <n v="29707.575444494665"/>
    <n v="0.41958580856541861"/>
    <s v="Paid"/>
    <x v="11"/>
    <x v="11"/>
    <x v="1"/>
  </r>
  <r>
    <x v="350"/>
    <s v="INV-00970"/>
    <x v="3"/>
    <x v="2"/>
    <x v="2"/>
    <s v="Lagos"/>
    <s v="Tunde"/>
    <s v="Wholesale"/>
    <n v="55.918007972691683"/>
    <n v="4829.99"/>
    <n v="270083.41932802112"/>
    <n v="10675.47"/>
    <x v="1422"/>
    <n v="168420.81"/>
    <n v="4857.2700000000004"/>
    <n v="14248.01"/>
    <n v="8190.13"/>
    <n v="4994.75"/>
    <n v="200710.97"/>
    <n v="90987.13932802112"/>
    <n v="58696.979328021116"/>
    <n v="0.22627286280189832"/>
    <s v="Paid"/>
    <x v="11"/>
    <x v="11"/>
    <x v="1"/>
  </r>
  <r>
    <x v="350"/>
    <s v="INV-00702"/>
    <x v="8"/>
    <x v="0"/>
    <x v="0"/>
    <s v="Abuja"/>
    <s v="Mary"/>
    <s v="Wholesale"/>
    <n v="8.4971182809541155"/>
    <n v="1304.5999999999999"/>
    <n v="11085.340509332738"/>
    <n v="431.2"/>
    <x v="1423"/>
    <n v="5645.01"/>
    <n v="313.83999999999997"/>
    <n v="539.41999999999996"/>
    <n v="309.83999999999997"/>
    <n v="185.82"/>
    <n v="6993.93"/>
    <n v="5009.1305093327373"/>
    <n v="3660.2105093327373"/>
    <n v="0.34354817323147674"/>
    <s v="Paid"/>
    <x v="11"/>
    <x v="11"/>
    <x v="1"/>
  </r>
  <r>
    <x v="351"/>
    <s v="INV-00342"/>
    <x v="1"/>
    <x v="5"/>
    <x v="3"/>
    <s v="Abuja"/>
    <s v="Mary"/>
    <s v="Supermarket"/>
    <n v="26.792847347276361"/>
    <n v="1611.58"/>
    <n v="43178.816927923632"/>
    <n v="1431.5"/>
    <x v="1424"/>
    <n v="19548.16"/>
    <n v="1103.8499999999999"/>
    <n v="2546.58"/>
    <n v="1161.0899999999999"/>
    <n v="905.87"/>
    <n v="25265.549999999996"/>
    <n v="22199.156927923632"/>
    <n v="16481.766927923636"/>
    <n v="0.39479823233620637"/>
    <s v="Pending"/>
    <x v="11"/>
    <x v="11"/>
    <x v="1"/>
  </r>
  <r>
    <x v="351"/>
    <s v="INV-01345"/>
    <x v="8"/>
    <x v="5"/>
    <x v="3"/>
    <s v="Port Harcourt"/>
    <s v="Samuel"/>
    <s v="Wholesale"/>
    <n v="35.607385120696073"/>
    <n v="1653.61"/>
    <n v="58880.728109434232"/>
    <n v="2398.31"/>
    <x v="1425"/>
    <n v="29006.560000000001"/>
    <n v="1731.69"/>
    <n v="3364.07"/>
    <n v="1465.35"/>
    <n v="726.26"/>
    <n v="36293.93"/>
    <n v="27475.858109434233"/>
    <n v="20188.488109434235"/>
    <n v="0.35742959995655993"/>
    <s v="Paid"/>
    <x v="11"/>
    <x v="11"/>
    <x v="1"/>
  </r>
  <r>
    <x v="352"/>
    <s v="INV-00249"/>
    <x v="3"/>
    <x v="8"/>
    <x v="2"/>
    <s v="Lagos"/>
    <s v="Daniel"/>
    <s v="Retail"/>
    <n v="73.850577234956788"/>
    <n v="7212.77"/>
    <n v="532667.22796297935"/>
    <n v="19835.25"/>
    <x v="1426"/>
    <n v="260931.25"/>
    <n v="10230.02"/>
    <n v="27392.73"/>
    <n v="12389.57"/>
    <n v="10475.19"/>
    <n v="321418.76"/>
    <n v="251900.72796297935"/>
    <n v="191413.21796297934"/>
    <n v="0.37324743032463004"/>
    <s v="Paid"/>
    <x v="11"/>
    <x v="11"/>
    <x v="1"/>
  </r>
  <r>
    <x v="352"/>
    <s v="INV-00850"/>
    <x v="8"/>
    <x v="10"/>
    <x v="5"/>
    <s v="Ibadan"/>
    <s v="Mary"/>
    <s v="Supermarket"/>
    <n v="18.20693563451178"/>
    <n v="7882.01"/>
    <n v="143507.24874057819"/>
    <n v="4266.09"/>
    <x v="1427"/>
    <n v="70496.91"/>
    <n v="2574.62"/>
    <n v="6898.84"/>
    <n v="4399.87"/>
    <n v="2597.6999999999998"/>
    <n v="86967.939999999988"/>
    <n v="68744.248740578187"/>
    <n v="52273.218740578202"/>
    <n v="0.37541499376609644"/>
    <s v="Paid"/>
    <x v="11"/>
    <x v="11"/>
    <x v="1"/>
  </r>
  <r>
    <x v="353"/>
    <s v="INV-00427"/>
    <x v="1"/>
    <x v="10"/>
    <x v="5"/>
    <s v="Lagos"/>
    <s v="Mary"/>
    <s v="Wholesale"/>
    <n v="76.164825807583796"/>
    <n v="7598.85"/>
    <n v="578765.08658795815"/>
    <n v="26651.88"/>
    <x v="1428"/>
    <n v="306293.92"/>
    <n v="11376.67"/>
    <n v="30514.95"/>
    <n v="16219.32"/>
    <n v="8427.5300000000007"/>
    <n v="372832.39"/>
    <n v="245819.28658795817"/>
    <n v="179280.81658795814"/>
    <n v="0.32471749352982843"/>
    <s v="Paid"/>
    <x v="11"/>
    <x v="11"/>
    <x v="1"/>
  </r>
  <r>
    <x v="353"/>
    <s v="INV-00996"/>
    <x v="11"/>
    <x v="3"/>
    <x v="3"/>
    <s v="Port Harcourt"/>
    <s v="Emeka"/>
    <s v="Supermarket"/>
    <n v="33.974837197924607"/>
    <n v="957.58"/>
    <n v="32533.624603988646"/>
    <n v="946.96"/>
    <x v="1429"/>
    <n v="18289.39"/>
    <n v="870.38"/>
    <n v="1842.13"/>
    <n v="783.29"/>
    <n v="689.69"/>
    <n v="22474.880000000001"/>
    <n v="13297.274603988648"/>
    <n v="9111.7846039886463"/>
    <n v="0.28846934990527756"/>
    <s v="Pending"/>
    <x v="11"/>
    <x v="11"/>
    <x v="1"/>
  </r>
  <r>
    <x v="353"/>
    <s v="INV-00727"/>
    <x v="11"/>
    <x v="2"/>
    <x v="2"/>
    <s v="Lagos"/>
    <s v="Amina"/>
    <s v="Distributor"/>
    <n v="65.736337758693992"/>
    <n v="4803.59"/>
    <n v="315770.4146942849"/>
    <n v="11768.74"/>
    <x v="1430"/>
    <n v="197334.5"/>
    <n v="5553.47"/>
    <n v="16295.83"/>
    <n v="8163.15"/>
    <n v="6200.53"/>
    <n v="233547.47999999998"/>
    <n v="106667.17469428491"/>
    <n v="70454.194694284932"/>
    <n v="0.23175594267740868"/>
    <s v="Paid"/>
    <x v="11"/>
    <x v="11"/>
    <x v="1"/>
  </r>
  <r>
    <x v="353"/>
    <s v="INV-00264"/>
    <x v="3"/>
    <x v="10"/>
    <x v="5"/>
    <s v="Lagos"/>
    <s v="Samuel"/>
    <s v="Wholesale"/>
    <n v="69.157339939747303"/>
    <n v="7655.86"/>
    <n v="529458.91255111375"/>
    <n v="22665.21"/>
    <x v="1431"/>
    <n v="271809.36"/>
    <n v="10108.379999999999"/>
    <n v="31081.57"/>
    <n v="15276.7"/>
    <n v="10909.27"/>
    <n v="339185.28"/>
    <n v="234984.34255111375"/>
    <n v="167608.4225511137"/>
    <n v="0.3307231753421585"/>
    <s v="Paid"/>
    <x v="11"/>
    <x v="11"/>
    <x v="1"/>
  </r>
  <r>
    <x v="353"/>
    <s v="INV-01180"/>
    <x v="10"/>
    <x v="5"/>
    <x v="3"/>
    <s v="Lagos"/>
    <s v="Emeka"/>
    <s v="Supermarket"/>
    <n v="50.523992260777788"/>
    <n v="1632.68"/>
    <n v="82489.511684326688"/>
    <n v="3542.97"/>
    <x v="1432"/>
    <n v="37605.22"/>
    <n v="1140.1199999999999"/>
    <n v="4538.07"/>
    <n v="1594.48"/>
    <n v="1640.08"/>
    <n v="46517.970000000008"/>
    <n v="41341.321684326685"/>
    <n v="32428.571684326678"/>
    <n v="0.41076620954461324"/>
    <s v="Paid"/>
    <x v="11"/>
    <x v="11"/>
    <x v="1"/>
  </r>
  <r>
    <x v="354"/>
    <s v="INV-00470"/>
    <x v="11"/>
    <x v="4"/>
    <x v="4"/>
    <s v="Lagos"/>
    <s v="Tunde"/>
    <s v="Retail"/>
    <n v="57.317375792821842"/>
    <n v="3658.06"/>
    <n v="209670.39969268985"/>
    <n v="7757.83"/>
    <x v="1433"/>
    <n v="106074.62"/>
    <n v="4382.57"/>
    <n v="11641.12"/>
    <n v="4156.96"/>
    <n v="4118.84"/>
    <n v="130374.11"/>
    <n v="95837.949692689872"/>
    <n v="71538.459692689867"/>
    <n v="0.35430414164690749"/>
    <s v="Paid"/>
    <x v="11"/>
    <x v="11"/>
    <x v="1"/>
  </r>
  <r>
    <x v="354"/>
    <s v="INV-01276"/>
    <x v="11"/>
    <x v="6"/>
    <x v="0"/>
    <s v="Port Harcourt"/>
    <s v="Ibrahim"/>
    <s v="Retail"/>
    <n v="99.276734059027248"/>
    <n v="397.65"/>
    <n v="39477.393298572184"/>
    <n v="1570.36"/>
    <x v="1434"/>
    <n v="25709.61"/>
    <n v="1286.23"/>
    <n v="2228.16"/>
    <n v="1153.4000000000001"/>
    <n v="597.54"/>
    <n v="30974.940000000002"/>
    <n v="12197.423298572183"/>
    <n v="6932.0932985721811"/>
    <n v="0.18287090007735549"/>
    <s v="Paid"/>
    <x v="11"/>
    <x v="11"/>
    <x v="1"/>
  </r>
  <r>
    <x v="354"/>
    <s v="INV-00782"/>
    <x v="7"/>
    <x v="3"/>
    <x v="3"/>
    <s v="Lagos"/>
    <s v="Tunde"/>
    <s v="Wholesale"/>
    <n v="78.50691359513209"/>
    <n v="919.48"/>
    <n v="72185.536912452051"/>
    <n v="3423.43"/>
    <x v="1435"/>
    <n v="40058.129999999997"/>
    <n v="1116.29"/>
    <n v="4166.6499999999996"/>
    <n v="1758.91"/>
    <n v="1415.31"/>
    <n v="48515.29"/>
    <n v="28703.976912452061"/>
    <n v="20246.816912452057"/>
    <n v="0.29444730275979347"/>
    <s v="Paid"/>
    <x v="11"/>
    <x v="11"/>
    <x v="1"/>
  </r>
  <r>
    <x v="355"/>
    <s v="INV-00042"/>
    <x v="8"/>
    <x v="3"/>
    <x v="3"/>
    <s v="Port Harcourt"/>
    <s v="Tunde"/>
    <s v="Wholesale"/>
    <n v="29.764958164737639"/>
    <n v="919.18"/>
    <n v="27359.354245863542"/>
    <n v="961.14"/>
    <x v="1436"/>
    <n v="16526.98"/>
    <n v="743.81"/>
    <n v="1477.59"/>
    <n v="689.9"/>
    <n v="470.59"/>
    <n v="19908.870000000003"/>
    <n v="9871.234245863543"/>
    <n v="6489.34424586354"/>
    <n v="0.24582512231411202"/>
    <s v="Paid"/>
    <x v="11"/>
    <x v="11"/>
    <x v="1"/>
  </r>
  <r>
    <x v="355"/>
    <s v="INV-00731"/>
    <x v="11"/>
    <x v="11"/>
    <x v="1"/>
    <s v="Ibadan"/>
    <s v="Emeka"/>
    <s v="Retail"/>
    <n v="27.086222179488551"/>
    <n v="6973.44"/>
    <n v="188884.14519533265"/>
    <n v="5886.88"/>
    <x v="1437"/>
    <n v="99439.22"/>
    <n v="3947.41"/>
    <n v="9964.23"/>
    <n v="4519.16"/>
    <n v="2983.85"/>
    <n v="120853.87000000001"/>
    <n v="83558.045195332641"/>
    <n v="62143.395195332632"/>
    <n v="0.33958646938794584"/>
    <s v="Paid"/>
    <x v="11"/>
    <x v="11"/>
    <x v="1"/>
  </r>
  <r>
    <x v="355"/>
    <s v="INV-00108"/>
    <x v="0"/>
    <x v="5"/>
    <x v="3"/>
    <s v="Lagos"/>
    <s v="Amina"/>
    <s v="Supermarket"/>
    <n v="35.349857620444872"/>
    <n v="1688.38"/>
    <n v="59683.992609206718"/>
    <n v="2106.5100000000002"/>
    <x v="1438"/>
    <n v="29364.77"/>
    <n v="1153.52"/>
    <n v="3479.96"/>
    <n v="1407.49"/>
    <n v="784.17"/>
    <n v="36189.909999999996"/>
    <n v="28212.712609206716"/>
    <n v="21387.57260920672"/>
    <n v="0.37145723710030382"/>
    <s v="Paid"/>
    <x v="11"/>
    <x v="11"/>
    <x v="1"/>
  </r>
  <r>
    <x v="355"/>
    <s v="INV-00992"/>
    <x v="9"/>
    <x v="1"/>
    <x v="1"/>
    <s v="Ibadan"/>
    <s v="Mary"/>
    <s v="Retail"/>
    <n v="64.365454092061839"/>
    <n v="4975.2"/>
    <n v="320231.00719882606"/>
    <n v="6527.27"/>
    <x v="1439"/>
    <n v="215880.53"/>
    <n v="6342.52"/>
    <n v="16751.650000000001"/>
    <n v="8559.33"/>
    <n v="5880.73"/>
    <n v="253414.75999999998"/>
    <n v="97823.207198826043"/>
    <n v="60288.977198826062"/>
    <n v="0.19218444044424882"/>
    <s v="Paid"/>
    <x v="11"/>
    <x v="1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6C34B63-BEC7-4FA5-B6E4-980B822D8769}" name="PivotTable9" cacheId="15"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compact="0" compactData="0" multipleFieldFilters="0" chartFormat="12">
  <location ref="A31:B37" firstHeaderRow="1" firstDataRow="1" firstDataCol="1"/>
  <pivotFields count="26">
    <pivotField compact="0" numFmtId="164" outline="0" showAll="0" defaultSubtotal="0"/>
    <pivotField compact="0" outline="0" showAll="0" defaultSubtotal="0"/>
    <pivotField compact="0" outline="0" showAll="0" defaultSubtotal="0">
      <items count="12">
        <item x="10"/>
        <item x="2"/>
        <item x="3"/>
        <item x="7"/>
        <item x="1"/>
        <item x="6"/>
        <item x="4"/>
        <item x="5"/>
        <item x="11"/>
        <item x="8"/>
        <item x="0"/>
        <item x="9"/>
      </items>
    </pivotField>
    <pivotField compact="0" outline="0" showAll="0" defaultSubtotal="0"/>
    <pivotField axis="axisRow" compact="0" outline="0" showAll="0" defaultSubtotal="0">
      <items count="6">
        <item x="0"/>
        <item x="3"/>
        <item x="5"/>
        <item x="2"/>
        <item x="1"/>
        <item x="4"/>
      </items>
    </pivotField>
    <pivotField compact="0" outline="0" showAll="0" defaultSubtotal="0"/>
    <pivotField compact="0" outline="0" showAll="0" defaultSubtotal="0"/>
    <pivotField compact="0" outline="0" showAll="0" defaultSubtotal="0"/>
    <pivotField compact="0"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items count="1440">
        <item x="930"/>
        <item x="1423"/>
        <item x="590"/>
        <item x="1055"/>
        <item x="841"/>
        <item x="1351"/>
        <item x="307"/>
        <item x="513"/>
        <item x="1395"/>
        <item x="168"/>
        <item x="641"/>
        <item x="848"/>
        <item x="1003"/>
        <item x="704"/>
        <item x="373"/>
        <item x="741"/>
        <item x="970"/>
        <item x="782"/>
        <item x="1294"/>
        <item x="324"/>
        <item x="387"/>
        <item x="13"/>
        <item x="1298"/>
        <item x="79"/>
        <item x="1436"/>
        <item x="1181"/>
        <item x="358"/>
        <item x="106"/>
        <item x="986"/>
        <item x="286"/>
        <item x="759"/>
        <item x="850"/>
        <item x="794"/>
        <item x="78"/>
        <item x="1284"/>
        <item x="963"/>
        <item x="283"/>
        <item x="142"/>
        <item x="463"/>
        <item x="1118"/>
        <item x="1011"/>
        <item x="1316"/>
        <item x="520"/>
        <item x="1311"/>
        <item x="279"/>
        <item x="412"/>
        <item x="277"/>
        <item x="1429"/>
        <item x="714"/>
        <item x="1051"/>
        <item x="199"/>
        <item x="1132"/>
        <item x="646"/>
        <item x="172"/>
        <item x="695"/>
        <item x="533"/>
        <item x="855"/>
        <item x="958"/>
        <item x="1383"/>
        <item x="1112"/>
        <item x="702"/>
        <item x="397"/>
        <item x="1149"/>
        <item x="328"/>
        <item x="274"/>
        <item x="193"/>
        <item x="9"/>
        <item x="1142"/>
        <item x="624"/>
        <item x="899"/>
        <item x="731"/>
        <item x="102"/>
        <item x="842"/>
        <item x="368"/>
        <item x="1046"/>
        <item x="906"/>
        <item x="555"/>
        <item x="86"/>
        <item x="1304"/>
        <item x="574"/>
        <item x="1188"/>
        <item x="591"/>
        <item x="195"/>
        <item x="377"/>
        <item x="1334"/>
        <item x="8"/>
        <item x="612"/>
        <item x="793"/>
        <item x="294"/>
        <item x="1081"/>
        <item x="62"/>
        <item x="1116"/>
        <item x="1198"/>
        <item x="1106"/>
        <item x="1434"/>
        <item x="1240"/>
        <item x="594"/>
        <item x="675"/>
        <item x="596"/>
        <item x="317"/>
        <item x="952"/>
        <item x="178"/>
        <item x="1022"/>
        <item x="369"/>
        <item x="177"/>
        <item x="613"/>
        <item x="264"/>
        <item x="81"/>
        <item x="1120"/>
        <item x="322"/>
        <item x="685"/>
        <item x="261"/>
        <item x="854"/>
        <item x="599"/>
        <item x="721"/>
        <item x="239"/>
        <item x="677"/>
        <item x="140"/>
        <item x="95"/>
        <item x="631"/>
        <item x="961"/>
        <item x="503"/>
        <item x="496"/>
        <item x="744"/>
        <item x="480"/>
        <item x="1308"/>
        <item x="330"/>
        <item x="1416"/>
        <item x="218"/>
        <item x="1369"/>
        <item x="1006"/>
        <item x="407"/>
        <item x="452"/>
        <item x="146"/>
        <item x="1424"/>
        <item x="787"/>
        <item x="413"/>
        <item x="476"/>
        <item x="694"/>
        <item x="221"/>
        <item x="921"/>
        <item x="386"/>
        <item x="121"/>
        <item x="424"/>
        <item x="1417"/>
        <item x="762"/>
        <item x="235"/>
        <item x="99"/>
        <item x="379"/>
        <item x="31"/>
        <item x="771"/>
        <item x="1172"/>
        <item x="665"/>
        <item x="1357"/>
        <item x="1322"/>
        <item x="208"/>
        <item x="351"/>
        <item x="568"/>
        <item x="1089"/>
        <item x="698"/>
        <item x="161"/>
        <item x="457"/>
        <item x="609"/>
        <item x="491"/>
        <item x="1293"/>
        <item x="298"/>
        <item x="109"/>
        <item x="556"/>
        <item x="1104"/>
        <item x="36"/>
        <item x="262"/>
        <item x="180"/>
        <item x="396"/>
        <item x="614"/>
        <item x="683"/>
        <item x="671"/>
        <item x="953"/>
        <item x="770"/>
        <item x="831"/>
        <item x="4"/>
        <item x="119"/>
        <item x="825"/>
        <item x="1292"/>
        <item x="607"/>
        <item x="706"/>
        <item x="114"/>
        <item x="901"/>
        <item x="627"/>
        <item x="884"/>
        <item x="254"/>
        <item x="1370"/>
        <item x="525"/>
        <item x="915"/>
        <item x="263"/>
        <item x="995"/>
        <item x="1137"/>
        <item x="873"/>
        <item x="1186"/>
        <item x="1047"/>
        <item x="686"/>
        <item x="266"/>
        <item x="509"/>
        <item x="1248"/>
        <item x="758"/>
        <item x="602"/>
        <item x="1056"/>
        <item x="497"/>
        <item x="467"/>
        <item x="85"/>
        <item x="299"/>
        <item x="636"/>
        <item x="1173"/>
        <item x="132"/>
        <item x="1113"/>
        <item x="549"/>
        <item x="944"/>
        <item x="799"/>
        <item x="640"/>
        <item x="313"/>
        <item x="638"/>
        <item x="276"/>
        <item x="162"/>
        <item x="1111"/>
        <item x="856"/>
        <item x="1233"/>
        <item x="957"/>
        <item x="688"/>
        <item x="150"/>
        <item x="347"/>
        <item x="380"/>
        <item x="1230"/>
        <item x="426"/>
        <item x="737"/>
        <item x="814"/>
        <item x="891"/>
        <item x="105"/>
        <item x="890"/>
        <item x="1291"/>
        <item x="190"/>
        <item x="391"/>
        <item x="1346"/>
        <item x="1377"/>
        <item x="518"/>
        <item x="113"/>
        <item x="1352"/>
        <item x="751"/>
        <item x="1134"/>
        <item x="999"/>
        <item x="133"/>
        <item x="883"/>
        <item x="767"/>
        <item x="419"/>
        <item x="1154"/>
        <item x="725"/>
        <item x="201"/>
        <item x="357"/>
        <item x="1158"/>
        <item x="437"/>
        <item x="251"/>
        <item x="682"/>
        <item x="926"/>
        <item x="1033"/>
        <item x="666"/>
        <item x="1393"/>
        <item x="505"/>
        <item x="337"/>
        <item x="1362"/>
        <item x="316"/>
        <item x="1425"/>
        <item x="1041"/>
        <item x="1281"/>
        <item x="1182"/>
        <item x="348"/>
        <item x="647"/>
        <item x="37"/>
        <item x="1044"/>
        <item x="736"/>
        <item x="1283"/>
        <item x="360"/>
        <item x="1072"/>
        <item x="73"/>
        <item x="1438"/>
        <item x="863"/>
        <item x="708"/>
        <item x="980"/>
        <item x="765"/>
        <item x="230"/>
        <item x="504"/>
        <item x="229"/>
        <item x="70"/>
        <item x="240"/>
        <item x="523"/>
        <item x="524"/>
        <item x="598"/>
        <item x="966"/>
        <item x="334"/>
        <item x="292"/>
        <item x="1268"/>
        <item x="1161"/>
        <item x="538"/>
        <item x="406"/>
        <item x="388"/>
        <item x="1023"/>
        <item x="243"/>
        <item x="730"/>
        <item x="573"/>
        <item x="806"/>
        <item x="104"/>
        <item x="1065"/>
        <item x="25"/>
        <item x="1146"/>
        <item x="853"/>
        <item x="30"/>
        <item x="189"/>
        <item x="989"/>
        <item x="186"/>
        <item x="579"/>
        <item x="1367"/>
        <item x="244"/>
        <item x="589"/>
        <item x="370"/>
        <item x="1235"/>
        <item x="886"/>
        <item x="1295"/>
        <item x="393"/>
        <item x="811"/>
        <item x="308"/>
        <item x="185"/>
        <item x="1048"/>
        <item x="454"/>
        <item x="1159"/>
        <item x="1215"/>
        <item x="974"/>
        <item x="490"/>
        <item x="1124"/>
        <item x="1049"/>
        <item x="519"/>
        <item x="268"/>
        <item x="1141"/>
        <item x="937"/>
        <item x="61"/>
        <item x="885"/>
        <item x="962"/>
        <item x="1013"/>
        <item x="570"/>
        <item x="1391"/>
        <item x="839"/>
        <item x="1038"/>
        <item x="687"/>
        <item x="45"/>
        <item x="382"/>
        <item x="1376"/>
        <item x="475"/>
        <item x="1100"/>
        <item x="363"/>
        <item x="954"/>
        <item x="75"/>
        <item x="1420"/>
        <item x="907"/>
        <item x="1406"/>
        <item x="1045"/>
        <item x="670"/>
        <item x="1338"/>
        <item x="1435"/>
        <item x="540"/>
        <item x="664"/>
        <item x="318"/>
        <item x="154"/>
        <item x="1364"/>
        <item x="1353"/>
        <item x="1207"/>
        <item x="310"/>
        <item x="1007"/>
        <item x="362"/>
        <item x="1214"/>
        <item x="715"/>
        <item x="655"/>
        <item x="724"/>
        <item x="608"/>
        <item x="732"/>
        <item x="828"/>
        <item x="1421"/>
        <item x="460"/>
        <item x="1349"/>
        <item x="864"/>
        <item x="1143"/>
        <item x="1107"/>
        <item x="344"/>
        <item x="1058"/>
        <item x="1288"/>
        <item x="529"/>
        <item x="1321"/>
        <item x="1053"/>
        <item x="138"/>
        <item x="375"/>
        <item x="734"/>
        <item x="1108"/>
        <item x="1153"/>
        <item x="1126"/>
        <item x="1373"/>
        <item x="501"/>
        <item x="1225"/>
        <item x="128"/>
        <item x="790"/>
        <item x="430"/>
        <item x="77"/>
        <item x="39"/>
        <item x="137"/>
        <item x="1160"/>
        <item x="792"/>
        <item x="764"/>
        <item x="461"/>
        <item x="1347"/>
        <item x="564"/>
        <item x="1060"/>
        <item x="116"/>
        <item x="12"/>
        <item x="558"/>
        <item x="543"/>
        <item x="562"/>
        <item x="1165"/>
        <item x="191"/>
        <item x="303"/>
        <item x="581"/>
        <item x="968"/>
        <item x="667"/>
        <item x="611"/>
        <item x="416"/>
        <item x="1327"/>
        <item x="459"/>
        <item x="214"/>
        <item x="870"/>
        <item x="269"/>
        <item x="20"/>
        <item x="1261"/>
        <item x="96"/>
        <item x="1432"/>
        <item x="1218"/>
        <item x="950"/>
        <item x="1147"/>
        <item x="50"/>
        <item x="948"/>
        <item x="703"/>
        <item x="1144"/>
        <item x="803"/>
        <item x="1219"/>
        <item x="1285"/>
        <item x="1092"/>
        <item x="642"/>
        <item x="740"/>
        <item x="1226"/>
        <item x="628"/>
        <item x="753"/>
        <item x="934"/>
        <item x="1008"/>
        <item x="249"/>
        <item x="726"/>
        <item x="1398"/>
        <item x="1099"/>
        <item x="431"/>
        <item x="550"/>
        <item x="76"/>
        <item x="795"/>
        <item x="1128"/>
        <item x="53"/>
        <item x="1273"/>
        <item x="130"/>
        <item x="300"/>
        <item x="597"/>
        <item x="1020"/>
        <item x="97"/>
        <item x="1278"/>
        <item x="1136"/>
        <item x="64"/>
        <item x="257"/>
        <item x="1026"/>
        <item x="1223"/>
        <item x="733"/>
        <item x="720"/>
        <item x="1063"/>
        <item x="738"/>
        <item x="1151"/>
        <item x="0"/>
        <item x="809"/>
        <item x="236"/>
        <item x="1021"/>
        <item x="1090"/>
        <item x="304"/>
        <item x="833"/>
        <item x="781"/>
        <item x="247"/>
        <item x="1221"/>
        <item x="673"/>
        <item x="1340"/>
        <item x="194"/>
        <item x="928"/>
        <item x="606"/>
        <item x="401"/>
        <item x="1105"/>
        <item x="777"/>
        <item x="1087"/>
        <item x="3"/>
        <item x="821"/>
        <item x="823"/>
        <item x="1010"/>
        <item x="895"/>
        <item x="865"/>
        <item x="98"/>
        <item x="1197"/>
        <item x="1385"/>
        <item x="824"/>
        <item x="1202"/>
        <item x="1031"/>
        <item x="1015"/>
        <item x="717"/>
        <item x="761"/>
        <item x="1409"/>
        <item x="1067"/>
        <item x="535"/>
        <item x="288"/>
        <item x="779"/>
        <item x="1242"/>
        <item x="394"/>
        <item x="659"/>
        <item x="494"/>
        <item x="301"/>
        <item x="287"/>
        <item x="909"/>
        <item x="332"/>
        <item x="567"/>
        <item x="584"/>
        <item x="527"/>
        <item x="575"/>
        <item x="1397"/>
        <item x="212"/>
        <item x="32"/>
        <item x="994"/>
        <item x="910"/>
        <item x="969"/>
        <item x="923"/>
        <item x="1037"/>
        <item x="499"/>
        <item x="813"/>
        <item x="1057"/>
        <item x="10"/>
        <item x="808"/>
        <item x="1201"/>
        <item x="1130"/>
        <item x="1232"/>
        <item x="422"/>
        <item x="1076"/>
        <item x="485"/>
        <item x="867"/>
        <item x="74"/>
        <item x="1094"/>
        <item x="663"/>
        <item x="835"/>
        <item x="1231"/>
        <item x="1290"/>
        <item x="754"/>
        <item x="418"/>
        <item x="690"/>
        <item x="812"/>
        <item x="384"/>
        <item x="435"/>
        <item x="804"/>
        <item x="63"/>
        <item x="1329"/>
        <item x="882"/>
        <item x="827"/>
        <item x="1210"/>
        <item x="654"/>
        <item x="572"/>
        <item x="929"/>
        <item x="1415"/>
        <item x="80"/>
        <item x="905"/>
        <item x="197"/>
        <item x="278"/>
        <item x="975"/>
        <item x="1410"/>
        <item x="1043"/>
        <item x="988"/>
        <item x="997"/>
        <item x="71"/>
        <item x="616"/>
        <item x="548"/>
        <item x="881"/>
        <item x="1205"/>
        <item x="158"/>
        <item x="623"/>
        <item x="153"/>
        <item x="444"/>
        <item x="955"/>
        <item x="450"/>
        <item x="800"/>
        <item x="1244"/>
        <item x="1418"/>
        <item x="420"/>
        <item x="1085"/>
        <item x="544"/>
        <item x="1335"/>
        <item x="483"/>
        <item x="849"/>
        <item x="84"/>
        <item x="285"/>
        <item x="832"/>
        <item x="342"/>
        <item x="1258"/>
        <item x="710"/>
        <item x="696"/>
        <item x="701"/>
        <item x="1315"/>
        <item x="125"/>
        <item x="489"/>
        <item x="844"/>
        <item x="1187"/>
        <item x="192"/>
        <item x="1400"/>
        <item x="1062"/>
        <item x="852"/>
        <item x="1209"/>
        <item x="526"/>
        <item x="364"/>
        <item x="941"/>
        <item x="1176"/>
        <item x="940"/>
        <item x="1179"/>
        <item x="1193"/>
        <item x="1117"/>
        <item x="1050"/>
        <item x="1305"/>
        <item x="757"/>
        <item x="486"/>
        <item x="111"/>
        <item x="1344"/>
        <item x="22"/>
        <item x="1070"/>
        <item x="282"/>
        <item x="256"/>
        <item x="136"/>
        <item x="34"/>
        <item x="713"/>
        <item x="443"/>
        <item x="16"/>
        <item x="220"/>
        <item x="658"/>
        <item x="1204"/>
        <item x="768"/>
        <item x="160"/>
        <item x="816"/>
        <item x="473"/>
        <item x="242"/>
        <item x="458"/>
        <item x="1366"/>
        <item x="440"/>
        <item x="129"/>
        <item x="327"/>
        <item x="1190"/>
        <item x="309"/>
        <item x="887"/>
        <item x="617"/>
        <item x="1345"/>
        <item x="1140"/>
        <item x="582"/>
        <item x="341"/>
        <item x="346"/>
        <item x="439"/>
        <item x="1122"/>
        <item x="1394"/>
        <item x="366"/>
        <item x="845"/>
        <item x="837"/>
        <item x="893"/>
        <item x="1379"/>
        <item x="1380"/>
        <item x="183"/>
        <item x="978"/>
        <item x="644"/>
        <item x="1427"/>
        <item x="58"/>
        <item x="1306"/>
        <item x="735"/>
        <item x="35"/>
        <item x="1102"/>
        <item x="662"/>
        <item x="383"/>
        <item x="1098"/>
        <item x="866"/>
        <item x="532"/>
        <item x="593"/>
        <item x="956"/>
        <item x="1276"/>
        <item x="1083"/>
        <item x="1004"/>
        <item x="1073"/>
        <item x="24"/>
        <item x="1183"/>
        <item x="745"/>
        <item x="173"/>
        <item x="539"/>
        <item x="29"/>
        <item x="414"/>
        <item x="350"/>
        <item x="939"/>
        <item x="48"/>
        <item x="711"/>
        <item x="603"/>
        <item x="626"/>
        <item x="365"/>
        <item x="868"/>
        <item x="115"/>
        <item x="510"/>
        <item x="874"/>
        <item x="83"/>
        <item x="321"/>
        <item x="1156"/>
        <item x="1255"/>
        <item x="1390"/>
        <item x="993"/>
        <item x="657"/>
        <item x="372"/>
        <item x="942"/>
        <item x="1068"/>
        <item x="68"/>
        <item x="226"/>
        <item x="1164"/>
        <item x="648"/>
        <item x="1150"/>
        <item x="931"/>
        <item x="807"/>
        <item x="326"/>
        <item x="936"/>
        <item x="108"/>
        <item x="1034"/>
        <item x="260"/>
        <item x="1001"/>
        <item x="1266"/>
        <item x="171"/>
        <item x="546"/>
        <item x="238"/>
        <item x="1241"/>
        <item x="94"/>
        <item x="206"/>
        <item x="605"/>
        <item x="879"/>
        <item x="766"/>
        <item x="672"/>
        <item x="1189"/>
        <item x="338"/>
        <item x="1131"/>
        <item x="973"/>
        <item x="166"/>
        <item x="1174"/>
        <item x="927"/>
        <item x="433"/>
        <item x="19"/>
        <item x="468"/>
        <item x="42"/>
        <item x="789"/>
        <item x="498"/>
        <item x="464"/>
        <item x="1228"/>
        <item x="442"/>
        <item x="470"/>
        <item x="1419"/>
        <item x="1330"/>
        <item x="676"/>
        <item x="223"/>
        <item x="15"/>
        <item x="508"/>
        <item x="1312"/>
        <item x="712"/>
        <item x="259"/>
        <item x="563"/>
        <item x="748"/>
        <item x="619"/>
        <item x="1437"/>
        <item x="639"/>
        <item x="33"/>
        <item x="479"/>
        <item x="1270"/>
        <item x="861"/>
        <item x="551"/>
        <item x="1374"/>
        <item x="1392"/>
        <item x="124"/>
        <item x="707"/>
        <item x="1320"/>
        <item x="1096"/>
        <item x="112"/>
        <item x="554"/>
        <item x="245"/>
        <item x="151"/>
        <item x="1407"/>
        <item x="1027"/>
        <item x="492"/>
        <item x="987"/>
        <item x="960"/>
        <item x="984"/>
        <item x="398"/>
        <item x="877"/>
        <item x="378"/>
        <item x="1079"/>
        <item x="815"/>
        <item x="1054"/>
        <item x="311"/>
        <item x="913"/>
        <item x="637"/>
        <item x="912"/>
        <item x="441"/>
        <item x="776"/>
        <item x="872"/>
        <item x="1030"/>
        <item x="645"/>
        <item x="1166"/>
        <item x="801"/>
        <item x="258"/>
        <item x="1138"/>
        <item x="791"/>
        <item x="822"/>
        <item x="1433"/>
        <item x="449"/>
        <item x="1307"/>
        <item x="1413"/>
        <item x="325"/>
        <item x="515"/>
        <item x="797"/>
        <item x="876"/>
        <item x="1125"/>
        <item x="983"/>
        <item x="423"/>
        <item x="134"/>
        <item x="1012"/>
        <item x="1110"/>
        <item x="992"/>
        <item x="400"/>
        <item x="600"/>
        <item x="456"/>
        <item x="1066"/>
        <item x="1029"/>
        <item x="340"/>
        <item x="1287"/>
        <item x="314"/>
        <item x="991"/>
        <item x="1324"/>
        <item x="272"/>
        <item x="1303"/>
        <item x="1211"/>
        <item x="1115"/>
        <item x="28"/>
        <item x="1203"/>
        <item x="222"/>
        <item x="1282"/>
        <item x="355"/>
        <item x="947"/>
        <item x="1103"/>
        <item x="88"/>
        <item x="246"/>
        <item x="65"/>
        <item x="18"/>
        <item x="157"/>
        <item x="1358"/>
        <item x="196"/>
        <item x="595"/>
        <item x="296"/>
        <item x="51"/>
        <item x="1253"/>
        <item x="897"/>
        <item x="1333"/>
        <item x="836"/>
        <item x="198"/>
        <item x="979"/>
        <item x="1348"/>
        <item x="1119"/>
        <item x="571"/>
        <item x="159"/>
        <item x="1403"/>
        <item x="1185"/>
        <item x="155"/>
        <item x="1145"/>
        <item x="1372"/>
        <item x="959"/>
        <item x="100"/>
        <item x="1224"/>
        <item x="371"/>
        <item x="93"/>
        <item x="1365"/>
        <item x="1332"/>
        <item x="231"/>
        <item x="89"/>
        <item x="284"/>
        <item x="818"/>
        <item x="1135"/>
        <item x="1084"/>
        <item x="1260"/>
        <item x="7"/>
        <item x="448"/>
        <item x="376"/>
        <item x="1412"/>
        <item x="265"/>
        <item x="203"/>
        <item x="1280"/>
        <item x="1234"/>
        <item x="858"/>
        <item x="547"/>
        <item x="998"/>
        <item x="1195"/>
        <item x="786"/>
        <item x="1331"/>
        <item x="57"/>
        <item x="211"/>
        <item x="487"/>
        <item x="967"/>
        <item x="709"/>
        <item x="1272"/>
        <item x="900"/>
        <item x="255"/>
        <item x="718"/>
        <item x="1289"/>
        <item x="474"/>
        <item x="1002"/>
        <item x="481"/>
        <item x="1381"/>
        <item x="1239"/>
        <item x="972"/>
        <item x="1414"/>
        <item x="202"/>
        <item x="938"/>
        <item x="46"/>
        <item x="747"/>
        <item x="465"/>
        <item x="1354"/>
        <item x="1213"/>
        <item x="182"/>
        <item x="697"/>
        <item x="1123"/>
        <item x="270"/>
        <item x="82"/>
        <item x="511"/>
        <item x="521"/>
        <item x="916"/>
        <item x="1355"/>
        <item x="583"/>
        <item x="1386"/>
        <item x="727"/>
        <item x="1040"/>
        <item x="144"/>
        <item x="215"/>
        <item x="395"/>
        <item x="290"/>
        <item x="1422"/>
        <item x="1017"/>
        <item x="289"/>
        <item x="1206"/>
        <item x="478"/>
        <item x="1014"/>
        <item x="1109"/>
        <item x="785"/>
        <item x="349"/>
        <item x="5"/>
        <item x="1212"/>
        <item x="802"/>
        <item x="1184"/>
        <item x="126"/>
        <item x="723"/>
        <item x="293"/>
        <item x="47"/>
        <item x="23"/>
        <item x="1318"/>
        <item x="11"/>
        <item x="241"/>
        <item x="170"/>
        <item x="1170"/>
        <item x="788"/>
        <item x="1121"/>
        <item x="281"/>
        <item x="878"/>
        <item x="323"/>
        <item x="253"/>
        <item x="421"/>
        <item x="52"/>
        <item x="207"/>
        <item x="500"/>
        <item x="534"/>
        <item x="1297"/>
        <item x="516"/>
        <item x="1091"/>
        <item x="871"/>
        <item x="343"/>
        <item x="410"/>
        <item x="1061"/>
        <item x="902"/>
        <item x="6"/>
        <item x="405"/>
        <item x="120"/>
        <item x="291"/>
        <item x="681"/>
        <item x="1309"/>
        <item x="780"/>
        <item x="446"/>
        <item x="1095"/>
        <item x="141"/>
        <item x="117"/>
        <item x="810"/>
        <item x="1246"/>
        <item x="1399"/>
        <item x="1019"/>
        <item x="739"/>
        <item x="466"/>
        <item x="925"/>
        <item x="472"/>
        <item x="653"/>
        <item x="1274"/>
        <item x="110"/>
        <item x="528"/>
        <item x="1264"/>
        <item x="1032"/>
        <item x="41"/>
        <item x="977"/>
        <item x="1384"/>
        <item x="1078"/>
        <item x="1277"/>
        <item x="1402"/>
        <item x="390"/>
        <item x="918"/>
        <item x="982"/>
        <item x="862"/>
        <item x="353"/>
        <item x="749"/>
        <item x="838"/>
        <item x="1036"/>
        <item x="1262"/>
        <item x="234"/>
        <item x="200"/>
        <item x="772"/>
        <item x="826"/>
        <item x="1005"/>
        <item x="1028"/>
        <item x="213"/>
        <item x="1396"/>
        <item x="148"/>
        <item x="306"/>
        <item x="946"/>
        <item x="630"/>
        <item x="1328"/>
        <item x="354"/>
        <item x="830"/>
        <item x="224"/>
        <item x="1237"/>
        <item x="389"/>
        <item x="1052"/>
        <item x="924"/>
        <item x="1302"/>
        <item x="1042"/>
        <item x="1194"/>
        <item x="678"/>
        <item x="896"/>
        <item x="469"/>
        <item x="651"/>
        <item x="184"/>
        <item x="1356"/>
        <item x="911"/>
        <item x="729"/>
        <item x="1325"/>
        <item x="669"/>
        <item x="517"/>
        <item x="90"/>
        <item x="54"/>
        <item x="716"/>
        <item x="359"/>
        <item x="580"/>
        <item x="227"/>
        <item x="622"/>
        <item x="769"/>
        <item x="1430"/>
        <item x="436"/>
        <item x="621"/>
        <item x="1024"/>
        <item x="919"/>
        <item x="898"/>
        <item x="588"/>
        <item x="1326"/>
        <item x="139"/>
        <item x="56"/>
        <item x="493"/>
        <item x="943"/>
        <item x="228"/>
        <item x="1368"/>
        <item x="633"/>
        <item x="932"/>
        <item x="719"/>
        <item x="1097"/>
        <item x="817"/>
        <item x="502"/>
        <item x="295"/>
        <item x="2"/>
        <item x="1375"/>
        <item x="1114"/>
        <item x="625"/>
        <item x="169"/>
        <item x="339"/>
        <item x="965"/>
        <item x="204"/>
        <item x="903"/>
        <item x="305"/>
        <item x="315"/>
        <item x="576"/>
        <item x="585"/>
        <item x="1439"/>
        <item x="1256"/>
        <item x="1039"/>
        <item x="635"/>
        <item x="1319"/>
        <item x="319"/>
        <item x="175"/>
        <item x="1296"/>
        <item x="233"/>
        <item x="820"/>
        <item x="1075"/>
        <item x="275"/>
        <item x="135"/>
        <item x="1229"/>
        <item x="216"/>
        <item x="542"/>
        <item x="661"/>
        <item x="652"/>
        <item x="1175"/>
        <item x="1404"/>
        <item x="1401"/>
        <item x="1208"/>
        <item x="620"/>
        <item x="1101"/>
        <item x="1300"/>
        <item x="87"/>
        <item x="783"/>
        <item x="429"/>
        <item x="1180"/>
        <item x="17"/>
        <item x="920"/>
        <item x="217"/>
        <item x="149"/>
        <item x="179"/>
        <item x="91"/>
        <item x="38"/>
        <item x="949"/>
        <item x="775"/>
        <item x="164"/>
        <item x="176"/>
        <item x="1286"/>
        <item x="557"/>
        <item x="796"/>
        <item x="1035"/>
        <item x="118"/>
        <item x="964"/>
        <item x="610"/>
        <item x="1077"/>
        <item x="392"/>
        <item x="1387"/>
        <item x="252"/>
        <item x="755"/>
        <item x="859"/>
        <item x="122"/>
        <item x="763"/>
        <item x="1152"/>
        <item x="1162"/>
        <item x="784"/>
        <item x="336"/>
        <item x="1247"/>
        <item x="656"/>
        <item x="367"/>
        <item x="746"/>
        <item x="1196"/>
        <item x="981"/>
        <item x="1310"/>
        <item x="756"/>
        <item x="819"/>
        <item x="512"/>
        <item x="578"/>
        <item x="990"/>
        <item x="152"/>
        <item x="267"/>
        <item x="566"/>
        <item x="447"/>
        <item x="559"/>
        <item x="1323"/>
        <item x="904"/>
        <item x="1317"/>
        <item x="1"/>
        <item x="495"/>
        <item x="829"/>
        <item x="248"/>
        <item x="971"/>
        <item x="506"/>
        <item x="1178"/>
        <item x="700"/>
        <item x="451"/>
        <item x="1371"/>
        <item x="404"/>
        <item x="385"/>
        <item x="1025"/>
        <item x="985"/>
        <item x="44"/>
        <item x="840"/>
        <item x="72"/>
        <item x="237"/>
        <item x="273"/>
        <item x="774"/>
        <item x="101"/>
        <item x="1363"/>
        <item x="1016"/>
        <item x="1359"/>
        <item x="1411"/>
        <item x="331"/>
        <item x="880"/>
        <item x="488"/>
        <item x="587"/>
        <item x="976"/>
        <item x="684"/>
        <item x="530"/>
        <item x="552"/>
        <item x="1082"/>
        <item x="1069"/>
        <item x="1009"/>
        <item x="618"/>
        <item x="143"/>
        <item x="181"/>
        <item x="123"/>
        <item x="945"/>
        <item x="225"/>
        <item x="1361"/>
        <item x="335"/>
        <item x="482"/>
        <item x="1265"/>
        <item x="1267"/>
        <item x="428"/>
        <item x="798"/>
        <item x="1192"/>
        <item x="210"/>
        <item x="1080"/>
        <item x="577"/>
        <item x="374"/>
        <item x="60"/>
        <item x="187"/>
        <item x="889"/>
        <item x="1139"/>
        <item x="174"/>
        <item x="1000"/>
        <item x="917"/>
        <item x="935"/>
        <item x="560"/>
        <item x="1216"/>
        <item x="1064"/>
        <item x="477"/>
        <item x="205"/>
        <item x="67"/>
        <item x="537"/>
        <item x="427"/>
        <item x="55"/>
        <item x="333"/>
        <item x="455"/>
        <item x="922"/>
        <item x="471"/>
        <item x="1155"/>
        <item x="399"/>
        <item x="69"/>
        <item x="1301"/>
        <item x="415"/>
        <item x="43"/>
        <item x="680"/>
        <item x="860"/>
        <item x="1168"/>
        <item x="271"/>
        <item x="1191"/>
        <item x="402"/>
        <item x="752"/>
        <item x="280"/>
        <item x="951"/>
        <item x="1167"/>
        <item x="750"/>
        <item x="996"/>
        <item x="778"/>
        <item x="1336"/>
        <item x="1169"/>
        <item x="163"/>
        <item x="250"/>
        <item x="1245"/>
        <item x="66"/>
        <item x="408"/>
        <item x="188"/>
        <item x="1388"/>
        <item x="438"/>
        <item x="92"/>
        <item x="679"/>
        <item x="462"/>
        <item x="167"/>
        <item x="522"/>
        <item x="1200"/>
        <item x="59"/>
        <item x="722"/>
        <item x="1220"/>
        <item x="145"/>
        <item x="302"/>
        <item x="409"/>
        <item x="565"/>
        <item x="297"/>
        <item x="649"/>
        <item x="445"/>
        <item x="1279"/>
        <item x="1227"/>
        <item x="1071"/>
        <item x="531"/>
        <item x="805"/>
        <item x="643"/>
        <item x="561"/>
        <item x="1249"/>
        <item x="1018"/>
        <item x="894"/>
        <item x="914"/>
        <item x="411"/>
        <item x="1086"/>
        <item x="1350"/>
        <item x="1236"/>
        <item x="888"/>
        <item x="629"/>
        <item x="689"/>
        <item x="875"/>
        <item x="1271"/>
        <item x="127"/>
        <item x="209"/>
        <item x="507"/>
        <item x="1238"/>
        <item x="1243"/>
        <item x="1313"/>
        <item x="908"/>
        <item x="1360"/>
        <item x="27"/>
        <item x="892"/>
        <item x="1129"/>
        <item x="1177"/>
        <item x="843"/>
        <item x="1251"/>
        <item x="1252"/>
        <item x="434"/>
        <item x="586"/>
        <item x="545"/>
        <item x="1163"/>
        <item x="742"/>
        <item x="356"/>
        <item x="1157"/>
        <item x="1343"/>
        <item x="1217"/>
        <item x="1254"/>
        <item x="425"/>
        <item x="1382"/>
        <item x="1337"/>
        <item x="632"/>
        <item x="320"/>
        <item x="933"/>
        <item x="1199"/>
        <item x="1341"/>
        <item x="569"/>
        <item x="352"/>
        <item x="26"/>
        <item x="219"/>
        <item x="49"/>
        <item x="1275"/>
        <item x="147"/>
        <item x="1378"/>
        <item x="691"/>
        <item x="40"/>
        <item x="604"/>
        <item x="1408"/>
        <item x="553"/>
        <item x="381"/>
        <item x="403"/>
        <item x="728"/>
        <item x="846"/>
        <item x="1259"/>
        <item x="312"/>
        <item x="743"/>
        <item x="1269"/>
        <item x="1250"/>
        <item x="1339"/>
        <item x="1405"/>
        <item x="1133"/>
        <item x="592"/>
        <item x="21"/>
        <item x="601"/>
        <item x="1127"/>
        <item x="615"/>
        <item x="165"/>
        <item x="660"/>
        <item x="1222"/>
        <item x="453"/>
        <item x="699"/>
        <item x="536"/>
        <item x="1148"/>
        <item x="1299"/>
        <item x="834"/>
        <item x="232"/>
        <item x="869"/>
        <item x="1074"/>
        <item x="14"/>
        <item x="1059"/>
        <item x="361"/>
        <item x="484"/>
        <item x="668"/>
        <item x="329"/>
        <item x="156"/>
        <item x="345"/>
        <item x="1263"/>
        <item x="847"/>
        <item x="1314"/>
        <item x="1431"/>
        <item x="107"/>
        <item x="1093"/>
        <item x="417"/>
        <item x="1426"/>
        <item x="760"/>
        <item x="131"/>
        <item x="1171"/>
        <item x="1389"/>
        <item x="541"/>
        <item x="773"/>
        <item x="1088"/>
        <item x="650"/>
        <item x="103"/>
        <item x="1257"/>
        <item x="692"/>
        <item x="705"/>
        <item x="693"/>
        <item x="634"/>
        <item x="851"/>
        <item x="1428"/>
        <item x="432"/>
        <item x="1342"/>
        <item x="674"/>
        <item x="857"/>
        <item x="514"/>
      </items>
    </pivotField>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dataField="1" compact="0" numFmtId="4" outline="0" showAll="0" defaultSubtotal="0"/>
    <pivotField compact="0" numFmtId="165" outline="0" showAll="0" defaultSubtotal="0"/>
    <pivotField compact="0" outline="0" showAll="0" defaultSubtotal="0"/>
    <pivotField compact="0" outline="0" showAll="0" defaultSubtotal="0">
      <items count="12">
        <item x="0"/>
        <item x="1"/>
        <item x="2"/>
        <item x="3"/>
        <item x="4"/>
        <item x="5"/>
        <item x="6"/>
        <item x="7"/>
        <item x="8"/>
        <item x="9"/>
        <item x="10"/>
        <item x="11"/>
      </items>
    </pivotField>
    <pivotField compact="0" outline="0" showAll="0" defaultSubtotal="0">
      <items count="12">
        <item x="0"/>
        <item x="1"/>
        <item x="2"/>
        <item x="3"/>
        <item x="4"/>
        <item x="5"/>
        <item x="6"/>
        <item x="7"/>
        <item x="8"/>
        <item x="9"/>
        <item x="10"/>
        <item x="11"/>
      </items>
    </pivotField>
    <pivotField compact="0" outline="0" subtotalTop="0" showAll="0" defaultSubtotal="0">
      <items count="2">
        <item x="0"/>
        <item x="1"/>
      </items>
    </pivotField>
  </pivotFields>
  <rowFields count="1">
    <field x="4"/>
  </rowFields>
  <rowItems count="6">
    <i>
      <x/>
    </i>
    <i>
      <x v="1"/>
    </i>
    <i>
      <x v="2"/>
    </i>
    <i>
      <x v="3"/>
    </i>
    <i>
      <x v="4"/>
    </i>
    <i>
      <x v="5"/>
    </i>
  </rowItems>
  <colItems count="1">
    <i/>
  </colItems>
  <dataFields count="1">
    <dataField name="Sum of Net_Profit" fld="20" baseField="0" baseItem="0" numFmtId="4"/>
  </dataFields>
  <chartFormats count="1">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4D45F06-2C95-4C0B-BB4B-C6112C2D29B7}" name="PivotTable17" cacheId="15"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compact="0" compactData="0" multipleFieldFilters="0">
  <location ref="E67:F69" firstHeaderRow="1" firstDataRow="1" firstDataCol="1"/>
  <pivotFields count="26">
    <pivotField compact="0" numFmtId="164" outline="0" showAll="0" defaultSubtotal="0"/>
    <pivotField compact="0" outline="0" showAll="0" defaultSubtotal="0"/>
    <pivotField compact="0" outline="0" showAll="0" defaultSubtotal="0"/>
    <pivotField compact="0" outline="0" showAll="0" defaultSubtotal="0"/>
    <pivotField compact="0" outline="0" showAll="0" defaultSubtotal="0">
      <items count="6">
        <item x="0"/>
        <item x="3"/>
        <item x="5"/>
        <item x="2"/>
        <item x="1"/>
        <item x="4"/>
      </items>
    </pivotField>
    <pivotField compact="0" outline="0" showAll="0" defaultSubtotal="0"/>
    <pivotField compact="0" outline="0" showAll="0" defaultSubtotal="0"/>
    <pivotField compact="0" outline="0" showAll="0" defaultSubtotal="0"/>
    <pivotField compact="0"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dataField="1"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165" outline="0" showAll="0" defaultSubtotal="0"/>
    <pivotField compact="0" outline="0" showAll="0" defaultSubtotal="0"/>
    <pivotField compact="0" outline="0" showAll="0" defaultSubtotal="0">
      <items count="12">
        <item x="0"/>
        <item x="1"/>
        <item x="2"/>
        <item x="3"/>
        <item x="4"/>
        <item x="5"/>
        <item x="6"/>
        <item x="7"/>
        <item x="8"/>
        <item x="9"/>
        <item x="10"/>
        <item x="11"/>
      </items>
    </pivotField>
    <pivotField compact="0" outline="0" showAll="0" defaultSubtotal="0">
      <items count="12">
        <item x="0"/>
        <item x="1"/>
        <item x="2"/>
        <item x="3"/>
        <item x="4"/>
        <item x="5"/>
        <item x="6"/>
        <item x="7"/>
        <item x="8"/>
        <item x="9"/>
        <item x="10"/>
        <item x="11"/>
      </items>
    </pivotField>
    <pivotField axis="axisRow" compact="0" outline="0" subtotalTop="0" showAll="0" defaultSubtotal="0">
      <items count="2">
        <item x="0"/>
        <item x="1"/>
      </items>
    </pivotField>
  </pivotFields>
  <rowFields count="1">
    <field x="25"/>
  </rowFields>
  <rowItems count="2">
    <i>
      <x/>
    </i>
    <i>
      <x v="1"/>
    </i>
  </rowItems>
  <colItems count="1">
    <i/>
  </colItems>
  <dataFields count="1">
    <dataField name="Sum of Product_Cost" fld="13" baseField="0" baseItem="0" numFmtId="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11DA6A2-23CD-4A99-99C6-43DF781BD42C}" name="PivotTable14" cacheId="15"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compact="0" compactData="0" multipleFieldFilters="0">
  <location ref="A67:B69" firstHeaderRow="1" firstDataRow="1" firstDataCol="1"/>
  <pivotFields count="26">
    <pivotField compact="0" numFmtId="164" outline="0" showAll="0" defaultSubtotal="0"/>
    <pivotField compact="0" outline="0" showAll="0" defaultSubtotal="0"/>
    <pivotField compact="0" outline="0" showAll="0" defaultSubtotal="0"/>
    <pivotField compact="0" outline="0" showAll="0" defaultSubtotal="0"/>
    <pivotField compact="0" outline="0" showAll="0" defaultSubtotal="0">
      <items count="6">
        <item x="0"/>
        <item x="3"/>
        <item x="5"/>
        <item x="2"/>
        <item x="1"/>
        <item x="4"/>
      </items>
    </pivotField>
    <pivotField compact="0" outline="0" showAll="0" defaultSubtotal="0"/>
    <pivotField compact="0" outline="0" showAll="0" defaultSubtotal="0"/>
    <pivotField compact="0" outline="0" showAll="0" defaultSubtotal="0"/>
    <pivotField dataField="1" compact="0"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165" outline="0" showAll="0" defaultSubtotal="0"/>
    <pivotField compact="0" outline="0" showAll="0" defaultSubtotal="0"/>
    <pivotField compact="0" outline="0" showAll="0" defaultSubtotal="0">
      <items count="12">
        <item x="0"/>
        <item x="1"/>
        <item x="2"/>
        <item x="3"/>
        <item x="4"/>
        <item x="5"/>
        <item x="6"/>
        <item x="7"/>
        <item x="8"/>
        <item x="9"/>
        <item x="10"/>
        <item x="11"/>
      </items>
    </pivotField>
    <pivotField compact="0" outline="0" showAll="0" defaultSubtotal="0">
      <items count="12">
        <item x="0"/>
        <item x="1"/>
        <item x="2"/>
        <item x="3"/>
        <item x="4"/>
        <item x="5"/>
        <item x="6"/>
        <item x="7"/>
        <item x="8"/>
        <item x="9"/>
        <item x="10"/>
        <item x="11"/>
      </items>
    </pivotField>
    <pivotField axis="axisRow" compact="0" outline="0" subtotalTop="0" showAll="0" defaultSubtotal="0">
      <items count="2">
        <item x="0"/>
        <item x="1"/>
      </items>
    </pivotField>
  </pivotFields>
  <rowFields count="1">
    <field x="25"/>
  </rowFields>
  <rowItems count="2">
    <i>
      <x/>
    </i>
    <i>
      <x v="1"/>
    </i>
  </rowItems>
  <colItems count="1">
    <i/>
  </colItems>
  <dataFields count="1">
    <dataField name="Sum of Quantity"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ADAFC37-05C0-4E87-8300-E2D9F930A916}" name="PivotTable8" cacheId="15"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compact="0" compactData="0" multipleFieldFilters="0" chartFormat="3">
  <location ref="F41:H53" firstHeaderRow="0" firstDataRow="1" firstDataCol="1"/>
  <pivotFields count="26">
    <pivotField compact="0" numFmtId="164" outline="0" showAll="0" defaultSubtotal="0">
      <items count="35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s>
    </pivotField>
    <pivotField compact="0" outline="0" showAll="0" defaultSubtotal="0"/>
    <pivotField compact="0" outline="0" showAll="0" defaultSubtotal="0"/>
    <pivotField compact="0" outline="0" showAll="0" defaultSubtotal="0"/>
    <pivotField compact="0" outline="0" showAll="0" defaultSubtotal="0">
      <items count="6">
        <item x="0"/>
        <item x="3"/>
        <item x="5"/>
        <item x="2"/>
        <item x="1"/>
        <item x="4"/>
      </items>
    </pivotField>
    <pivotField compact="0" outline="0" showAll="0" defaultSubtotal="0"/>
    <pivotField compact="0" outline="0" showAll="0" defaultSubtotal="0"/>
    <pivotField compact="0" outline="0" showAll="0" defaultSubtotal="0"/>
    <pivotField dataField="1" compact="0"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dataField="1" compact="0" numFmtId="4" outline="0" showAll="0" defaultSubtotal="0"/>
    <pivotField compact="0" numFmtId="165" outline="0" showAll="0" defaultSubtotal="0"/>
    <pivotField compact="0" outline="0" showAll="0" defaultSubtotal="0"/>
    <pivotField axis="axisRow" compact="0" outline="0" showAll="0" defaultSubtotal="0">
      <items count="12">
        <item x="0"/>
        <item x="1"/>
        <item x="2"/>
        <item x="3"/>
        <item x="4"/>
        <item x="5"/>
        <item x="6"/>
        <item x="7"/>
        <item x="8"/>
        <item x="9"/>
        <item x="10"/>
        <item x="11"/>
      </items>
    </pivotField>
    <pivotField compact="0" outline="0" showAll="0" defaultSubtotal="0">
      <items count="12">
        <item x="0"/>
        <item x="1"/>
        <item x="2"/>
        <item x="3"/>
        <item x="4"/>
        <item x="5"/>
        <item x="6"/>
        <item x="7"/>
        <item x="8"/>
        <item x="9"/>
        <item x="10"/>
        <item x="11"/>
      </items>
    </pivotField>
    <pivotField compact="0" outline="0" subtotalTop="0" showAll="0" defaultSubtotal="0">
      <items count="2">
        <item x="0"/>
        <item x="1"/>
      </items>
    </pivotField>
  </pivotFields>
  <rowFields count="1">
    <field x="23"/>
  </rowFields>
  <rowItems count="12">
    <i>
      <x/>
    </i>
    <i>
      <x v="1"/>
    </i>
    <i>
      <x v="2"/>
    </i>
    <i>
      <x v="3"/>
    </i>
    <i>
      <x v="4"/>
    </i>
    <i>
      <x v="5"/>
    </i>
    <i>
      <x v="6"/>
    </i>
    <i>
      <x v="7"/>
    </i>
    <i>
      <x v="8"/>
    </i>
    <i>
      <x v="9"/>
    </i>
    <i>
      <x v="10"/>
    </i>
    <i>
      <x v="11"/>
    </i>
  </rowItems>
  <colFields count="1">
    <field x="-2"/>
  </colFields>
  <colItems count="2">
    <i>
      <x/>
    </i>
    <i i="1">
      <x v="1"/>
    </i>
  </colItems>
  <dataFields count="2">
    <dataField name="Sum of Quantity" fld="8" baseField="0" baseItem="0"/>
    <dataField name="Sum of Net_Profit" fld="20" baseField="0" baseItem="0" numFmtId="4"/>
  </dataFields>
  <chartFormats count="2">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2806CE2-FDA1-4FC6-A476-4598EDFE8AED}" name="PivotTable12" cacheId="15"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compact="0" compactData="0" multipleFieldFilters="0">
  <location ref="A61:B63" firstHeaderRow="1" firstDataRow="1" firstDataCol="1"/>
  <pivotFields count="26">
    <pivotField compact="0" numFmtId="164" outline="0" showAll="0" defaultSubtotal="0"/>
    <pivotField compact="0" outline="0" showAll="0" defaultSubtotal="0"/>
    <pivotField compact="0" outline="0" showAll="0" defaultSubtotal="0"/>
    <pivotField compact="0" outline="0" showAll="0" defaultSubtotal="0"/>
    <pivotField compact="0" outline="0" showAll="0" defaultSubtotal="0">
      <items count="6">
        <item x="0"/>
        <item x="3"/>
        <item x="5"/>
        <item x="2"/>
        <item x="1"/>
        <item x="4"/>
      </items>
    </pivotField>
    <pivotField compact="0" outline="0" showAll="0" defaultSubtotal="0"/>
    <pivotField compact="0" outline="0" showAll="0" defaultSubtotal="0"/>
    <pivotField compact="0" outline="0" showAll="0" defaultSubtotal="0"/>
    <pivotField compact="0"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dataField="1" compact="0" numFmtId="4" outline="0" showAll="0" defaultSubtotal="0"/>
    <pivotField compact="0" numFmtId="165" outline="0" showAll="0" defaultSubtotal="0"/>
    <pivotField compact="0" outline="0" showAll="0" defaultSubtotal="0"/>
    <pivotField compact="0" outline="0" showAll="0" defaultSubtotal="0">
      <items count="12">
        <item x="0"/>
        <item x="1"/>
        <item x="2"/>
        <item x="3"/>
        <item x="4"/>
        <item x="5"/>
        <item x="6"/>
        <item x="7"/>
        <item x="8"/>
        <item x="9"/>
        <item x="10"/>
        <item x="11"/>
      </items>
    </pivotField>
    <pivotField compact="0" outline="0" showAll="0" defaultSubtotal="0">
      <items count="12">
        <item x="0"/>
        <item x="1"/>
        <item x="2"/>
        <item x="3"/>
        <item x="4"/>
        <item x="5"/>
        <item x="6"/>
        <item x="7"/>
        <item x="8"/>
        <item x="9"/>
        <item x="10"/>
        <item x="11"/>
      </items>
    </pivotField>
    <pivotField axis="axisRow" compact="0" outline="0" subtotalTop="0" showAll="0" defaultSubtotal="0">
      <items count="2">
        <item x="0"/>
        <item x="1"/>
      </items>
    </pivotField>
  </pivotFields>
  <rowFields count="1">
    <field x="25"/>
  </rowFields>
  <rowItems count="2">
    <i>
      <x/>
    </i>
    <i>
      <x v="1"/>
    </i>
  </rowItems>
  <colItems count="1">
    <i/>
  </colItems>
  <dataFields count="1">
    <dataField name="Sum of Net_Profit" fld="20" baseField="0" baseItem="0" numFmtId="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E3E6A78-1434-40F0-99B4-FDCDEECE30C2}" name="PivotTable10" cacheId="15" dataOnRows="1"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compact="0" compactData="0" multipleFieldFilters="0" chartFormat="3">
  <location ref="E31:G37" firstHeaderRow="1" firstDataRow="2" firstDataCol="1"/>
  <pivotFields count="26">
    <pivotField compact="0" numFmtId="164" outline="0" showAll="0" defaultSubtotal="0"/>
    <pivotField compact="0" outline="0" showAll="0" defaultSubtotal="0"/>
    <pivotField compact="0" outline="0" showAll="0" defaultSubtotal="0"/>
    <pivotField compact="0" outline="0" showAll="0" defaultSubtotal="0"/>
    <pivotField compact="0" outline="0" showAll="0" defaultSubtotal="0">
      <items count="6">
        <item x="0"/>
        <item x="3"/>
        <item x="5"/>
        <item x="2"/>
        <item x="1"/>
        <item x="4"/>
      </items>
    </pivotField>
    <pivotField compact="0" outline="0" showAll="0" defaultSubtotal="0"/>
    <pivotField compact="0" outline="0" showAll="0" defaultSubtotal="0"/>
    <pivotField compact="0" outline="0" showAll="0" defaultSubtotal="0"/>
    <pivotField compact="0"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dataField="1" compact="0" numFmtId="4" outline="0" showAll="0" defaultSubtotal="0"/>
    <pivotField dataField="1" compact="0" numFmtId="4" outline="0" showAll="0" defaultSubtotal="0"/>
    <pivotField dataField="1" compact="0" numFmtId="4" outline="0" showAll="0" defaultSubtotal="0"/>
    <pivotField dataField="1" compact="0" numFmtId="4" outline="0" showAll="0" defaultSubtotal="0"/>
    <pivotField dataField="1" compact="0" numFmtId="4" outline="0" showAll="0" defaultSubtotal="0"/>
    <pivotField compact="0" numFmtId="4" outline="0" showAll="0" defaultSubtotal="0"/>
    <pivotField compact="0" numFmtId="4" outline="0" showAll="0" defaultSubtotal="0"/>
    <pivotField compact="0" numFmtId="4" outline="0" showAll="0" defaultSubtotal="0"/>
    <pivotField compact="0" numFmtId="165" outline="0" showAll="0" defaultSubtotal="0"/>
    <pivotField compact="0" outline="0" showAll="0" defaultSubtotal="0"/>
    <pivotField compact="0" outline="0" showAll="0" defaultSubtotal="0">
      <items count="12">
        <item x="0"/>
        <item x="1"/>
        <item x="2"/>
        <item x="3"/>
        <item x="4"/>
        <item x="5"/>
        <item x="6"/>
        <item x="7"/>
        <item x="8"/>
        <item x="9"/>
        <item x="10"/>
        <item x="11"/>
      </items>
    </pivotField>
    <pivotField compact="0" outline="0" showAll="0" defaultSubtotal="0">
      <items count="12">
        <item x="0"/>
        <item x="1"/>
        <item x="2"/>
        <item x="3"/>
        <item x="4"/>
        <item x="5"/>
        <item x="6"/>
        <item x="7"/>
        <item x="8"/>
        <item x="9"/>
        <item x="10"/>
        <item x="11"/>
      </items>
    </pivotField>
    <pivotField axis="axisCol" compact="0" outline="0" subtotalTop="0" showAll="0" defaultSubtotal="0">
      <items count="2">
        <item x="0"/>
        <item x="1"/>
      </items>
    </pivotField>
  </pivotFields>
  <rowFields count="1">
    <field x="-2"/>
  </rowFields>
  <rowItems count="5">
    <i>
      <x/>
    </i>
    <i i="1">
      <x v="1"/>
    </i>
    <i i="2">
      <x v="2"/>
    </i>
    <i i="3">
      <x v="3"/>
    </i>
    <i i="4">
      <x v="4"/>
    </i>
  </rowItems>
  <colFields count="1">
    <field x="25"/>
  </colFields>
  <colItems count="2">
    <i>
      <x/>
    </i>
    <i>
      <x v="1"/>
    </i>
  </colItems>
  <dataFields count="5">
    <dataField name="Sum of Product_Cost" fld="13" baseField="0" baseItem="0" numFmtId="4"/>
    <dataField name="Sum of Transport_Cost" fld="14" baseField="0" baseItem="0" numFmtId="4"/>
    <dataField name="Sum of Labour_Cost" fld="15" baseField="0" baseItem="0" numFmtId="4"/>
    <dataField name="Sum of Marketing_Cost" fld="16" baseField="0" baseItem="0" numFmtId="4"/>
    <dataField name="Sum of Other_Cost" fld="17" baseField="0" baseItem="0" numFmtId="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AF30BB5-EE8C-43D3-8865-8EDEC5F6585C}" name="PivotTable6" cacheId="15"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compact="0" compactData="0" multipleFieldFilters="0">
  <location ref="F25:H27" firstHeaderRow="0" firstDataRow="1" firstDataCol="1"/>
  <pivotFields count="26">
    <pivotField compact="0" numFmtId="164" outline="0" showAll="0" defaultSubtotal="0"/>
    <pivotField compact="0" outline="0" showAll="0" defaultSubtotal="0"/>
    <pivotField compact="0" outline="0" showAll="0" defaultSubtotal="0"/>
    <pivotField compact="0" outline="0" showAll="0" defaultSubtotal="0"/>
    <pivotField compact="0" outline="0" showAll="0" defaultSubtotal="0">
      <items count="6">
        <item x="0"/>
        <item x="3"/>
        <item x="5"/>
        <item x="2"/>
        <item x="1"/>
        <item x="4"/>
      </items>
    </pivotField>
    <pivotField compact="0" outline="0" showAll="0" defaultSubtotal="0"/>
    <pivotField compact="0" outline="0" showAll="0" defaultSubtotal="0"/>
    <pivotField compact="0" outline="0" showAll="0" defaultSubtotal="0"/>
    <pivotField compact="0" outline="0" showAll="0" defaultSubtotal="0"/>
    <pivotField compact="0" numFmtId="4" outline="0" showAll="0" defaultSubtotal="0"/>
    <pivotField compact="0" numFmtId="4" outline="0" showAll="0" defaultSubtotal="0"/>
    <pivotField compact="0" numFmtId="4" outline="0" showAll="0" defaultSubtotal="0"/>
    <pivotField dataField="1"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dataField="1" compact="0" numFmtId="4" outline="0" showAll="0" defaultSubtotal="0"/>
    <pivotField compact="0" numFmtId="165" outline="0" showAll="0" defaultSubtotal="0"/>
    <pivotField compact="0" outline="0" showAll="0" defaultSubtotal="0"/>
    <pivotField compact="0" outline="0" showAll="0" defaultSubtotal="0">
      <items count="12">
        <item x="0"/>
        <item x="1"/>
        <item x="2"/>
        <item x="3"/>
        <item x="4"/>
        <item x="5"/>
        <item x="6"/>
        <item x="7"/>
        <item x="8"/>
        <item x="9"/>
        <item x="10"/>
        <item x="11"/>
      </items>
    </pivotField>
    <pivotField compact="0" outline="0" showAll="0" defaultSubtotal="0">
      <items count="12">
        <item x="0"/>
        <item x="1"/>
        <item x="2"/>
        <item x="3"/>
        <item x="4"/>
        <item x="5"/>
        <item x="6"/>
        <item x="7"/>
        <item x="8"/>
        <item x="9"/>
        <item x="10"/>
        <item x="11"/>
      </items>
    </pivotField>
    <pivotField axis="axisRow" compact="0" outline="0" subtotalTop="0" showAll="0" defaultSubtotal="0">
      <items count="2">
        <item x="0"/>
        <item x="1"/>
      </items>
    </pivotField>
  </pivotFields>
  <rowFields count="1">
    <field x="25"/>
  </rowFields>
  <rowItems count="2">
    <i>
      <x/>
    </i>
    <i>
      <x v="1"/>
    </i>
  </rowItems>
  <colFields count="1">
    <field x="-2"/>
  </colFields>
  <colItems count="2">
    <i>
      <x/>
    </i>
    <i i="1">
      <x v="1"/>
    </i>
  </colItems>
  <dataFields count="2">
    <dataField name="Sum of Net_Sales" fld="12" baseField="0" baseItem="0" numFmtId="4"/>
    <dataField name="Sum of Net_Profit" fld="20" baseField="0" baseItem="0" numFmtId="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0F7808E-AAAD-4ABB-AF1D-437A96461F44}" name="PivotTable13" cacheId="15"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compact="0" compactData="0" multipleFieldFilters="0">
  <location ref="C75:C76" firstHeaderRow="1" firstDataRow="1" firstDataCol="0"/>
  <pivotFields count="26">
    <pivotField compact="0" numFmtId="164" outline="0" showAll="0" defaultSubtotal="0"/>
    <pivotField compact="0" outline="0" showAll="0" defaultSubtotal="0"/>
    <pivotField compact="0" outline="0" showAll="0" defaultSubtotal="0"/>
    <pivotField compact="0" outline="0" showAll="0" defaultSubtotal="0"/>
    <pivotField compact="0" outline="0" showAll="0" defaultSubtotal="0">
      <items count="6">
        <item x="0"/>
        <item x="3"/>
        <item x="5"/>
        <item x="2"/>
        <item x="1"/>
        <item x="4"/>
      </items>
    </pivotField>
    <pivotField compact="0" outline="0" showAll="0" defaultSubtotal="0"/>
    <pivotField compact="0" outline="0" showAll="0" defaultSubtotal="0"/>
    <pivotField compact="0" outline="0" showAll="0" defaultSubtotal="0"/>
    <pivotField compact="0" outline="0" showAll="0" defaultSubtotal="0"/>
    <pivotField compact="0" numFmtId="4" outline="0" showAll="0" defaultSubtotal="0"/>
    <pivotField compact="0" numFmtId="4" outline="0" showAll="0" defaultSubtotal="0"/>
    <pivotField dataField="1"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165" outline="0" showAll="0" defaultSubtotal="0"/>
    <pivotField compact="0" outline="0" showAll="0" defaultSubtotal="0"/>
    <pivotField compact="0" outline="0" showAll="0" defaultSubtotal="0">
      <items count="12">
        <item x="0"/>
        <item x="1"/>
        <item x="2"/>
        <item x="3"/>
        <item x="4"/>
        <item x="5"/>
        <item x="6"/>
        <item x="7"/>
        <item x="8"/>
        <item x="9"/>
        <item x="10"/>
        <item x="11"/>
      </items>
    </pivotField>
    <pivotField compact="0" outline="0" showAll="0" defaultSubtotal="0">
      <items count="12">
        <item x="0"/>
        <item x="1"/>
        <item x="2"/>
        <item x="3"/>
        <item x="4"/>
        <item x="5"/>
        <item x="6"/>
        <item x="7"/>
        <item x="8"/>
        <item x="9"/>
        <item x="10"/>
        <item x="11"/>
      </items>
    </pivotField>
    <pivotField compact="0" outline="0" subtotalTop="0" showAll="0" defaultSubtotal="0">
      <items count="2">
        <item x="0"/>
        <item x="1"/>
      </items>
    </pivotField>
  </pivotFields>
  <rowItems count="1">
    <i/>
  </rowItems>
  <colItems count="1">
    <i/>
  </colItems>
  <dataFields count="1">
    <dataField name="Sum of Discount" fld="11" baseField="0" baseItem="0" numFmtId="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621361F-31AF-4A07-9BBE-15C636C3D6E7}" name="PivotTable15" cacheId="15"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compact="0" compactData="0" multipleFieldFilters="0">
  <location ref="E56:F58" firstHeaderRow="1" firstDataRow="1" firstDataCol="1"/>
  <pivotFields count="26">
    <pivotField compact="0" numFmtId="164" outline="0" showAll="0" defaultSubtotal="0"/>
    <pivotField compact="0" outline="0" showAll="0" defaultSubtotal="0"/>
    <pivotField compact="0" outline="0" showAll="0" defaultSubtotal="0"/>
    <pivotField compact="0" outline="0" showAll="0" defaultSubtotal="0"/>
    <pivotField compact="0" outline="0" showAll="0" defaultSubtotal="0">
      <items count="6">
        <item x="0"/>
        <item x="3"/>
        <item x="5"/>
        <item x="2"/>
        <item x="1"/>
        <item x="4"/>
      </items>
    </pivotField>
    <pivotField compact="0" outline="0" showAll="0" defaultSubtotal="0"/>
    <pivotField compact="0" outline="0" showAll="0" defaultSubtotal="0"/>
    <pivotField compact="0" outline="0" showAll="0" defaultSubtotal="0"/>
    <pivotField compact="0" outline="0" showAll="0" defaultSubtotal="0"/>
    <pivotField compact="0" numFmtId="4" outline="0" showAll="0" defaultSubtotal="0"/>
    <pivotField compact="0" numFmtId="4" outline="0" showAll="0" defaultSubtotal="0"/>
    <pivotField compact="0" numFmtId="4" outline="0" showAll="0" defaultSubtotal="0"/>
    <pivotField dataField="1"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165" outline="0" showAll="0" defaultSubtotal="0"/>
    <pivotField compact="0" outline="0" showAll="0" defaultSubtotal="0"/>
    <pivotField compact="0" outline="0" showAll="0" defaultSubtotal="0">
      <items count="12">
        <item x="0"/>
        <item x="1"/>
        <item x="2"/>
        <item x="3"/>
        <item x="4"/>
        <item x="5"/>
        <item x="6"/>
        <item x="7"/>
        <item x="8"/>
        <item x="9"/>
        <item x="10"/>
        <item x="11"/>
      </items>
    </pivotField>
    <pivotField compact="0" outline="0" showAll="0" defaultSubtotal="0">
      <items count="12">
        <item x="0"/>
        <item x="1"/>
        <item x="2"/>
        <item x="3"/>
        <item x="4"/>
        <item x="5"/>
        <item x="6"/>
        <item x="7"/>
        <item x="8"/>
        <item x="9"/>
        <item x="10"/>
        <item x="11"/>
      </items>
    </pivotField>
    <pivotField axis="axisRow" compact="0" outline="0" subtotalTop="0" showAll="0" defaultSubtotal="0">
      <items count="2">
        <item x="0"/>
        <item x="1"/>
      </items>
    </pivotField>
  </pivotFields>
  <rowFields count="1">
    <field x="25"/>
  </rowFields>
  <rowItems count="2">
    <i>
      <x/>
    </i>
    <i>
      <x v="1"/>
    </i>
  </rowItems>
  <colItems count="1">
    <i/>
  </colItems>
  <dataFields count="1">
    <dataField name="Sum of Net_Sales" fld="12" baseField="0" baseItem="0" numFmtId="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EC02432-8D84-45C3-8F30-D3B12C6D5E45}" name="PivotTable16" cacheId="15"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compact="0" compactData="0" multipleFieldFilters="0">
  <location ref="E62:F64" firstHeaderRow="1" firstDataRow="1" firstDataCol="1"/>
  <pivotFields count="26">
    <pivotField compact="0" numFmtId="164" outline="0" showAll="0" defaultSubtotal="0"/>
    <pivotField compact="0" outline="0" showAll="0" defaultSubtotal="0"/>
    <pivotField compact="0" outline="0" showAll="0" defaultSubtotal="0"/>
    <pivotField compact="0" outline="0" showAll="0" defaultSubtotal="0"/>
    <pivotField compact="0" outline="0" showAll="0" defaultSubtotal="0">
      <items count="6">
        <item x="0"/>
        <item x="3"/>
        <item x="5"/>
        <item x="2"/>
        <item x="1"/>
        <item x="4"/>
      </items>
    </pivotField>
    <pivotField compact="0" outline="0" showAll="0" defaultSubtotal="0"/>
    <pivotField compact="0" outline="0" showAll="0" defaultSubtotal="0"/>
    <pivotField compact="0" outline="0" showAll="0" defaultSubtotal="0"/>
    <pivotField compact="0"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dataField="1" compact="0" numFmtId="165" outline="0" showAll="0" defaultSubtotal="0"/>
    <pivotField compact="0" outline="0" showAll="0" defaultSubtotal="0"/>
    <pivotField compact="0" outline="0" showAll="0" defaultSubtotal="0">
      <items count="12">
        <item x="0"/>
        <item x="1"/>
        <item x="2"/>
        <item x="3"/>
        <item x="4"/>
        <item x="5"/>
        <item x="6"/>
        <item x="7"/>
        <item x="8"/>
        <item x="9"/>
        <item x="10"/>
        <item x="11"/>
      </items>
    </pivotField>
    <pivotField compact="0" outline="0" showAll="0" defaultSubtotal="0">
      <items count="12">
        <item x="0"/>
        <item x="1"/>
        <item x="2"/>
        <item x="3"/>
        <item x="4"/>
        <item x="5"/>
        <item x="6"/>
        <item x="7"/>
        <item x="8"/>
        <item x="9"/>
        <item x="10"/>
        <item x="11"/>
      </items>
    </pivotField>
    <pivotField axis="axisRow" compact="0" outline="0" subtotalTop="0" showAll="0" defaultSubtotal="0">
      <items count="2">
        <item x="0"/>
        <item x="1"/>
      </items>
    </pivotField>
  </pivotFields>
  <rowFields count="1">
    <field x="25"/>
  </rowFields>
  <rowItems count="2">
    <i>
      <x/>
    </i>
    <i>
      <x v="1"/>
    </i>
  </rowItems>
  <colItems count="1">
    <i/>
  </colItems>
  <dataFields count="1">
    <dataField name="Average of Net_Margin" fld="21" subtotal="average"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56D5347-B5CB-4196-968B-02FACCC07157}" name="PivotTable5" cacheId="15" dataPosition="0"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compact="0" compactData="0" multipleFieldFilters="0" chartFormat="3">
  <location ref="A25:D27" firstHeaderRow="0" firstDataRow="1" firstDataCol="1"/>
  <pivotFields count="26">
    <pivotField compact="0" numFmtId="164" outline="0" showAll="0" defaultSubtotal="0"/>
    <pivotField compact="0" outline="0" showAll="0" defaultSubtotal="0"/>
    <pivotField compact="0" outline="0" showAll="0" defaultSubtotal="0"/>
    <pivotField compact="0" outline="0" showAll="0" defaultSubtotal="0"/>
    <pivotField compact="0" outline="0" showAll="0" defaultSubtotal="0">
      <items count="6">
        <item x="0"/>
        <item x="3"/>
        <item x="5"/>
        <item x="2"/>
        <item x="1"/>
        <item x="4"/>
      </items>
    </pivotField>
    <pivotField compact="0" outline="0" showAll="0" defaultSubtotal="0"/>
    <pivotField compact="0" outline="0" showAll="0" defaultSubtotal="0"/>
    <pivotField compact="0" outline="0" showAll="0" defaultSubtotal="0"/>
    <pivotField compact="0" outline="0" showAll="0" defaultSubtotal="0"/>
    <pivotField compact="0" numFmtId="4" outline="0" showAll="0" defaultSubtotal="0"/>
    <pivotField compact="0" numFmtId="4" outline="0" showAll="0" defaultSubtotal="0"/>
    <pivotField compact="0" numFmtId="4" outline="0" showAll="0" defaultSubtotal="0"/>
    <pivotField dataField="1"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dataField="1" compact="0" numFmtId="4" outline="0" showAll="0" defaultSubtotal="0"/>
    <pivotField dataField="1" compact="0" numFmtId="165" outline="0" showAll="0" defaultSubtotal="0"/>
    <pivotField compact="0" outline="0" showAll="0" defaultSubtotal="0"/>
    <pivotField compact="0" outline="0" showAll="0" defaultSubtotal="0">
      <items count="12">
        <item x="0"/>
        <item x="1"/>
        <item x="2"/>
        <item x="3"/>
        <item x="4"/>
        <item x="5"/>
        <item x="6"/>
        <item x="7"/>
        <item x="8"/>
        <item x="9"/>
        <item x="10"/>
        <item x="11"/>
      </items>
    </pivotField>
    <pivotField compact="0" outline="0" showAll="0" defaultSubtotal="0">
      <items count="12">
        <item x="0"/>
        <item x="1"/>
        <item x="2"/>
        <item x="3"/>
        <item x="4"/>
        <item x="5"/>
        <item x="6"/>
        <item x="7"/>
        <item x="8"/>
        <item x="9"/>
        <item x="10"/>
        <item x="11"/>
      </items>
    </pivotField>
    <pivotField axis="axisRow" compact="0" outline="0" subtotalTop="0" showAll="0" defaultSubtotal="0">
      <items count="2">
        <item x="0"/>
        <item x="1"/>
      </items>
    </pivotField>
  </pivotFields>
  <rowFields count="1">
    <field x="25"/>
  </rowFields>
  <rowItems count="2">
    <i>
      <x/>
    </i>
    <i>
      <x v="1"/>
    </i>
  </rowItems>
  <colFields count="1">
    <field x="-2"/>
  </colFields>
  <colItems count="3">
    <i>
      <x/>
    </i>
    <i i="1">
      <x v="1"/>
    </i>
    <i i="2">
      <x v="2"/>
    </i>
  </colItems>
  <dataFields count="3">
    <dataField name="Sum of Net_Sales" fld="12" baseField="0" baseItem="0" numFmtId="4"/>
    <dataField name="Sum of Net_Profit" fld="20" baseField="0" baseItem="0" numFmtId="4"/>
    <dataField name="Average of Net_Margin" fld="21" subtotal="average" baseField="25"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1CC7382-F94A-4118-B1DC-7352C812562D}" name="PivotTable1" cacheId="15"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compact="0" compactData="0" multipleFieldFilters="0" chartFormat="15">
  <location ref="A3:C15" firstHeaderRow="0" firstDataRow="1" firstDataCol="1"/>
  <pivotFields count="26">
    <pivotField compact="0" numFmtId="164" outline="0" showAll="0" defaultSubtotal="0"/>
    <pivotField compact="0" outline="0" showAll="0" defaultSubtotal="0"/>
    <pivotField compact="0" outline="0" showAll="0" defaultSubtotal="0"/>
    <pivotField compact="0" outline="0" showAll="0" defaultSubtotal="0"/>
    <pivotField compact="0" outline="0" showAll="0" defaultSubtotal="0">
      <items count="6">
        <item x="0"/>
        <item x="3"/>
        <item x="5"/>
        <item x="2"/>
        <item x="1"/>
        <item x="4"/>
      </items>
    </pivotField>
    <pivotField compact="0" outline="0" showAll="0" defaultSubtotal="0"/>
    <pivotField compact="0" outline="0" showAll="0" defaultSubtotal="0"/>
    <pivotField compact="0" outline="0" showAll="0" defaultSubtotal="0"/>
    <pivotField compact="0" outline="0" showAll="0" defaultSubtotal="0"/>
    <pivotField compact="0" numFmtId="4" outline="0" showAll="0" defaultSubtotal="0"/>
    <pivotField compact="0" numFmtId="4" outline="0" showAll="0" defaultSubtotal="0"/>
    <pivotField compact="0" numFmtId="4" outline="0" showAll="0" defaultSubtotal="0"/>
    <pivotField dataField="1"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dataField="1" compact="0" numFmtId="4" outline="0" showAll="0" defaultSubtotal="0"/>
    <pivotField compact="0" numFmtId="165" outline="0" showAll="0" defaultSubtotal="0"/>
    <pivotField compact="0" outline="0" showAll="0" defaultSubtotal="0"/>
    <pivotField axis="axisRow" compact="0" outline="0" showAll="0" defaultSubtotal="0">
      <items count="12">
        <item x="0"/>
        <item x="1"/>
        <item x="2"/>
        <item x="3"/>
        <item x="4"/>
        <item x="5"/>
        <item x="6"/>
        <item x="7"/>
        <item x="8"/>
        <item x="9"/>
        <item x="10"/>
        <item x="11"/>
      </items>
    </pivotField>
    <pivotField compact="0" outline="0" showAll="0" defaultSubtotal="0">
      <items count="12">
        <item x="0"/>
        <item x="1"/>
        <item x="2"/>
        <item x="3"/>
        <item x="4"/>
        <item x="5"/>
        <item x="6"/>
        <item x="7"/>
        <item x="8"/>
        <item x="9"/>
        <item x="10"/>
        <item x="11"/>
      </items>
    </pivotField>
    <pivotField compact="0" outline="0" subtotalTop="0" showAll="0" defaultSubtotal="0">
      <items count="2">
        <item x="0"/>
        <item x="1"/>
      </items>
    </pivotField>
  </pivotFields>
  <rowFields count="1">
    <field x="23"/>
  </rowFields>
  <rowItems count="12">
    <i>
      <x/>
    </i>
    <i>
      <x v="1"/>
    </i>
    <i>
      <x v="2"/>
    </i>
    <i>
      <x v="3"/>
    </i>
    <i>
      <x v="4"/>
    </i>
    <i>
      <x v="5"/>
    </i>
    <i>
      <x v="6"/>
    </i>
    <i>
      <x v="7"/>
    </i>
    <i>
      <x v="8"/>
    </i>
    <i>
      <x v="9"/>
    </i>
    <i>
      <x v="10"/>
    </i>
    <i>
      <x v="11"/>
    </i>
  </rowItems>
  <colFields count="1">
    <field x="-2"/>
  </colFields>
  <colItems count="2">
    <i>
      <x/>
    </i>
    <i i="1">
      <x v="1"/>
    </i>
  </colItems>
  <dataFields count="2">
    <dataField name="Sum of Net_Sales" fld="12" baseField="0" baseItem="0" numFmtId="4"/>
    <dataField name="Sum of Net_Profit" fld="20" baseField="0" baseItem="0" numFmtId="4"/>
  </dataFields>
  <chartFormats count="2">
    <chartFormat chart="13" format="2"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591F0E2-9449-40E0-86A6-9A0CC13FB8C7}" name="PivotTable4" cacheId="15"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compact="0" compactData="0" multipleFieldFilters="0">
  <location ref="A19:C21" firstHeaderRow="0" firstDataRow="1" firstDataCol="1"/>
  <pivotFields count="26">
    <pivotField compact="0" numFmtId="164" outline="0" showAll="0" defaultSubtotal="0"/>
    <pivotField compact="0" outline="0" showAll="0" defaultSubtotal="0"/>
    <pivotField compact="0" outline="0" showAll="0" defaultSubtotal="0"/>
    <pivotField compact="0" outline="0" showAll="0" defaultSubtotal="0"/>
    <pivotField compact="0" outline="0" showAll="0" defaultSubtotal="0">
      <items count="6">
        <item x="0"/>
        <item x="3"/>
        <item x="5"/>
        <item x="2"/>
        <item x="1"/>
        <item x="4"/>
      </items>
    </pivotField>
    <pivotField compact="0" outline="0" showAll="0" defaultSubtotal="0"/>
    <pivotField compact="0" outline="0" showAll="0" defaultSubtotal="0"/>
    <pivotField compact="0" outline="0" showAll="0" defaultSubtotal="0"/>
    <pivotField compact="0" outline="0" showAll="0" defaultSubtotal="0"/>
    <pivotField compact="0" numFmtId="4" outline="0" showAll="0" defaultSubtotal="0"/>
    <pivotField dataField="1" compact="0" numFmtId="4" outline="0" showAll="0" defaultSubtotal="0"/>
    <pivotField dataField="1"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165" outline="0" showAll="0" defaultSubtotal="0"/>
    <pivotField compact="0" outline="0" showAll="0" defaultSubtotal="0"/>
    <pivotField compact="0" outline="0" showAll="0" defaultSubtotal="0">
      <items count="12">
        <item x="0"/>
        <item x="1"/>
        <item x="2"/>
        <item x="3"/>
        <item x="4"/>
        <item x="5"/>
        <item x="6"/>
        <item x="7"/>
        <item x="8"/>
        <item x="9"/>
        <item x="10"/>
        <item x="11"/>
      </items>
    </pivotField>
    <pivotField compact="0" outline="0" showAll="0" defaultSubtotal="0">
      <items count="12">
        <item x="0"/>
        <item x="1"/>
        <item x="2"/>
        <item x="3"/>
        <item x="4"/>
        <item x="5"/>
        <item x="6"/>
        <item x="7"/>
        <item x="8"/>
        <item x="9"/>
        <item x="10"/>
        <item x="11"/>
      </items>
    </pivotField>
    <pivotField axis="axisRow" compact="0" outline="0" subtotalTop="0" showAll="0" defaultSubtotal="0">
      <items count="2">
        <item x="0"/>
        <item x="1"/>
      </items>
    </pivotField>
  </pivotFields>
  <rowFields count="1">
    <field x="25"/>
  </rowFields>
  <rowItems count="2">
    <i>
      <x/>
    </i>
    <i>
      <x v="1"/>
    </i>
  </rowItems>
  <colFields count="1">
    <field x="-2"/>
  </colFields>
  <colItems count="2">
    <i>
      <x/>
    </i>
    <i i="1">
      <x v="1"/>
    </i>
  </colItems>
  <dataFields count="2">
    <dataField name="Sum of Gross_Sales" fld="10" baseField="0" baseItem="0" numFmtId="4"/>
    <dataField name="Sum of Discount" fld="11" baseField="0" baseItem="0" numFmtId="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6F914EF-0F78-419B-B60B-934F3E5A4938}" name="PivotTable3" cacheId="15"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compact="0" compactData="0" multipleFieldFilters="0" chartFormat="6">
  <location ref="F19:N21" firstHeaderRow="0" firstDataRow="1" firstDataCol="1"/>
  <pivotFields count="26">
    <pivotField compact="0" numFmtId="164" outline="0" showAll="0" defaultSubtotal="0"/>
    <pivotField compact="0" outline="0" showAll="0" defaultSubtotal="0"/>
    <pivotField compact="0" outline="0" showAll="0" defaultSubtotal="0"/>
    <pivotField compact="0" outline="0" showAll="0" defaultSubtotal="0"/>
    <pivotField compact="0" outline="0" showAll="0" defaultSubtotal="0">
      <items count="6">
        <item x="0"/>
        <item x="3"/>
        <item x="5"/>
        <item x="2"/>
        <item x="1"/>
        <item x="4"/>
      </items>
    </pivotField>
    <pivotField compact="0" outline="0" showAll="0" defaultSubtotal="0"/>
    <pivotField compact="0" outline="0" showAll="0" defaultSubtotal="0"/>
    <pivotField compact="0" outline="0" showAll="0" defaultSubtotal="0"/>
    <pivotField compact="0" outline="0" showAll="0" defaultSubtotal="0"/>
    <pivotField compact="0" numFmtId="4" outline="0" showAll="0" defaultSubtotal="0"/>
    <pivotField compact="0" numFmtId="4" outline="0" showAll="0" defaultSubtotal="0"/>
    <pivotField dataField="1" compact="0" numFmtId="4" outline="0" showAll="0" defaultSubtotal="0"/>
    <pivotField dataField="1" compact="0" numFmtId="4" outline="0" showAll="0" defaultSubtotal="0"/>
    <pivotField dataField="1" compact="0" numFmtId="4" outline="0" showAll="0" defaultSubtotal="0"/>
    <pivotField dataField="1" compact="0" numFmtId="4" outline="0" showAll="0" defaultSubtotal="0"/>
    <pivotField dataField="1" compact="0" numFmtId="4" outline="0" showAll="0" defaultSubtotal="0"/>
    <pivotField dataField="1" compact="0" numFmtId="4" outline="0" showAll="0" defaultSubtotal="0"/>
    <pivotField dataField="1" compact="0" numFmtId="4" outline="0" showAll="0" defaultSubtotal="0"/>
    <pivotField compact="0" numFmtId="4" outline="0" showAll="0" defaultSubtotal="0"/>
    <pivotField compact="0" numFmtId="4" outline="0" showAll="0" defaultSubtotal="0"/>
    <pivotField dataField="1" compact="0" numFmtId="4" outline="0" showAll="0" defaultSubtotal="0"/>
    <pivotField compact="0" numFmtId="165" outline="0" showAll="0" defaultSubtotal="0"/>
    <pivotField compact="0" outline="0" showAll="0" defaultSubtotal="0"/>
    <pivotField compact="0" outline="0" showAll="0" defaultSubtotal="0"/>
    <pivotField compact="0" outline="0" showAll="0" defaultSubtotal="0"/>
    <pivotField axis="axisRow" compact="0" outline="0" subtotalTop="0" showAll="0" defaultSubtotal="0">
      <items count="2">
        <item x="0"/>
        <item x="1"/>
      </items>
    </pivotField>
  </pivotFields>
  <rowFields count="1">
    <field x="25"/>
  </rowFields>
  <rowItems count="2">
    <i>
      <x/>
    </i>
    <i>
      <x v="1"/>
    </i>
  </rowItems>
  <colFields count="1">
    <field x="-2"/>
  </colFields>
  <colItems count="8">
    <i>
      <x/>
    </i>
    <i i="1">
      <x v="1"/>
    </i>
    <i i="2">
      <x v="2"/>
    </i>
    <i i="3">
      <x v="3"/>
    </i>
    <i i="4">
      <x v="4"/>
    </i>
    <i i="5">
      <x v="5"/>
    </i>
    <i i="6">
      <x v="6"/>
    </i>
    <i i="7">
      <x v="7"/>
    </i>
  </colItems>
  <dataFields count="8">
    <dataField name="Sum of Net_Sales" fld="12" baseField="0" baseItem="0" numFmtId="4"/>
    <dataField name="Sum of Net_Profit" fld="20" baseField="0" baseItem="0" numFmtId="4"/>
    <dataField name="Sum of Discount" fld="11" baseField="0" baseItem="0" numFmtId="4"/>
    <dataField name="Sum of Product_Cost" fld="13" baseField="0" baseItem="0" numFmtId="4"/>
    <dataField name="Sum of Transport_Cost" fld="14" baseField="0" baseItem="0" numFmtId="4"/>
    <dataField name="Sum of Labour_Cost" fld="15" baseField="0" baseItem="0" numFmtId="4"/>
    <dataField name="Sum of Marketing_Cost" fld="16" baseField="0" baseItem="0" numFmtId="4"/>
    <dataField name="Sum of Other_Cost" fld="17" baseField="0" baseItem="0" numFmtId="4"/>
  </dataFields>
  <chartFormats count="8">
    <chartFormat chart="2" format="8" series="1">
      <pivotArea type="data" outline="0" fieldPosition="0">
        <references count="1">
          <reference field="4294967294" count="1" selected="0">
            <x v="0"/>
          </reference>
        </references>
      </pivotArea>
    </chartFormat>
    <chartFormat chart="2" format="9" series="1">
      <pivotArea type="data" outline="0" fieldPosition="0">
        <references count="1">
          <reference field="4294967294" count="1" selected="0">
            <x v="1"/>
          </reference>
        </references>
      </pivotArea>
    </chartFormat>
    <chartFormat chart="2" format="10" series="1">
      <pivotArea type="data" outline="0" fieldPosition="0">
        <references count="1">
          <reference field="4294967294" count="1" selected="0">
            <x v="2"/>
          </reference>
        </references>
      </pivotArea>
    </chartFormat>
    <chartFormat chart="2" format="11" series="1">
      <pivotArea type="data" outline="0" fieldPosition="0">
        <references count="1">
          <reference field="4294967294" count="1" selected="0">
            <x v="3"/>
          </reference>
        </references>
      </pivotArea>
    </chartFormat>
    <chartFormat chart="2" format="12" series="1">
      <pivotArea type="data" outline="0" fieldPosition="0">
        <references count="1">
          <reference field="4294967294" count="1" selected="0">
            <x v="4"/>
          </reference>
        </references>
      </pivotArea>
    </chartFormat>
    <chartFormat chart="2" format="13" series="1">
      <pivotArea type="data" outline="0" fieldPosition="0">
        <references count="1">
          <reference field="4294967294" count="1" selected="0">
            <x v="5"/>
          </reference>
        </references>
      </pivotArea>
    </chartFormat>
    <chartFormat chart="2" format="14" series="1">
      <pivotArea type="data" outline="0" fieldPosition="0">
        <references count="1">
          <reference field="4294967294" count="1" selected="0">
            <x v="6"/>
          </reference>
        </references>
      </pivotArea>
    </chartFormat>
    <chartFormat chart="2" format="15" series="1">
      <pivotArea type="data" outline="0" fieldPosition="0">
        <references count="1">
          <reference field="4294967294"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916DFF2B-17D7-4513-B6AD-F1F7A4743A50}" name="PivotTable11" cacheId="15"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compact="0" compactData="0" multipleFieldFilters="0">
  <location ref="A56:B58" firstHeaderRow="1" firstDataRow="1" firstDataCol="1"/>
  <pivotFields count="26">
    <pivotField compact="0" numFmtId="164" outline="0" showAll="0" defaultSubtotal="0"/>
    <pivotField compact="0" outline="0" showAll="0" defaultSubtotal="0"/>
    <pivotField compact="0" outline="0" showAll="0" defaultSubtotal="0"/>
    <pivotField compact="0" outline="0" showAll="0" defaultSubtotal="0"/>
    <pivotField compact="0" outline="0" showAll="0" defaultSubtotal="0">
      <items count="6">
        <item x="0"/>
        <item x="3"/>
        <item x="5"/>
        <item x="2"/>
        <item x="1"/>
        <item x="4"/>
      </items>
    </pivotField>
    <pivotField compact="0" outline="0" showAll="0" defaultSubtotal="0"/>
    <pivotField compact="0" outline="0" showAll="0" defaultSubtotal="0"/>
    <pivotField compact="0" outline="0" showAll="0" defaultSubtotal="0"/>
    <pivotField compact="0" outline="0" showAll="0" defaultSubtotal="0"/>
    <pivotField compact="0" numFmtId="4" outline="0" showAll="0" defaultSubtotal="0"/>
    <pivotField dataField="1"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165" outline="0" showAll="0" defaultSubtotal="0"/>
    <pivotField compact="0" outline="0" showAll="0" defaultSubtotal="0"/>
    <pivotField compact="0" outline="0" showAll="0" defaultSubtotal="0">
      <items count="12">
        <item x="0"/>
        <item x="1"/>
        <item x="2"/>
        <item x="3"/>
        <item x="4"/>
        <item x="5"/>
        <item x="6"/>
        <item x="7"/>
        <item x="8"/>
        <item x="9"/>
        <item x="10"/>
        <item x="11"/>
      </items>
    </pivotField>
    <pivotField compact="0" outline="0" showAll="0" defaultSubtotal="0">
      <items count="12">
        <item x="0"/>
        <item x="1"/>
        <item x="2"/>
        <item x="3"/>
        <item x="4"/>
        <item x="5"/>
        <item x="6"/>
        <item x="7"/>
        <item x="8"/>
        <item x="9"/>
        <item x="10"/>
        <item x="11"/>
      </items>
    </pivotField>
    <pivotField axis="axisRow" compact="0" outline="0" subtotalTop="0" showAll="0" defaultSubtotal="0">
      <items count="2">
        <item x="0"/>
        <item x="1"/>
      </items>
    </pivotField>
  </pivotFields>
  <rowFields count="1">
    <field x="25"/>
  </rowFields>
  <rowItems count="2">
    <i>
      <x/>
    </i>
    <i>
      <x v="1"/>
    </i>
  </rowItems>
  <colItems count="1">
    <i/>
  </colItems>
  <dataFields count="1">
    <dataField name="Sum of Gross_Sales" fld="10" baseField="0" baseItem="0" numFmtId="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E83EF346-975E-4321-BB46-473BA67B983B}" name="PivotTable7" cacheId="15"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compact="0" compactData="0" multipleFieldFilters="0" chartFormat="6">
  <location ref="A41:D53" firstHeaderRow="0" firstDataRow="1" firstDataCol="1"/>
  <pivotFields count="26">
    <pivotField compact="0" numFmtId="164" outline="0" showAll="0" defaultSubtotal="0"/>
    <pivotField compact="0" outline="0" showAll="0" defaultSubtotal="0"/>
    <pivotField axis="axisRow" compact="0" outline="0" showAll="0" defaultSubtotal="0">
      <items count="12">
        <item x="10"/>
        <item x="2"/>
        <item x="3"/>
        <item x="7"/>
        <item x="1"/>
        <item x="6"/>
        <item x="4"/>
        <item x="5"/>
        <item x="11"/>
        <item x="8"/>
        <item x="0"/>
        <item x="9"/>
      </items>
    </pivotField>
    <pivotField compact="0" outline="0" showAll="0" defaultSubtotal="0"/>
    <pivotField compact="0" outline="0" showAll="0" defaultSubtotal="0">
      <items count="6">
        <item x="0"/>
        <item x="3"/>
        <item x="5"/>
        <item x="2"/>
        <item x="1"/>
        <item x="4"/>
      </items>
    </pivotField>
    <pivotField compact="0" outline="0" showAll="0" defaultSubtotal="0"/>
    <pivotField compact="0" outline="0" showAll="0" defaultSubtotal="0"/>
    <pivotField compact="0" outline="0" showAll="0" defaultSubtotal="0"/>
    <pivotField compact="0" outline="0" showAll="0" defaultSubtotal="0"/>
    <pivotField compact="0" numFmtId="4" outline="0" showAll="0" defaultSubtotal="0"/>
    <pivotField compact="0" numFmtId="4" outline="0" showAll="0" defaultSubtotal="0"/>
    <pivotField compact="0" numFmtId="4" outline="0" showAll="0" defaultSubtotal="0"/>
    <pivotField dataField="1"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dataField="1" compact="0" numFmtId="4" outline="0" showAll="0" defaultSubtotal="0"/>
    <pivotField dataField="1" compact="0" numFmtId="165" outline="0" showAll="0" defaultSubtotal="0"/>
    <pivotField compact="0" outline="0" showAll="0" defaultSubtotal="0"/>
    <pivotField compact="0" outline="0" showAll="0" defaultSubtotal="0">
      <items count="12">
        <item x="0"/>
        <item x="1"/>
        <item x="2"/>
        <item x="3"/>
        <item x="4"/>
        <item x="5"/>
        <item x="6"/>
        <item x="7"/>
        <item x="8"/>
        <item x="9"/>
        <item x="10"/>
        <item x="11"/>
      </items>
    </pivotField>
    <pivotField compact="0" outline="0" showAll="0" defaultSubtotal="0">
      <items count="12">
        <item x="0"/>
        <item x="1"/>
        <item x="2"/>
        <item x="3"/>
        <item x="4"/>
        <item x="5"/>
        <item x="6"/>
        <item x="7"/>
        <item x="8"/>
        <item x="9"/>
        <item x="10"/>
        <item x="11"/>
      </items>
    </pivotField>
    <pivotField compact="0" outline="0" subtotalTop="0" showAll="0" defaultSubtotal="0">
      <items count="2">
        <item x="0"/>
        <item x="1"/>
      </items>
    </pivotField>
  </pivotFields>
  <rowFields count="1">
    <field x="2"/>
  </rowFields>
  <rowItems count="12">
    <i>
      <x/>
    </i>
    <i>
      <x v="1"/>
    </i>
    <i>
      <x v="2"/>
    </i>
    <i>
      <x v="3"/>
    </i>
    <i>
      <x v="4"/>
    </i>
    <i>
      <x v="5"/>
    </i>
    <i>
      <x v="6"/>
    </i>
    <i>
      <x v="7"/>
    </i>
    <i>
      <x v="8"/>
    </i>
    <i>
      <x v="9"/>
    </i>
    <i>
      <x v="10"/>
    </i>
    <i>
      <x v="11"/>
    </i>
  </rowItems>
  <colFields count="1">
    <field x="-2"/>
  </colFields>
  <colItems count="3">
    <i>
      <x/>
    </i>
    <i i="1">
      <x v="1"/>
    </i>
    <i i="2">
      <x v="2"/>
    </i>
  </colItems>
  <dataFields count="3">
    <dataField name="Sum of Net_Sales" fld="12" baseField="0" baseItem="0" numFmtId="4"/>
    <dataField name="Sum of Net_Profit" fld="20" baseField="0" baseItem="0" numFmtId="4"/>
    <dataField name="Average of Net_Margin" fld="21" subtotal="average" baseField="2"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AF8F5784-BB23-43D8-9267-B14D34E09B9D}" name="PivotTable2" cacheId="15"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compact="0" compactData="0" multipleFieldFilters="0" chartFormat="3">
  <location ref="F3:G15" firstHeaderRow="1" firstDataRow="1" firstDataCol="1"/>
  <pivotFields count="26">
    <pivotField compact="0" numFmtId="164" outline="0" showAll="0" defaultSubtotal="0"/>
    <pivotField compact="0" outline="0" showAll="0" defaultSubtotal="0"/>
    <pivotField compact="0" outline="0" showAll="0" defaultSubtotal="0"/>
    <pivotField compact="0" outline="0" showAll="0" defaultSubtotal="0"/>
    <pivotField compact="0" outline="0" showAll="0" defaultSubtotal="0">
      <items count="6">
        <item x="0"/>
        <item x="3"/>
        <item x="5"/>
        <item x="2"/>
        <item x="1"/>
        <item x="4"/>
      </items>
    </pivotField>
    <pivotField compact="0" outline="0" showAll="0" defaultSubtotal="0"/>
    <pivotField compact="0" outline="0" showAll="0" defaultSubtotal="0"/>
    <pivotField compact="0" outline="0" showAll="0" defaultSubtotal="0"/>
    <pivotField compact="0"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dataField="1" compact="0" numFmtId="165" outline="0" showAll="0" defaultSubtotal="0"/>
    <pivotField compact="0" outline="0" showAll="0" defaultSubtotal="0"/>
    <pivotField axis="axisRow" compact="0" outline="0" showAll="0" defaultSubtotal="0">
      <items count="12">
        <item x="0"/>
        <item x="1"/>
        <item x="2"/>
        <item x="3"/>
        <item x="4"/>
        <item x="5"/>
        <item x="6"/>
        <item x="7"/>
        <item x="8"/>
        <item x="9"/>
        <item x="10"/>
        <item x="11"/>
      </items>
    </pivotField>
    <pivotField compact="0" outline="0" showAll="0" defaultSubtotal="0">
      <items count="12">
        <item x="0"/>
        <item x="1"/>
        <item x="2"/>
        <item x="3"/>
        <item x="4"/>
        <item x="5"/>
        <item x="6"/>
        <item x="7"/>
        <item x="8"/>
        <item x="9"/>
        <item x="10"/>
        <item x="11"/>
      </items>
    </pivotField>
    <pivotField compact="0" outline="0" subtotalTop="0" showAll="0" defaultSubtotal="0">
      <items count="2">
        <item x="0"/>
        <item x="1"/>
      </items>
    </pivotField>
  </pivotFields>
  <rowFields count="1">
    <field x="23"/>
  </rowFields>
  <rowItems count="12">
    <i>
      <x/>
    </i>
    <i>
      <x v="1"/>
    </i>
    <i>
      <x v="2"/>
    </i>
    <i>
      <x v="3"/>
    </i>
    <i>
      <x v="4"/>
    </i>
    <i>
      <x v="5"/>
    </i>
    <i>
      <x v="6"/>
    </i>
    <i>
      <x v="7"/>
    </i>
    <i>
      <x v="8"/>
    </i>
    <i>
      <x v="9"/>
    </i>
    <i>
      <x v="10"/>
    </i>
    <i>
      <x v="11"/>
    </i>
  </rowItems>
  <colItems count="1">
    <i/>
  </colItems>
  <dataFields count="1">
    <dataField name="Average of Net_Margin" fld="21" subtotal="average" baseField="23" baseItem="0" numFmtId="165"/>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4AF7A75-83AA-47F5-9E6E-FEC2D30B29BB}" sourceName="Category">
  <pivotTables>
    <pivotTable tabId="5" name="PivotTable2"/>
    <pivotTable tabId="5" name="PivotTable10"/>
    <pivotTable tabId="5" name="PivotTable11"/>
    <pivotTable tabId="5" name="PivotTable12"/>
    <pivotTable tabId="5" name="PivotTable13"/>
    <pivotTable tabId="5" name="PivotTable14"/>
    <pivotTable tabId="5" name="PivotTable15"/>
    <pivotTable tabId="5" name="PivotTable16"/>
    <pivotTable tabId="5" name="PivotTable17"/>
    <pivotTable tabId="5" name="PivotTable3"/>
    <pivotTable tabId="5" name="PivotTable4"/>
    <pivotTable tabId="5" name="PivotTable5"/>
    <pivotTable tabId="5" name="PivotTable6"/>
    <pivotTable tabId="5" name="PivotTable7"/>
    <pivotTable tabId="5" name="PivotTable8"/>
  </pivotTables>
  <data>
    <tabular pivotCacheId="991515759">
      <items count="6">
        <i x="0" s="1"/>
        <i x="3" s="1"/>
        <i x="5"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417DD118-D03B-480B-B815-E2574E544512}" cache="Slicer_Category" caption="Category" columnCount="3"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8697F5A-757C-411E-80EA-B80EC1CFC290}" name="Table1" displayName="Table1" ref="A1:Z1441" totalsRowShown="0" headerRowDxfId="26">
  <autoFilter ref="A1:Z1441" xr:uid="{00000000-0009-0000-0000-000001000000}"/>
  <tableColumns count="26">
    <tableColumn id="1" xr3:uid="{2B3BFD6E-374D-497A-85CC-EFED1906E750}" name="Date" dataDxfId="25"/>
    <tableColumn id="2" xr3:uid="{083652D6-C028-46F3-B79B-79F906D55EBD}" name="Invoice_ID"/>
    <tableColumn id="3" xr3:uid="{07ACE0FD-0816-41BD-8A60-6A32400929C8}" name="Customer"/>
    <tableColumn id="4" xr3:uid="{D05B6BC2-9EDB-4590-A501-1578894818E1}" name="Product"/>
    <tableColumn id="5" xr3:uid="{8B50352F-3BB6-4EB6-B06E-D3A7CEEC0928}" name="Category"/>
    <tableColumn id="6" xr3:uid="{78C8267A-454E-468F-BEE4-BFD7209BCDD0}" name="Region"/>
    <tableColumn id="7" xr3:uid="{E8461B8D-EDE8-45D2-A629-5DB5E8C1A553}" name="Salesperson"/>
    <tableColumn id="8" xr3:uid="{62B3964A-75C9-4F34-BC97-F6FA0E3360EE}" name="Sales_Channel"/>
    <tableColumn id="9" xr3:uid="{3B4D0C06-403A-41B8-BA34-2CC4B763F1C7}" name="Quantity"/>
    <tableColumn id="10" xr3:uid="{45868F73-5AE2-4EA6-9B27-E0AAF17E7218}" name="Unit_Price" dataDxfId="24"/>
    <tableColumn id="11" xr3:uid="{59B69526-41F6-4D38-8537-B9650425438F}" name="Gross_Sales" dataDxfId="23">
      <calculatedColumnFormula>Table1[[#This Row],[Quantity]]*Table1[[#This Row],[Unit_Price]]</calculatedColumnFormula>
    </tableColumn>
    <tableColumn id="12" xr3:uid="{7E206B3A-43E6-4A38-A252-DD419C189BB4}" name="Discount" dataDxfId="22"/>
    <tableColumn id="13" xr3:uid="{B1F7B182-453D-42E8-ABB1-0E286AC82DF0}" name="Net_Sales" dataDxfId="21">
      <calculatedColumnFormula>Table1[[#This Row],[Gross_Sales]]-Table1[[#This Row],[Discount]]</calculatedColumnFormula>
    </tableColumn>
    <tableColumn id="14" xr3:uid="{11F8A4C6-EEFF-4375-9726-74B50CB17A32}" name="Product_Cost" dataDxfId="20"/>
    <tableColumn id="15" xr3:uid="{BFDEF7F1-6FD3-4FC8-9AC3-D4F94556263D}" name="Transport_Cost" dataDxfId="19"/>
    <tableColumn id="16" xr3:uid="{0BBD094A-EEEF-4E0E-9EC3-FDB3AA2C5118}" name="Labour_Cost" dataDxfId="18"/>
    <tableColumn id="17" xr3:uid="{E4F0B281-1D5A-4135-857E-D961BC276C28}" name="Marketing_Cost" dataDxfId="17"/>
    <tableColumn id="18" xr3:uid="{0BDFDFFE-3B04-4EC2-82AD-A0225E475F7B}" name="Other_Cost" dataDxfId="16"/>
    <tableColumn id="19" xr3:uid="{A3EC67DE-8509-4E6F-AFAA-DB770F2AEF33}" name="Total_Cost" dataDxfId="15">
      <calculatedColumnFormula>SUM(Table1[[#This Row],[Product_Cost]:[Other_Cost]])</calculatedColumnFormula>
    </tableColumn>
    <tableColumn id="20" xr3:uid="{2D352218-192F-4418-8DED-7ACA5213A31E}" name="Gross_Profit" dataDxfId="14">
      <calculatedColumnFormula>Table1[[#This Row],[Net_Sales]]-Table1[[#This Row],[Product_Cost]]</calculatedColumnFormula>
    </tableColumn>
    <tableColumn id="21" xr3:uid="{C6FE889F-3814-481F-8FB9-B63039EDCE4C}" name="Net_Profit" dataDxfId="13">
      <calculatedColumnFormula>Table1[[#This Row],[Net_Sales]]-Table1[[#This Row],[Total_Cost]]</calculatedColumnFormula>
    </tableColumn>
    <tableColumn id="22" xr3:uid="{7051B6EC-D136-4671-ABDB-323204B011A3}" name="Net_Margin" dataDxfId="12">
      <calculatedColumnFormula>Table1[[#This Row],[Net_Profit]]/Table1[[#This Row],[Net_Sales]]</calculatedColumnFormula>
    </tableColumn>
    <tableColumn id="23" xr3:uid="{A518EDC8-98F8-44F7-A961-A01DB9FA9CE1}" name="Payment_Status"/>
    <tableColumn id="24" xr3:uid="{D608EAE9-75EC-4AF5-BE00-38D633E3B4E8}" name="Month"/>
    <tableColumn id="25" xr3:uid="{B5F45EB2-FC4A-4B37-8A6F-10E8989EDCF7}" name="Month_No"/>
    <tableColumn id="26" xr3:uid="{A3AF6330-77A4-427C-8C89-B5A9ED3A63ED}" name="Period">
      <calculatedColumnFormula>IF(Table1[[#This Row],[Month_No]]&lt;=6, "H1","H2")</calculatedColumnFormula>
    </tableColumn>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F64A9B-1857-4300-A4FE-0ACCD6A16776}">
  <dimension ref="A2:N76"/>
  <sheetViews>
    <sheetView showGridLines="0" workbookViewId="0">
      <selection activeCell="D10" sqref="D10"/>
    </sheetView>
  </sheetViews>
  <sheetFormatPr defaultRowHeight="15" x14ac:dyDescent="0.25"/>
  <cols>
    <col min="1" max="1" width="20.5703125" bestFit="1" customWidth="1"/>
    <col min="2" max="2" width="16.5703125" bestFit="1" customWidth="1"/>
    <col min="3" max="3" width="17" bestFit="1" customWidth="1"/>
    <col min="4" max="4" width="22" bestFit="1" customWidth="1"/>
    <col min="5" max="5" width="9.140625" bestFit="1" customWidth="1"/>
    <col min="6" max="6" width="9.28515625" bestFit="1" customWidth="1"/>
    <col min="7" max="7" width="15.42578125" bestFit="1" customWidth="1"/>
    <col min="8" max="8" width="17" bestFit="1" customWidth="1"/>
    <col min="9" max="9" width="15.42578125" bestFit="1" customWidth="1"/>
    <col min="10" max="10" width="19.5703125" bestFit="1" customWidth="1"/>
    <col min="11" max="11" width="21.140625" bestFit="1" customWidth="1"/>
    <col min="12" max="12" width="18.7109375" bestFit="1" customWidth="1"/>
    <col min="13" max="13" width="22" bestFit="1" customWidth="1"/>
    <col min="14" max="14" width="17.85546875" bestFit="1" customWidth="1"/>
    <col min="15" max="25" width="11.7109375" bestFit="1" customWidth="1"/>
    <col min="26" max="26" width="21.7109375" bestFit="1" customWidth="1"/>
    <col min="27" max="27" width="22.140625" bestFit="1" customWidth="1"/>
  </cols>
  <sheetData>
    <row r="2" spans="1:8" x14ac:dyDescent="0.25">
      <c r="A2" s="16" t="s">
        <v>1529</v>
      </c>
      <c r="B2" s="16"/>
      <c r="C2" s="16"/>
      <c r="D2" s="16"/>
      <c r="F2" s="16" t="s">
        <v>1530</v>
      </c>
      <c r="G2" s="16"/>
      <c r="H2" s="16"/>
    </row>
    <row r="3" spans="1:8" x14ac:dyDescent="0.25">
      <c r="A3" s="5" t="s">
        <v>24</v>
      </c>
      <c r="B3" t="s">
        <v>1527</v>
      </c>
      <c r="C3" t="s">
        <v>1528</v>
      </c>
      <c r="F3" s="5" t="s">
        <v>24</v>
      </c>
      <c r="G3" t="s">
        <v>1541</v>
      </c>
    </row>
    <row r="4" spans="1:8" x14ac:dyDescent="0.25">
      <c r="A4" t="s">
        <v>34</v>
      </c>
      <c r="B4" s="3">
        <v>25431898.420000002</v>
      </c>
      <c r="C4" s="3">
        <v>3598023.4299999997</v>
      </c>
      <c r="F4" t="s">
        <v>34</v>
      </c>
      <c r="G4" s="4">
        <v>0.14552576375871201</v>
      </c>
    </row>
    <row r="5" spans="1:8" x14ac:dyDescent="0.25">
      <c r="A5" t="s">
        <v>209</v>
      </c>
      <c r="B5" s="3">
        <v>24707422.989999995</v>
      </c>
      <c r="C5" s="3">
        <v>3422624.3</v>
      </c>
      <c r="F5" t="s">
        <v>209</v>
      </c>
      <c r="G5" s="4">
        <v>0.13773331855154319</v>
      </c>
    </row>
    <row r="6" spans="1:8" x14ac:dyDescent="0.25">
      <c r="A6" t="s">
        <v>332</v>
      </c>
      <c r="B6" s="3">
        <v>19676764.830000006</v>
      </c>
      <c r="C6" s="3">
        <v>3081017.0900000008</v>
      </c>
      <c r="F6" t="s">
        <v>332</v>
      </c>
      <c r="G6" s="4">
        <v>0.14769444208694066</v>
      </c>
    </row>
    <row r="7" spans="1:8" x14ac:dyDescent="0.25">
      <c r="A7" t="s">
        <v>443</v>
      </c>
      <c r="B7" s="3">
        <v>20153440.200000003</v>
      </c>
      <c r="C7" s="3">
        <v>2790927.6599999992</v>
      </c>
      <c r="F7" t="s">
        <v>443</v>
      </c>
      <c r="G7" s="4">
        <v>0.14302241716980088</v>
      </c>
    </row>
    <row r="8" spans="1:8" x14ac:dyDescent="0.25">
      <c r="A8" t="s">
        <v>546</v>
      </c>
      <c r="B8" s="3">
        <v>25565773.620000008</v>
      </c>
      <c r="C8" s="3">
        <v>3808923.3699999982</v>
      </c>
      <c r="F8" t="s">
        <v>546</v>
      </c>
      <c r="G8" s="4">
        <v>0.15178751703086191</v>
      </c>
    </row>
    <row r="9" spans="1:8" x14ac:dyDescent="0.25">
      <c r="A9" t="s">
        <v>675</v>
      </c>
      <c r="B9" s="3">
        <v>21861504.280000001</v>
      </c>
      <c r="C9" s="3">
        <v>3305846.1300000008</v>
      </c>
      <c r="F9" t="s">
        <v>675</v>
      </c>
      <c r="G9" s="4">
        <v>0.13999303701160212</v>
      </c>
    </row>
    <row r="10" spans="1:8" x14ac:dyDescent="0.25">
      <c r="A10" t="s">
        <v>787</v>
      </c>
      <c r="B10" s="3">
        <v>23487079.939682666</v>
      </c>
      <c r="C10" s="3">
        <v>7035193.4896826642</v>
      </c>
      <c r="F10" t="s">
        <v>787</v>
      </c>
      <c r="G10" s="4">
        <v>0.30200066301766482</v>
      </c>
    </row>
    <row r="11" spans="1:8" x14ac:dyDescent="0.25">
      <c r="A11" t="s">
        <v>920</v>
      </c>
      <c r="B11" s="3">
        <v>22763654.611534376</v>
      </c>
      <c r="C11" s="3">
        <v>6938560.3715343745</v>
      </c>
      <c r="F11" t="s">
        <v>920</v>
      </c>
      <c r="G11" s="4">
        <v>0.29903566282947941</v>
      </c>
    </row>
    <row r="12" spans="1:8" x14ac:dyDescent="0.25">
      <c r="A12" t="s">
        <v>1034</v>
      </c>
      <c r="B12" s="3">
        <v>19424660.515472669</v>
      </c>
      <c r="C12" s="3">
        <v>5547978.4754726812</v>
      </c>
      <c r="F12" t="s">
        <v>1034</v>
      </c>
      <c r="G12" s="4">
        <v>0.28719610131295475</v>
      </c>
    </row>
    <row r="13" spans="1:8" x14ac:dyDescent="0.25">
      <c r="A13" t="s">
        <v>1151</v>
      </c>
      <c r="B13" s="3">
        <v>24553827.100469626</v>
      </c>
      <c r="C13" s="3">
        <v>7047912.1104696291</v>
      </c>
      <c r="F13" t="s">
        <v>1151</v>
      </c>
      <c r="G13" s="4">
        <v>0.30042927027491428</v>
      </c>
    </row>
    <row r="14" spans="1:8" x14ac:dyDescent="0.25">
      <c r="A14" t="s">
        <v>1280</v>
      </c>
      <c r="B14" s="3">
        <v>29547642.574832126</v>
      </c>
      <c r="C14" s="3">
        <v>8748386.3148321435</v>
      </c>
      <c r="F14" t="s">
        <v>1280</v>
      </c>
      <c r="G14" s="4">
        <v>0.30408975625892631</v>
      </c>
    </row>
    <row r="15" spans="1:8" x14ac:dyDescent="0.25">
      <c r="A15" t="s">
        <v>1413</v>
      </c>
      <c r="B15" s="3">
        <v>22859829.177109815</v>
      </c>
      <c r="C15" s="3">
        <v>7078602.6871098066</v>
      </c>
      <c r="F15" t="s">
        <v>1413</v>
      </c>
      <c r="G15" s="4">
        <v>0.30697346956435662</v>
      </c>
    </row>
    <row r="18" spans="1:14" x14ac:dyDescent="0.25">
      <c r="A18" s="16" t="s">
        <v>1540</v>
      </c>
      <c r="B18" s="16"/>
      <c r="C18" s="16"/>
      <c r="H18" s="16" t="s">
        <v>1538</v>
      </c>
      <c r="I18" s="16"/>
    </row>
    <row r="19" spans="1:14" x14ac:dyDescent="0.25">
      <c r="A19" s="5" t="s">
        <v>0</v>
      </c>
      <c r="B19" t="s">
        <v>1539</v>
      </c>
      <c r="C19" t="s">
        <v>1533</v>
      </c>
      <c r="F19" s="5" t="s">
        <v>0</v>
      </c>
      <c r="G19" t="s">
        <v>1527</v>
      </c>
      <c r="H19" t="s">
        <v>1528</v>
      </c>
      <c r="I19" t="s">
        <v>1533</v>
      </c>
      <c r="J19" t="s">
        <v>1526</v>
      </c>
      <c r="K19" t="s">
        <v>1534</v>
      </c>
      <c r="L19" t="s">
        <v>1535</v>
      </c>
      <c r="M19" t="s">
        <v>1536</v>
      </c>
      <c r="N19" t="s">
        <v>1537</v>
      </c>
    </row>
    <row r="20" spans="1:14" x14ac:dyDescent="0.25">
      <c r="A20" t="s">
        <v>1531</v>
      </c>
      <c r="B20" s="3">
        <v>148890598.25999996</v>
      </c>
      <c r="C20" s="3">
        <v>11493793.919999998</v>
      </c>
      <c r="D20" s="7">
        <f>GETPIVOTDATA("Sum of Discount",$A$19,"Period","H1")/GETPIVOTDATA("Sum of Gross_Sales",$A$19,"Period","H1")</f>
        <v>7.7196237064807674E-2</v>
      </c>
      <c r="F20" t="s">
        <v>1531</v>
      </c>
      <c r="G20" s="3">
        <v>137396804.33999985</v>
      </c>
      <c r="H20" s="3">
        <v>20007361.979999997</v>
      </c>
      <c r="I20" s="3">
        <v>11493793.919999998</v>
      </c>
      <c r="J20" s="3">
        <v>94486122.759999976</v>
      </c>
      <c r="K20" s="3">
        <v>4263524.7100000037</v>
      </c>
      <c r="L20" s="3">
        <v>8897905.7999999933</v>
      </c>
      <c r="M20" s="3">
        <v>6193530.0099999951</v>
      </c>
      <c r="N20" s="3">
        <v>3548359.08</v>
      </c>
    </row>
    <row r="21" spans="1:14" x14ac:dyDescent="0.25">
      <c r="A21" t="s">
        <v>1532</v>
      </c>
      <c r="B21" s="3">
        <v>148579468.35910127</v>
      </c>
      <c r="C21" s="3">
        <v>5942774.4399999958</v>
      </c>
      <c r="D21" s="7">
        <f>GETPIVOTDATA("Sum of Discount",$A$19,"Period","H2")/GETPIVOTDATA("Sum of Gross_Sales",$A$19,"Period","H2")</f>
        <v>3.9997278935181825E-2</v>
      </c>
      <c r="F21" t="s">
        <v>1532</v>
      </c>
      <c r="G21" s="3">
        <v>142636693.91910157</v>
      </c>
      <c r="H21" s="3">
        <v>42396633.449101239</v>
      </c>
      <c r="I21" s="3">
        <v>5942774.4399999958</v>
      </c>
      <c r="J21" s="3">
        <v>83343997.749999985</v>
      </c>
      <c r="K21" s="3">
        <v>3038280.4200000009</v>
      </c>
      <c r="L21" s="3">
        <v>7846691.6399999987</v>
      </c>
      <c r="M21" s="3">
        <v>3587947.8799999976</v>
      </c>
      <c r="N21" s="3">
        <v>2423142.7799999961</v>
      </c>
    </row>
    <row r="24" spans="1:14" x14ac:dyDescent="0.25">
      <c r="B24" s="16" t="s">
        <v>1542</v>
      </c>
      <c r="C24" s="16"/>
      <c r="F24" s="16" t="s">
        <v>1543</v>
      </c>
      <c r="G24" s="16"/>
    </row>
    <row r="25" spans="1:14" x14ac:dyDescent="0.25">
      <c r="A25" s="5" t="s">
        <v>0</v>
      </c>
      <c r="B25" t="s">
        <v>1527</v>
      </c>
      <c r="C25" t="s">
        <v>1528</v>
      </c>
      <c r="D25" t="s">
        <v>1541</v>
      </c>
      <c r="F25" s="5" t="s">
        <v>0</v>
      </c>
      <c r="G25" t="s">
        <v>1527</v>
      </c>
      <c r="H25" t="s">
        <v>1528</v>
      </c>
    </row>
    <row r="26" spans="1:14" x14ac:dyDescent="0.25">
      <c r="A26" t="s">
        <v>1531</v>
      </c>
      <c r="B26" s="3">
        <v>137396804.33999985</v>
      </c>
      <c r="C26" s="3">
        <v>20007361.979999997</v>
      </c>
      <c r="D26" s="4">
        <v>0.14442081573982751</v>
      </c>
      <c r="F26" t="s">
        <v>1531</v>
      </c>
      <c r="G26" s="3">
        <v>137396804.33999985</v>
      </c>
      <c r="H26" s="3">
        <v>20007361.979999997</v>
      </c>
    </row>
    <row r="27" spans="1:14" x14ac:dyDescent="0.25">
      <c r="A27" t="s">
        <v>1532</v>
      </c>
      <c r="B27" s="3">
        <v>142636693.91910157</v>
      </c>
      <c r="C27" s="3">
        <v>42396633.449101239</v>
      </c>
      <c r="D27" s="4">
        <v>0.30007174612057946</v>
      </c>
      <c r="F27" t="s">
        <v>1532</v>
      </c>
      <c r="G27" s="3">
        <v>142636693.91910157</v>
      </c>
      <c r="H27" s="3">
        <v>42396633.449101239</v>
      </c>
    </row>
    <row r="30" spans="1:14" x14ac:dyDescent="0.25">
      <c r="A30" s="16" t="s">
        <v>1544</v>
      </c>
      <c r="B30" s="16"/>
      <c r="C30" s="16"/>
      <c r="F30" s="15" t="s">
        <v>1545</v>
      </c>
      <c r="G30" s="15"/>
      <c r="H30" s="15"/>
    </row>
    <row r="31" spans="1:14" x14ac:dyDescent="0.25">
      <c r="A31" s="5" t="s">
        <v>5</v>
      </c>
      <c r="B31" t="s">
        <v>1528</v>
      </c>
      <c r="F31" s="5" t="s">
        <v>0</v>
      </c>
    </row>
    <row r="32" spans="1:14" x14ac:dyDescent="0.25">
      <c r="A32" t="s">
        <v>29</v>
      </c>
      <c r="B32" s="3">
        <v>4960162.2874980932</v>
      </c>
      <c r="E32" s="5" t="s">
        <v>1549</v>
      </c>
      <c r="F32" t="s">
        <v>1531</v>
      </c>
      <c r="G32" t="s">
        <v>1532</v>
      </c>
    </row>
    <row r="33" spans="1:9" x14ac:dyDescent="0.25">
      <c r="A33" t="s">
        <v>51</v>
      </c>
      <c r="B33" s="3">
        <v>4071056.2728117662</v>
      </c>
      <c r="E33" t="s">
        <v>1526</v>
      </c>
      <c r="F33" s="3">
        <v>94486122.759999976</v>
      </c>
      <c r="G33" s="3">
        <v>83343997.749999985</v>
      </c>
    </row>
    <row r="34" spans="1:9" x14ac:dyDescent="0.25">
      <c r="A34" t="s">
        <v>75</v>
      </c>
      <c r="B34" s="3">
        <v>17313619.762246836</v>
      </c>
      <c r="E34" t="s">
        <v>1534</v>
      </c>
      <c r="F34" s="3">
        <v>4263524.7100000037</v>
      </c>
      <c r="G34" s="3">
        <v>3038280.4200000009</v>
      </c>
    </row>
    <row r="35" spans="1:9" x14ac:dyDescent="0.25">
      <c r="A35" t="s">
        <v>45</v>
      </c>
      <c r="B35" s="3">
        <v>18335568.890536129</v>
      </c>
      <c r="E35" t="s">
        <v>1535</v>
      </c>
      <c r="F35" s="3">
        <v>8897905.7999999933</v>
      </c>
      <c r="G35" s="3">
        <v>7846691.6399999987</v>
      </c>
    </row>
    <row r="36" spans="1:9" x14ac:dyDescent="0.25">
      <c r="A36" t="s">
        <v>38</v>
      </c>
      <c r="B36" s="3">
        <v>11973568.892841674</v>
      </c>
      <c r="E36" t="s">
        <v>1536</v>
      </c>
      <c r="F36" s="3">
        <v>6193530.0099999951</v>
      </c>
      <c r="G36" s="3">
        <v>3587947.8799999976</v>
      </c>
    </row>
    <row r="37" spans="1:9" x14ac:dyDescent="0.25">
      <c r="A37" t="s">
        <v>57</v>
      </c>
      <c r="B37" s="3">
        <v>5750019.323166796</v>
      </c>
      <c r="E37" t="s">
        <v>1537</v>
      </c>
      <c r="F37" s="3">
        <v>3548359.08</v>
      </c>
      <c r="G37" s="3">
        <v>2423142.7799999961</v>
      </c>
    </row>
    <row r="40" spans="1:9" x14ac:dyDescent="0.25">
      <c r="B40" s="14" t="s">
        <v>1546</v>
      </c>
      <c r="C40" s="14"/>
      <c r="F40" s="15" t="s">
        <v>1548</v>
      </c>
      <c r="G40" s="15"/>
      <c r="H40" s="15"/>
      <c r="I40" s="15"/>
    </row>
    <row r="41" spans="1:9" x14ac:dyDescent="0.25">
      <c r="A41" s="5" t="s">
        <v>3</v>
      </c>
      <c r="B41" t="s">
        <v>1527</v>
      </c>
      <c r="C41" t="s">
        <v>1528</v>
      </c>
      <c r="D41" t="s">
        <v>1541</v>
      </c>
      <c r="F41" s="5" t="s">
        <v>24</v>
      </c>
      <c r="G41" t="s">
        <v>1547</v>
      </c>
      <c r="H41" t="s">
        <v>1528</v>
      </c>
    </row>
    <row r="42" spans="1:9" x14ac:dyDescent="0.25">
      <c r="A42" t="s">
        <v>107</v>
      </c>
      <c r="B42" s="3">
        <v>20902644.706553023</v>
      </c>
      <c r="C42" s="3">
        <v>4779874.346553022</v>
      </c>
      <c r="D42" s="4">
        <v>0.22518441161289168</v>
      </c>
      <c r="F42" t="s">
        <v>34</v>
      </c>
      <c r="G42">
        <v>10487</v>
      </c>
      <c r="H42" s="3">
        <v>3598023.4299999997</v>
      </c>
    </row>
    <row r="43" spans="1:9" x14ac:dyDescent="0.25">
      <c r="A43" t="s">
        <v>43</v>
      </c>
      <c r="B43" s="3">
        <v>20432296.582750574</v>
      </c>
      <c r="C43" s="3">
        <v>4461289.7727505723</v>
      </c>
      <c r="D43" s="4">
        <v>0.20622132137338406</v>
      </c>
      <c r="F43" t="s">
        <v>209</v>
      </c>
      <c r="G43">
        <v>9181</v>
      </c>
      <c r="H43" s="3">
        <v>3422624.3</v>
      </c>
    </row>
    <row r="44" spans="1:9" x14ac:dyDescent="0.25">
      <c r="A44" t="s">
        <v>49</v>
      </c>
      <c r="B44" s="3">
        <v>23073488.034079108</v>
      </c>
      <c r="C44" s="3">
        <v>5204439.3640791075</v>
      </c>
      <c r="D44" s="4">
        <v>0.22940483941341744</v>
      </c>
      <c r="F44" t="s">
        <v>332</v>
      </c>
      <c r="G44">
        <v>8195</v>
      </c>
      <c r="H44" s="3">
        <v>3081017.0900000008</v>
      </c>
    </row>
    <row r="45" spans="1:9" x14ac:dyDescent="0.25">
      <c r="A45" t="s">
        <v>78</v>
      </c>
      <c r="B45" s="3">
        <v>23878841.284043558</v>
      </c>
      <c r="C45" s="3">
        <v>5161267.3840435613</v>
      </c>
      <c r="D45" s="4">
        <v>0.2197562669298333</v>
      </c>
      <c r="F45" t="s">
        <v>443</v>
      </c>
      <c r="G45">
        <v>8159</v>
      </c>
      <c r="H45" s="3">
        <v>2790927.6599999992</v>
      </c>
    </row>
    <row r="46" spans="1:9" x14ac:dyDescent="0.25">
      <c r="A46" t="s">
        <v>36</v>
      </c>
      <c r="B46" s="3">
        <v>29313342.664205618</v>
      </c>
      <c r="C46" s="3">
        <v>6471242.2242056169</v>
      </c>
      <c r="D46" s="4">
        <v>0.22241353319324095</v>
      </c>
      <c r="F46" t="s">
        <v>546</v>
      </c>
      <c r="G46">
        <v>9809</v>
      </c>
      <c r="H46" s="3">
        <v>3808923.3699999982</v>
      </c>
    </row>
    <row r="47" spans="1:9" x14ac:dyDescent="0.25">
      <c r="A47" t="s">
        <v>70</v>
      </c>
      <c r="B47" s="3">
        <v>24850760.126507346</v>
      </c>
      <c r="C47" s="3">
        <v>5659922.0665073581</v>
      </c>
      <c r="D47" s="4">
        <v>0.22713194121334473</v>
      </c>
      <c r="F47" t="s">
        <v>675</v>
      </c>
      <c r="G47">
        <v>8980</v>
      </c>
      <c r="H47" s="3">
        <v>3305846.1300000008</v>
      </c>
    </row>
    <row r="48" spans="1:9" x14ac:dyDescent="0.25">
      <c r="A48" t="s">
        <v>55</v>
      </c>
      <c r="B48" s="3">
        <v>23125938.543731935</v>
      </c>
      <c r="C48" s="3">
        <v>5074784.8037319304</v>
      </c>
      <c r="D48" s="4">
        <v>0.22375097971008362</v>
      </c>
      <c r="F48" t="s">
        <v>787</v>
      </c>
      <c r="G48">
        <v>7879.5259936061339</v>
      </c>
      <c r="H48" s="3">
        <v>7035193.4896826642</v>
      </c>
    </row>
    <row r="49" spans="1:8" x14ac:dyDescent="0.25">
      <c r="A49" t="s">
        <v>63</v>
      </c>
      <c r="B49" s="3">
        <v>20644834.519276079</v>
      </c>
      <c r="C49" s="3">
        <v>4654401.2292760843</v>
      </c>
      <c r="D49" s="4">
        <v>0.22653344749250873</v>
      </c>
      <c r="F49" t="s">
        <v>920</v>
      </c>
      <c r="G49">
        <v>6585.635234469044</v>
      </c>
      <c r="H49" s="3">
        <v>6938560.3715343745</v>
      </c>
    </row>
    <row r="50" spans="1:8" x14ac:dyDescent="0.25">
      <c r="A50" t="s">
        <v>117</v>
      </c>
      <c r="B50" s="3">
        <v>31811980.753638834</v>
      </c>
      <c r="C50" s="3">
        <v>7113758.7636388186</v>
      </c>
      <c r="D50" s="4">
        <v>0.22809511485230324</v>
      </c>
      <c r="F50" t="s">
        <v>1034</v>
      </c>
      <c r="G50">
        <v>6643.5887817303055</v>
      </c>
      <c r="H50" s="3">
        <v>5547978.4754726812</v>
      </c>
    </row>
    <row r="51" spans="1:8" x14ac:dyDescent="0.25">
      <c r="A51" t="s">
        <v>83</v>
      </c>
      <c r="B51" s="3">
        <v>22688976.223653257</v>
      </c>
      <c r="C51" s="3">
        <v>4912298.6236532619</v>
      </c>
      <c r="D51" s="4">
        <v>0.21799268175100928</v>
      </c>
      <c r="F51" t="s">
        <v>1151</v>
      </c>
      <c r="G51">
        <v>7757.6977450795712</v>
      </c>
      <c r="H51" s="3">
        <v>7047912.1104696291</v>
      </c>
    </row>
    <row r="52" spans="1:8" x14ac:dyDescent="0.25">
      <c r="A52" t="s">
        <v>27</v>
      </c>
      <c r="B52" s="3">
        <v>23009270.466846153</v>
      </c>
      <c r="C52" s="3">
        <v>5460389.6368461531</v>
      </c>
      <c r="D52" s="4">
        <v>0.23751960800804464</v>
      </c>
      <c r="F52" t="s">
        <v>1280</v>
      </c>
      <c r="G52">
        <v>7714.2480843350822</v>
      </c>
      <c r="H52" s="3">
        <v>8748386.3148321435</v>
      </c>
    </row>
    <row r="53" spans="1:8" x14ac:dyDescent="0.25">
      <c r="A53" t="s">
        <v>98</v>
      </c>
      <c r="B53" s="3">
        <v>16301124.353815805</v>
      </c>
      <c r="C53" s="3">
        <v>3450327.2138158111</v>
      </c>
      <c r="D53" s="4">
        <v>0.21691737641931064</v>
      </c>
      <c r="F53" t="s">
        <v>1413</v>
      </c>
      <c r="G53">
        <v>6617.7059491162863</v>
      </c>
      <c r="H53" s="3">
        <v>7078602.6871098066</v>
      </c>
    </row>
    <row r="56" spans="1:8" x14ac:dyDescent="0.25">
      <c r="A56" s="5" t="s">
        <v>0</v>
      </c>
      <c r="B56" t="s">
        <v>1539</v>
      </c>
      <c r="E56" s="5" t="s">
        <v>0</v>
      </c>
      <c r="F56" t="s">
        <v>1527</v>
      </c>
    </row>
    <row r="57" spans="1:8" x14ac:dyDescent="0.25">
      <c r="A57" t="s">
        <v>1531</v>
      </c>
      <c r="B57" s="3">
        <v>148890598.25999996</v>
      </c>
      <c r="C57" s="9">
        <f>GETPIVOTDATA("Gross_Sales",$A$56,"Period","H1")</f>
        <v>148890598.25999996</v>
      </c>
      <c r="E57" t="s">
        <v>1531</v>
      </c>
      <c r="F57" s="3">
        <v>137396804.33999985</v>
      </c>
      <c r="G57" s="9">
        <f>GETPIVOTDATA("Net_Sales",$E$56,"Period","H1")</f>
        <v>137396804.33999985</v>
      </c>
    </row>
    <row r="58" spans="1:8" x14ac:dyDescent="0.25">
      <c r="A58" t="s">
        <v>1532</v>
      </c>
      <c r="B58" s="3">
        <v>148579468.35910127</v>
      </c>
      <c r="C58" s="9">
        <f>GETPIVOTDATA("Gross_Sales",$A$56,"Period","H2")</f>
        <v>148579468.35910127</v>
      </c>
      <c r="E58" t="s">
        <v>1532</v>
      </c>
      <c r="F58" s="3">
        <v>142636693.91910157</v>
      </c>
      <c r="G58" s="9">
        <f>GETPIVOTDATA("Net_Sales",$E$56,"Period","H2")</f>
        <v>142636693.91910157</v>
      </c>
    </row>
    <row r="59" spans="1:8" x14ac:dyDescent="0.25">
      <c r="B59" s="9">
        <f>SUM(B57:B58)</f>
        <v>297470066.61910123</v>
      </c>
      <c r="C59" s="10">
        <f>C58/C57-1</f>
        <v>-2.0896544478610224E-3</v>
      </c>
      <c r="F59" s="9">
        <f>SUM(F57:F58)</f>
        <v>280033498.25910139</v>
      </c>
      <c r="G59" s="10">
        <f>G58/G57-1</f>
        <v>3.8136910128820478E-2</v>
      </c>
    </row>
    <row r="61" spans="1:8" x14ac:dyDescent="0.25">
      <c r="A61" s="5" t="s">
        <v>0</v>
      </c>
      <c r="B61" t="s">
        <v>1528</v>
      </c>
    </row>
    <row r="62" spans="1:8" x14ac:dyDescent="0.25">
      <c r="A62" t="s">
        <v>1531</v>
      </c>
      <c r="B62" s="3">
        <v>20007361.979999997</v>
      </c>
      <c r="C62" s="9">
        <f>GETPIVOTDATA("Net_Profit",$A$61,"Period","H1")</f>
        <v>20007361.979999997</v>
      </c>
      <c r="E62" s="5" t="s">
        <v>0</v>
      </c>
      <c r="F62" t="s">
        <v>1541</v>
      </c>
    </row>
    <row r="63" spans="1:8" x14ac:dyDescent="0.25">
      <c r="A63" t="s">
        <v>1532</v>
      </c>
      <c r="B63" s="3">
        <v>42396633.449101239</v>
      </c>
      <c r="C63" s="9">
        <f>GETPIVOTDATA("Net_Profit",$A$61,"Period","H2")</f>
        <v>42396633.449101239</v>
      </c>
      <c r="E63" t="s">
        <v>1531</v>
      </c>
      <c r="F63" s="4">
        <v>0.14442081573982751</v>
      </c>
      <c r="G63" s="7">
        <f>GETPIVOTDATA("Net_Margin",$E$62,"Period","H1")</f>
        <v>0.14442081573982751</v>
      </c>
    </row>
    <row r="64" spans="1:8" x14ac:dyDescent="0.25">
      <c r="B64" s="9">
        <f>SUM(B62:B63)</f>
        <v>62403995.429101236</v>
      </c>
      <c r="C64" s="10">
        <f>C63/C62-1</f>
        <v>1.1190516516611373</v>
      </c>
      <c r="E64" t="s">
        <v>1532</v>
      </c>
      <c r="F64" s="4">
        <v>0.30007174612057946</v>
      </c>
      <c r="G64" s="7">
        <f>GETPIVOTDATA("Net_Margin",$E$62,"Period","H2")</f>
        <v>0.30007174612057946</v>
      </c>
    </row>
    <row r="65" spans="1:7" x14ac:dyDescent="0.25">
      <c r="F65" s="7">
        <f>GETPIVOTDATA("Net_Margin",$E$62,"Period","H1")+GETPIVOTDATA("Net_Margin",$E$62,"Period","H2")</f>
        <v>0.44449256186040698</v>
      </c>
      <c r="G65" s="10">
        <f>G64-G63</f>
        <v>0.15565093038075195</v>
      </c>
    </row>
    <row r="67" spans="1:7" x14ac:dyDescent="0.25">
      <c r="A67" s="5" t="s">
        <v>0</v>
      </c>
      <c r="B67" t="s">
        <v>1547</v>
      </c>
      <c r="E67" s="5" t="s">
        <v>0</v>
      </c>
      <c r="F67" t="s">
        <v>1526</v>
      </c>
    </row>
    <row r="68" spans="1:7" x14ac:dyDescent="0.25">
      <c r="A68" t="s">
        <v>1531</v>
      </c>
      <c r="B68">
        <v>54811</v>
      </c>
      <c r="C68" s="8">
        <f>GETPIVOTDATA("Quantity",$A$67,"Period","H1")</f>
        <v>54811</v>
      </c>
      <c r="E68" t="s">
        <v>1531</v>
      </c>
      <c r="F68" s="3">
        <v>94486122.759999976</v>
      </c>
      <c r="G68" s="9">
        <f>GETPIVOTDATA("Product_Cost",$E$67,"Period","H1")</f>
        <v>94486122.759999976</v>
      </c>
    </row>
    <row r="69" spans="1:7" x14ac:dyDescent="0.25">
      <c r="A69" t="s">
        <v>1532</v>
      </c>
      <c r="B69">
        <v>43198.401788336392</v>
      </c>
      <c r="C69" s="8">
        <f>GETPIVOTDATA("Quantity",$A$67,"Period","H2")</f>
        <v>43198.401788336392</v>
      </c>
      <c r="E69" t="s">
        <v>1532</v>
      </c>
      <c r="F69" s="3">
        <v>83343997.749999985</v>
      </c>
      <c r="G69" s="9">
        <f>GETPIVOTDATA("Product_Cost",$E$67,"Period","H2")</f>
        <v>83343997.749999985</v>
      </c>
    </row>
    <row r="70" spans="1:7" x14ac:dyDescent="0.25">
      <c r="B70" s="8">
        <f>SUM(B68:B69)</f>
        <v>98009.401788336399</v>
      </c>
      <c r="C70" s="10">
        <f>C69/C68-1</f>
        <v>-0.21186619860363076</v>
      </c>
      <c r="F70" s="9">
        <f>SUM(F68:F69)</f>
        <v>177830120.50999996</v>
      </c>
      <c r="G70" s="10">
        <f>G69/G68-1</f>
        <v>-0.11792340170737681</v>
      </c>
    </row>
    <row r="73" spans="1:7" x14ac:dyDescent="0.25">
      <c r="D73" s="9"/>
    </row>
    <row r="75" spans="1:7" x14ac:dyDescent="0.25">
      <c r="C75" t="s">
        <v>1533</v>
      </c>
    </row>
    <row r="76" spans="1:7" x14ac:dyDescent="0.25">
      <c r="C76" s="3">
        <v>17436568.359999988</v>
      </c>
    </row>
  </sheetData>
  <mergeCells count="10">
    <mergeCell ref="B40:C40"/>
    <mergeCell ref="F40:I40"/>
    <mergeCell ref="A30:C30"/>
    <mergeCell ref="A2:D2"/>
    <mergeCell ref="F2:H2"/>
    <mergeCell ref="H18:I18"/>
    <mergeCell ref="A18:C18"/>
    <mergeCell ref="B24:C24"/>
    <mergeCell ref="F24:G24"/>
    <mergeCell ref="F30:H30"/>
  </mergeCell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iconSet" priority="6" id="{C440A12E-9713-4974-85F0-D6A823EF6CEE}">
            <x14:iconSet iconSet="3Arrows" custom="1">
              <x14:cfvo type="percent">
                <xm:f>0</xm:f>
              </x14:cfvo>
              <x14:cfvo type="num">
                <xm:f>0</xm:f>
              </x14:cfvo>
              <x14:cfvo type="num">
                <xm:f>1</xm:f>
              </x14:cfvo>
              <x14:cfIcon iconSet="3Arrows" iconId="0"/>
              <x14:cfIcon iconSet="3Arrows" iconId="2"/>
              <x14:cfIcon iconSet="3Arrows" iconId="2"/>
            </x14:iconSet>
          </x14:cfRule>
          <xm:sqref>C59</xm:sqref>
        </x14:conditionalFormatting>
        <x14:conditionalFormatting xmlns:xm="http://schemas.microsoft.com/office/excel/2006/main">
          <x14:cfRule type="iconSet" priority="4" id="{D90CC11D-5AF8-4BDF-A4D5-BDFC0416FA02}">
            <x14:iconSet iconSet="3Arrows" custom="1">
              <x14:cfvo type="percent">
                <xm:f>0</xm:f>
              </x14:cfvo>
              <x14:cfvo type="num">
                <xm:f>0</xm:f>
              </x14:cfvo>
              <x14:cfvo type="num">
                <xm:f>1</xm:f>
              </x14:cfvo>
              <x14:cfIcon iconSet="3Arrows" iconId="0"/>
              <x14:cfIcon iconSet="3Arrows" iconId="2"/>
              <x14:cfIcon iconSet="3Arrows" iconId="2"/>
            </x14:iconSet>
          </x14:cfRule>
          <xm:sqref>C64</xm:sqref>
        </x14:conditionalFormatting>
        <x14:conditionalFormatting xmlns:xm="http://schemas.microsoft.com/office/excel/2006/main">
          <x14:cfRule type="iconSet" priority="1" id="{6E85BD1B-B598-4710-9257-EC82E1B09D34}">
            <x14:iconSet iconSet="3Arrows" custom="1">
              <x14:cfvo type="percent">
                <xm:f>0</xm:f>
              </x14:cfvo>
              <x14:cfvo type="num">
                <xm:f>0</xm:f>
              </x14:cfvo>
              <x14:cfvo type="num">
                <xm:f>1</xm:f>
              </x14:cfvo>
              <x14:cfIcon iconSet="3Arrows" iconId="0"/>
              <x14:cfIcon iconSet="3Arrows" iconId="2"/>
              <x14:cfIcon iconSet="3Arrows" iconId="2"/>
            </x14:iconSet>
          </x14:cfRule>
          <xm:sqref>C70</xm:sqref>
        </x14:conditionalFormatting>
        <x14:conditionalFormatting xmlns:xm="http://schemas.microsoft.com/office/excel/2006/main">
          <x14:cfRule type="iconSet" priority="5" id="{CB8B4532-753B-49C1-8849-256558D271B7}">
            <x14:iconSet iconSet="3Arrows" custom="1">
              <x14:cfvo type="percent">
                <xm:f>0</xm:f>
              </x14:cfvo>
              <x14:cfvo type="num">
                <xm:f>0</xm:f>
              </x14:cfvo>
              <x14:cfvo type="num">
                <xm:f>1</xm:f>
              </x14:cfvo>
              <x14:cfIcon iconSet="3Arrows" iconId="0"/>
              <x14:cfIcon iconSet="3Arrows" iconId="2"/>
              <x14:cfIcon iconSet="3Arrows" iconId="2"/>
            </x14:iconSet>
          </x14:cfRule>
          <xm:sqref>G59</xm:sqref>
        </x14:conditionalFormatting>
        <x14:conditionalFormatting xmlns:xm="http://schemas.microsoft.com/office/excel/2006/main">
          <x14:cfRule type="iconSet" priority="3" id="{85ED64BD-D9B2-4B47-9975-9B2BD27EF8E6}">
            <x14:iconSet iconSet="3Arrows" custom="1">
              <x14:cfvo type="percent">
                <xm:f>0</xm:f>
              </x14:cfvo>
              <x14:cfvo type="num">
                <xm:f>0</xm:f>
              </x14:cfvo>
              <x14:cfvo type="num">
                <xm:f>1</xm:f>
              </x14:cfvo>
              <x14:cfIcon iconSet="3Arrows" iconId="0"/>
              <x14:cfIcon iconSet="3Arrows" iconId="2"/>
              <x14:cfIcon iconSet="3Arrows" iconId="2"/>
            </x14:iconSet>
          </x14:cfRule>
          <xm:sqref>G65</xm:sqref>
        </x14:conditionalFormatting>
        <x14:conditionalFormatting xmlns:xm="http://schemas.microsoft.com/office/excel/2006/main">
          <x14:cfRule type="iconSet" priority="2" id="{70001DBB-2474-4AD8-A79A-89B06AB76F08}">
            <x14:iconSet iconSet="3Arrows" custom="1">
              <x14:cfvo type="percent">
                <xm:f>0</xm:f>
              </x14:cfvo>
              <x14:cfvo type="num">
                <xm:f>0</xm:f>
              </x14:cfvo>
              <x14:cfvo type="num">
                <xm:f>1</xm:f>
              </x14:cfvo>
              <x14:cfIcon iconSet="3Arrows" iconId="0"/>
              <x14:cfIcon iconSet="3Arrows" iconId="2"/>
              <x14:cfIcon iconSet="3Arrows" iconId="2"/>
            </x14:iconSet>
          </x14:cfRule>
          <xm:sqref>G70</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04AEF-4977-42BB-92CD-11731895CFC9}">
  <dimension ref="A12:U22"/>
  <sheetViews>
    <sheetView tabSelected="1" zoomScale="90" zoomScaleNormal="90" workbookViewId="0">
      <selection activeCell="V13" sqref="V13"/>
    </sheetView>
  </sheetViews>
  <sheetFormatPr defaultRowHeight="15" x14ac:dyDescent="0.25"/>
  <cols>
    <col min="1" max="21" width="9.140625" style="11"/>
  </cols>
  <sheetData>
    <row r="12" spans="2:19" ht="15" customHeight="1" x14ac:dyDescent="0.35">
      <c r="C12" s="12"/>
    </row>
    <row r="13" spans="2:19" ht="15" customHeight="1" x14ac:dyDescent="0.3">
      <c r="B13" s="18">
        <f>ANALYSIS!C59</f>
        <v>-2.0896544478610224E-3</v>
      </c>
      <c r="C13" s="18"/>
      <c r="E13" s="17">
        <f>ANALYSIS!G59</f>
        <v>3.8136910128820478E-2</v>
      </c>
      <c r="F13" s="17"/>
      <c r="H13" s="17">
        <f>ANALYSIS!C64</f>
        <v>1.1190516516611373</v>
      </c>
      <c r="I13" s="17"/>
      <c r="L13" s="17">
        <f>ANALYSIS!G65</f>
        <v>0.15565093038075195</v>
      </c>
      <c r="M13" s="17"/>
      <c r="O13" s="17">
        <f>ANALYSIS!G70</f>
        <v>-0.11792340170737681</v>
      </c>
      <c r="P13" s="17"/>
      <c r="R13" s="17">
        <f>ANALYSIS!G70</f>
        <v>-0.11792340170737681</v>
      </c>
      <c r="S13" s="17"/>
    </row>
    <row r="22" spans="8:8" x14ac:dyDescent="0.25">
      <c r="H22" s="13"/>
    </row>
  </sheetData>
  <mergeCells count="6">
    <mergeCell ref="R13:S13"/>
    <mergeCell ref="B13:C13"/>
    <mergeCell ref="E13:F13"/>
    <mergeCell ref="H13:I13"/>
    <mergeCell ref="L13:M13"/>
    <mergeCell ref="O13:P13"/>
  </mergeCells>
  <conditionalFormatting sqref="B13:C13">
    <cfRule type="expression" dxfId="11" priority="11">
      <formula>$B$13&lt;0</formula>
    </cfRule>
    <cfRule type="expression" dxfId="10" priority="12">
      <formula>$B$13&gt;0</formula>
    </cfRule>
  </conditionalFormatting>
  <conditionalFormatting sqref="E13:F13">
    <cfRule type="expression" dxfId="9" priority="9">
      <formula>$E$13&lt;0</formula>
    </cfRule>
    <cfRule type="expression" dxfId="8" priority="10">
      <formula>$E$13&gt;0</formula>
    </cfRule>
  </conditionalFormatting>
  <conditionalFormatting sqref="H13:I13">
    <cfRule type="expression" dxfId="7" priority="7">
      <formula>$H$13&lt;0</formula>
    </cfRule>
    <cfRule type="expression" dxfId="6" priority="8">
      <formula>$H$13&gt;0</formula>
    </cfRule>
  </conditionalFormatting>
  <conditionalFormatting sqref="L13:M13">
    <cfRule type="expression" dxfId="5" priority="5">
      <formula>$L$13&lt;0</formula>
    </cfRule>
    <cfRule type="expression" dxfId="4" priority="6">
      <formula>$L$13&gt;0</formula>
    </cfRule>
  </conditionalFormatting>
  <conditionalFormatting sqref="O13:P13">
    <cfRule type="expression" dxfId="3" priority="3">
      <formula>$O$13&lt;0</formula>
    </cfRule>
    <cfRule type="expression" dxfId="2" priority="4">
      <formula>$O$13&gt;0</formula>
    </cfRule>
  </conditionalFormatting>
  <conditionalFormatting sqref="R13:S13">
    <cfRule type="expression" dxfId="1" priority="1">
      <formula>$R$13&lt;0</formula>
    </cfRule>
    <cfRule type="expression" dxfId="0" priority="2">
      <formula>$R$13&gt;0</formula>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iconSet" priority="18" id="{9D919D7E-EAE5-440B-A9E1-7ED78411E862}">
            <x14:iconSet iconSet="3Arrows" custom="1">
              <x14:cfvo type="percent">
                <xm:f>0</xm:f>
              </x14:cfvo>
              <x14:cfvo type="num">
                <xm:f>0</xm:f>
              </x14:cfvo>
              <x14:cfvo type="num" gte="0">
                <xm:f>1</xm:f>
              </x14:cfvo>
              <x14:cfIcon iconSet="3Arrows" iconId="0"/>
              <x14:cfIcon iconSet="3Arrows" iconId="2"/>
              <x14:cfIcon iconSet="3Arrows" iconId="2"/>
            </x14:iconSet>
          </x14:cfRule>
          <xm:sqref>C12 B13</xm:sqref>
        </x14:conditionalFormatting>
        <x14:conditionalFormatting xmlns:xm="http://schemas.microsoft.com/office/excel/2006/main">
          <x14:cfRule type="iconSet" priority="17" id="{FEFAAC5A-63DB-44B8-9EF0-25995DBF1D60}">
            <x14:iconSet iconSet="3Arrows" custom="1">
              <x14:cfvo type="percent">
                <xm:f>0</xm:f>
              </x14:cfvo>
              <x14:cfvo type="num">
                <xm:f>0</xm:f>
              </x14:cfvo>
              <x14:cfvo type="num" gte="0">
                <xm:f>1</xm:f>
              </x14:cfvo>
              <x14:cfIcon iconSet="3Arrows" iconId="0"/>
              <x14:cfIcon iconSet="3Arrows" iconId="2"/>
              <x14:cfIcon iconSet="3Arrows" iconId="2"/>
            </x14:iconSet>
          </x14:cfRule>
          <xm:sqref>E13</xm:sqref>
        </x14:conditionalFormatting>
        <x14:conditionalFormatting xmlns:xm="http://schemas.microsoft.com/office/excel/2006/main">
          <x14:cfRule type="iconSet" priority="16" id="{A2C995EB-2B9D-4A0A-A2D4-BED8E16C19B4}">
            <x14:iconSet iconSet="3Arrows" custom="1">
              <x14:cfvo type="percent">
                <xm:f>0</xm:f>
              </x14:cfvo>
              <x14:cfvo type="num">
                <xm:f>0</xm:f>
              </x14:cfvo>
              <x14:cfvo type="num" gte="0">
                <xm:f>1</xm:f>
              </x14:cfvo>
              <x14:cfIcon iconSet="3Arrows" iconId="0"/>
              <x14:cfIcon iconSet="3Arrows" iconId="2"/>
              <x14:cfIcon iconSet="3Arrows" iconId="2"/>
            </x14:iconSet>
          </x14:cfRule>
          <xm:sqref>H13</xm:sqref>
        </x14:conditionalFormatting>
        <x14:conditionalFormatting xmlns:xm="http://schemas.microsoft.com/office/excel/2006/main">
          <x14:cfRule type="iconSet" priority="15" id="{58D57F62-7712-4855-BAD4-E76FD41079E0}">
            <x14:iconSet iconSet="3Arrows" custom="1">
              <x14:cfvo type="percent">
                <xm:f>0</xm:f>
              </x14:cfvo>
              <x14:cfvo type="num">
                <xm:f>0</xm:f>
              </x14:cfvo>
              <x14:cfvo type="num" gte="0">
                <xm:f>1</xm:f>
              </x14:cfvo>
              <x14:cfIcon iconSet="3Arrows" iconId="0"/>
              <x14:cfIcon iconSet="3Arrows" iconId="2"/>
              <x14:cfIcon iconSet="3Arrows" iconId="2"/>
            </x14:iconSet>
          </x14:cfRule>
          <xm:sqref>L13</xm:sqref>
        </x14:conditionalFormatting>
        <x14:conditionalFormatting xmlns:xm="http://schemas.microsoft.com/office/excel/2006/main">
          <x14:cfRule type="iconSet" priority="14" id="{41916F9D-C08B-4B72-87B2-A2D0278DB3D8}">
            <x14:iconSet iconSet="3Arrows" custom="1">
              <x14:cfvo type="percent">
                <xm:f>0</xm:f>
              </x14:cfvo>
              <x14:cfvo type="num">
                <xm:f>0</xm:f>
              </x14:cfvo>
              <x14:cfvo type="num" gte="0">
                <xm:f>1</xm:f>
              </x14:cfvo>
              <x14:cfIcon iconSet="3Arrows" iconId="0"/>
              <x14:cfIcon iconSet="3Arrows" iconId="2"/>
              <x14:cfIcon iconSet="3Arrows" iconId="2"/>
            </x14:iconSet>
          </x14:cfRule>
          <xm:sqref>O13</xm:sqref>
        </x14:conditionalFormatting>
        <x14:conditionalFormatting xmlns:xm="http://schemas.microsoft.com/office/excel/2006/main">
          <x14:cfRule type="iconSet" priority="13" id="{CDEDB839-E00D-4D95-BB55-1A4942B441FB}">
            <x14:iconSet iconSet="3Arrows" custom="1">
              <x14:cfvo type="percent">
                <xm:f>0</xm:f>
              </x14:cfvo>
              <x14:cfvo type="num">
                <xm:f>0</xm:f>
              </x14:cfvo>
              <x14:cfvo type="num" gte="0">
                <xm:f>1</xm:f>
              </x14:cfvo>
              <x14:cfIcon iconSet="3Arrows" iconId="0"/>
              <x14:cfIcon iconSet="3Arrows" iconId="2"/>
              <x14:cfIcon iconSet="3Arrows" iconId="2"/>
            </x14:iconSet>
          </x14:cfRule>
          <xm:sqref>R13</xm:sqref>
        </x14:conditionalFormatting>
      </x14:conditionalFormattings>
    </ex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441"/>
  <sheetViews>
    <sheetView zoomScaleNormal="100" workbookViewId="0">
      <pane ySplit="1" topLeftCell="A17" activePane="bottomLeft" state="frozen"/>
      <selection pane="bottomLeft" activeCell="F12" sqref="F12"/>
    </sheetView>
  </sheetViews>
  <sheetFormatPr defaultRowHeight="15" x14ac:dyDescent="0.25"/>
  <cols>
    <col min="1" max="1" width="14" customWidth="1"/>
    <col min="2" max="2" width="13" customWidth="1"/>
    <col min="3" max="3" width="22" customWidth="1"/>
    <col min="4" max="4" width="24" customWidth="1"/>
    <col min="5" max="5" width="20" customWidth="1"/>
    <col min="6" max="6" width="17" customWidth="1"/>
    <col min="7" max="7" width="14" customWidth="1"/>
    <col min="8" max="8" width="17" customWidth="1"/>
    <col min="9" max="9" width="11" customWidth="1"/>
    <col min="10" max="10" width="14" customWidth="1"/>
    <col min="11" max="11" width="15" customWidth="1"/>
    <col min="12" max="12" width="14" customWidth="1"/>
    <col min="13" max="13" width="15" customWidth="1"/>
    <col min="14" max="14" width="16" customWidth="1"/>
    <col min="15" max="15" width="18" customWidth="1"/>
    <col min="16" max="16" width="15" customWidth="1"/>
    <col min="17" max="17" width="17.140625" customWidth="1"/>
    <col min="18" max="18" width="14" customWidth="1"/>
    <col min="19" max="19" width="15" customWidth="1"/>
    <col min="20" max="20" width="16" customWidth="1"/>
    <col min="21" max="21" width="15" customWidth="1"/>
    <col min="22" max="22" width="13.7109375" customWidth="1"/>
    <col min="23" max="23" width="17.42578125" customWidth="1"/>
    <col min="24" max="24" width="12" customWidth="1"/>
    <col min="25" max="25" width="12.7109375" customWidth="1"/>
  </cols>
  <sheetData>
    <row r="1" spans="1:26" x14ac:dyDescent="0.25">
      <c r="A1" s="1" t="s">
        <v>1</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c r="S1" s="1" t="s">
        <v>19</v>
      </c>
      <c r="T1" s="1" t="s">
        <v>20</v>
      </c>
      <c r="U1" s="1" t="s">
        <v>21</v>
      </c>
      <c r="V1" s="1" t="s">
        <v>22</v>
      </c>
      <c r="W1" s="1" t="s">
        <v>23</v>
      </c>
      <c r="X1" s="1" t="s">
        <v>24</v>
      </c>
      <c r="Y1" s="1" t="s">
        <v>25</v>
      </c>
      <c r="Z1" s="6" t="s">
        <v>0</v>
      </c>
    </row>
    <row r="2" spans="1:26" x14ac:dyDescent="0.25">
      <c r="A2" s="2">
        <v>45658</v>
      </c>
      <c r="B2" t="s">
        <v>26</v>
      </c>
      <c r="C2" t="s">
        <v>27</v>
      </c>
      <c r="D2" t="s">
        <v>28</v>
      </c>
      <c r="E2" t="s">
        <v>29</v>
      </c>
      <c r="F2" t="s">
        <v>30</v>
      </c>
      <c r="G2" t="s">
        <v>31</v>
      </c>
      <c r="H2" t="s">
        <v>32</v>
      </c>
      <c r="I2">
        <v>85</v>
      </c>
      <c r="J2" s="3">
        <v>1144.69</v>
      </c>
      <c r="K2" s="3">
        <f>Table1[[#This Row],[Quantity]]*Table1[[#This Row],[Unit_Price]]</f>
        <v>97298.650000000009</v>
      </c>
      <c r="L2" s="3">
        <v>7232.67</v>
      </c>
      <c r="M2" s="3">
        <f>Table1[[#This Row],[Gross_Sales]]-Table1[[#This Row],[Discount]]</f>
        <v>90065.98000000001</v>
      </c>
      <c r="N2" s="3">
        <v>55988.34</v>
      </c>
      <c r="O2" s="3">
        <v>3447.96</v>
      </c>
      <c r="P2" s="3">
        <v>5450.98</v>
      </c>
      <c r="Q2" s="3">
        <v>3596.33</v>
      </c>
      <c r="R2" s="3">
        <v>2186.21</v>
      </c>
      <c r="S2" s="3">
        <f>SUM(Table1[[#This Row],[Product_Cost]:[Other_Cost]])</f>
        <v>70669.820000000007</v>
      </c>
      <c r="T2" s="3">
        <f>Table1[[#This Row],[Net_Sales]]-Table1[[#This Row],[Product_Cost]]</f>
        <v>34077.640000000014</v>
      </c>
      <c r="U2" s="3">
        <f>Table1[[#This Row],[Net_Sales]]-Table1[[#This Row],[Total_Cost]]</f>
        <v>19396.160000000003</v>
      </c>
      <c r="V2" s="4">
        <f>Table1[[#This Row],[Net_Profit]]/Table1[[#This Row],[Net_Sales]]</f>
        <v>0.21535500973841623</v>
      </c>
      <c r="W2" t="s">
        <v>33</v>
      </c>
      <c r="X2" t="s">
        <v>34</v>
      </c>
      <c r="Y2">
        <v>1</v>
      </c>
      <c r="Z2" t="str">
        <f>IF(Table1[[#This Row],[Month_No]]&lt;=6, "H1","H2")</f>
        <v>H1</v>
      </c>
    </row>
    <row r="3" spans="1:26" x14ac:dyDescent="0.25">
      <c r="A3" s="2">
        <v>45658</v>
      </c>
      <c r="B3" t="s">
        <v>35</v>
      </c>
      <c r="C3" t="s">
        <v>36</v>
      </c>
      <c r="D3" t="s">
        <v>37</v>
      </c>
      <c r="E3" t="s">
        <v>38</v>
      </c>
      <c r="F3" t="s">
        <v>39</v>
      </c>
      <c r="G3" t="s">
        <v>40</v>
      </c>
      <c r="H3" t="s">
        <v>41</v>
      </c>
      <c r="I3">
        <v>91</v>
      </c>
      <c r="J3" s="3">
        <v>4110.1099999999997</v>
      </c>
      <c r="K3" s="3">
        <f>Table1[[#This Row],[Quantity]]*Table1[[#This Row],[Unit_Price]]</f>
        <v>374020.00999999995</v>
      </c>
      <c r="L3" s="3">
        <v>29324.639999999999</v>
      </c>
      <c r="M3" s="3">
        <f>Table1[[#This Row],[Gross_Sales]]-Table1[[#This Row],[Discount]]</f>
        <v>344695.36999999994</v>
      </c>
      <c r="N3" s="3">
        <v>244324.21</v>
      </c>
      <c r="O3" s="3">
        <v>15243.21</v>
      </c>
      <c r="P3" s="3">
        <v>23431.33</v>
      </c>
      <c r="Q3" s="3">
        <v>18619.47</v>
      </c>
      <c r="R3" s="3">
        <v>9087.5300000000007</v>
      </c>
      <c r="S3" s="3">
        <f>SUM(Table1[[#This Row],[Product_Cost]:[Other_Cost]])</f>
        <v>310705.75</v>
      </c>
      <c r="T3" s="3">
        <f>Table1[[#This Row],[Net_Sales]]-Table1[[#This Row],[Product_Cost]]</f>
        <v>100371.15999999995</v>
      </c>
      <c r="U3" s="3">
        <f>Table1[[#This Row],[Net_Sales]]-Table1[[#This Row],[Total_Cost]]</f>
        <v>33989.619999999937</v>
      </c>
      <c r="V3" s="4">
        <f>Table1[[#This Row],[Net_Profit]]/Table1[[#This Row],[Net_Sales]]</f>
        <v>9.8607706857216981E-2</v>
      </c>
      <c r="W3" t="s">
        <v>33</v>
      </c>
      <c r="X3" t="s">
        <v>34</v>
      </c>
      <c r="Y3">
        <v>1</v>
      </c>
      <c r="Z3" t="str">
        <f>IF(Table1[[#This Row],[Month_No]]&lt;=6, "H1","H2")</f>
        <v>H1</v>
      </c>
    </row>
    <row r="4" spans="1:26" x14ac:dyDescent="0.25">
      <c r="A4" s="2">
        <v>45658</v>
      </c>
      <c r="B4" t="s">
        <v>42</v>
      </c>
      <c r="C4" t="s">
        <v>43</v>
      </c>
      <c r="D4" t="s">
        <v>44</v>
      </c>
      <c r="E4" t="s">
        <v>45</v>
      </c>
      <c r="F4" t="s">
        <v>46</v>
      </c>
      <c r="G4" t="s">
        <v>31</v>
      </c>
      <c r="H4" t="s">
        <v>47</v>
      </c>
      <c r="I4">
        <v>77</v>
      </c>
      <c r="J4" s="3">
        <v>4319.05</v>
      </c>
      <c r="K4" s="3">
        <f>Table1[[#This Row],[Quantity]]*Table1[[#This Row],[Unit_Price]]</f>
        <v>332566.85000000003</v>
      </c>
      <c r="L4" s="3">
        <v>22792.49</v>
      </c>
      <c r="M4" s="3">
        <f>Table1[[#This Row],[Gross_Sales]]-Table1[[#This Row],[Discount]]</f>
        <v>309774.36000000004</v>
      </c>
      <c r="N4" s="3">
        <v>216457.89</v>
      </c>
      <c r="O4" s="3">
        <v>9753.16</v>
      </c>
      <c r="P4" s="3">
        <v>19459.689999999999</v>
      </c>
      <c r="Q4" s="3">
        <v>16261.06</v>
      </c>
      <c r="R4" s="3">
        <v>8627.59</v>
      </c>
      <c r="S4" s="3">
        <f>SUM(Table1[[#This Row],[Product_Cost]:[Other_Cost]])</f>
        <v>270559.39</v>
      </c>
      <c r="T4" s="3">
        <f>Table1[[#This Row],[Net_Sales]]-Table1[[#This Row],[Product_Cost]]</f>
        <v>93316.47000000003</v>
      </c>
      <c r="U4" s="3">
        <f>Table1[[#This Row],[Net_Sales]]-Table1[[#This Row],[Total_Cost]]</f>
        <v>39214.97000000003</v>
      </c>
      <c r="V4" s="4">
        <f>Table1[[#This Row],[Net_Profit]]/Table1[[#This Row],[Net_Sales]]</f>
        <v>0.12659204590076475</v>
      </c>
      <c r="W4" t="s">
        <v>33</v>
      </c>
      <c r="X4" t="s">
        <v>34</v>
      </c>
      <c r="Y4">
        <v>1</v>
      </c>
      <c r="Z4" t="str">
        <f>IF(Table1[[#This Row],[Month_No]]&lt;=6, "H1","H2")</f>
        <v>H1</v>
      </c>
    </row>
    <row r="5" spans="1:26" x14ac:dyDescent="0.25">
      <c r="A5" s="2">
        <v>45659</v>
      </c>
      <c r="B5" t="s">
        <v>48</v>
      </c>
      <c r="C5" t="s">
        <v>49</v>
      </c>
      <c r="D5" t="s">
        <v>50</v>
      </c>
      <c r="E5" t="s">
        <v>51</v>
      </c>
      <c r="F5" t="s">
        <v>52</v>
      </c>
      <c r="G5" t="s">
        <v>31</v>
      </c>
      <c r="H5" t="s">
        <v>47</v>
      </c>
      <c r="I5">
        <v>128</v>
      </c>
      <c r="J5" s="3">
        <v>791.39</v>
      </c>
      <c r="K5" s="3">
        <f>Table1[[#This Row],[Quantity]]*Table1[[#This Row],[Unit_Price]]</f>
        <v>101297.92</v>
      </c>
      <c r="L5" s="3">
        <v>8033.06</v>
      </c>
      <c r="M5" s="3">
        <f>Table1[[#This Row],[Gross_Sales]]-Table1[[#This Row],[Discount]]</f>
        <v>93264.86</v>
      </c>
      <c r="N5" s="3">
        <v>61727.91</v>
      </c>
      <c r="O5" s="3">
        <v>2654.58</v>
      </c>
      <c r="P5" s="3">
        <v>5524.49</v>
      </c>
      <c r="Q5" s="3">
        <v>3952.88</v>
      </c>
      <c r="R5" s="3">
        <v>2057.13</v>
      </c>
      <c r="S5" s="3">
        <f>SUM(Table1[[#This Row],[Product_Cost]:[Other_Cost]])</f>
        <v>75916.99000000002</v>
      </c>
      <c r="T5" s="3">
        <f>Table1[[#This Row],[Net_Sales]]-Table1[[#This Row],[Product_Cost]]</f>
        <v>31536.949999999997</v>
      </c>
      <c r="U5" s="3">
        <f>Table1[[#This Row],[Net_Sales]]-Table1[[#This Row],[Total_Cost]]</f>
        <v>17347.869999999981</v>
      </c>
      <c r="V5" s="4">
        <f>Table1[[#This Row],[Net_Profit]]/Table1[[#This Row],[Net_Sales]]</f>
        <v>0.18600649805296421</v>
      </c>
      <c r="W5" t="s">
        <v>33</v>
      </c>
      <c r="X5" t="s">
        <v>34</v>
      </c>
      <c r="Y5">
        <v>1</v>
      </c>
      <c r="Z5" t="str">
        <f>IF(Table1[[#This Row],[Month_No]]&lt;=6, "H1","H2")</f>
        <v>H1</v>
      </c>
    </row>
    <row r="6" spans="1:26" x14ac:dyDescent="0.25">
      <c r="A6" s="2">
        <v>45659</v>
      </c>
      <c r="B6" t="s">
        <v>53</v>
      </c>
      <c r="C6" t="s">
        <v>27</v>
      </c>
      <c r="D6" t="s">
        <v>50</v>
      </c>
      <c r="E6" t="s">
        <v>51</v>
      </c>
      <c r="F6" t="s">
        <v>39</v>
      </c>
      <c r="G6" t="s">
        <v>31</v>
      </c>
      <c r="H6" t="s">
        <v>41</v>
      </c>
      <c r="I6">
        <v>65</v>
      </c>
      <c r="J6" s="3">
        <v>780.58</v>
      </c>
      <c r="K6" s="3">
        <f>Table1[[#This Row],[Quantity]]*Table1[[#This Row],[Unit_Price]]</f>
        <v>50737.700000000004</v>
      </c>
      <c r="L6" s="3">
        <v>3969.3</v>
      </c>
      <c r="M6" s="3">
        <f>Table1[[#This Row],[Gross_Sales]]-Table1[[#This Row],[Discount]]</f>
        <v>46768.4</v>
      </c>
      <c r="N6" s="3">
        <v>32236.14</v>
      </c>
      <c r="O6" s="3">
        <v>1978.98</v>
      </c>
      <c r="P6" s="3">
        <v>3094.32</v>
      </c>
      <c r="Q6" s="3">
        <v>1647.78</v>
      </c>
      <c r="R6" s="3">
        <v>1231.3499999999999</v>
      </c>
      <c r="S6" s="3">
        <f>SUM(Table1[[#This Row],[Product_Cost]:[Other_Cost]])</f>
        <v>40188.57</v>
      </c>
      <c r="T6" s="3">
        <f>Table1[[#This Row],[Net_Sales]]-Table1[[#This Row],[Product_Cost]]</f>
        <v>14532.260000000002</v>
      </c>
      <c r="U6" s="3">
        <f>Table1[[#This Row],[Net_Sales]]-Table1[[#This Row],[Total_Cost]]</f>
        <v>6579.8300000000017</v>
      </c>
      <c r="V6" s="4">
        <f>Table1[[#This Row],[Net_Profit]]/Table1[[#This Row],[Net_Sales]]</f>
        <v>0.14068965369779599</v>
      </c>
      <c r="W6" t="s">
        <v>33</v>
      </c>
      <c r="X6" t="s">
        <v>34</v>
      </c>
      <c r="Y6">
        <v>1</v>
      </c>
      <c r="Z6" t="str">
        <f>IF(Table1[[#This Row],[Month_No]]&lt;=6, "H1","H2")</f>
        <v>H1</v>
      </c>
    </row>
    <row r="7" spans="1:26" x14ac:dyDescent="0.25">
      <c r="A7" s="2">
        <v>45659</v>
      </c>
      <c r="B7" t="s">
        <v>54</v>
      </c>
      <c r="C7" t="s">
        <v>55</v>
      </c>
      <c r="D7" t="s">
        <v>56</v>
      </c>
      <c r="E7" t="s">
        <v>57</v>
      </c>
      <c r="F7" t="s">
        <v>39</v>
      </c>
      <c r="G7" t="s">
        <v>58</v>
      </c>
      <c r="H7" t="s">
        <v>59</v>
      </c>
      <c r="I7">
        <v>92</v>
      </c>
      <c r="J7" s="3">
        <v>3115.2</v>
      </c>
      <c r="K7" s="3">
        <f>Table1[[#This Row],[Quantity]]*Table1[[#This Row],[Unit_Price]]</f>
        <v>286598.39999999997</v>
      </c>
      <c r="L7" s="3">
        <v>22867.16</v>
      </c>
      <c r="M7" s="3">
        <f>Table1[[#This Row],[Gross_Sales]]-Table1[[#This Row],[Discount]]</f>
        <v>263731.24</v>
      </c>
      <c r="N7" s="3">
        <v>154129.31</v>
      </c>
      <c r="O7" s="3">
        <v>10322.620000000001</v>
      </c>
      <c r="P7" s="3">
        <v>18582.919999999998</v>
      </c>
      <c r="Q7" s="3">
        <v>10921.44</v>
      </c>
      <c r="R7" s="3">
        <v>5925.04</v>
      </c>
      <c r="S7" s="3">
        <f>SUM(Table1[[#This Row],[Product_Cost]:[Other_Cost]])</f>
        <v>199881.33</v>
      </c>
      <c r="T7" s="3">
        <f>Table1[[#This Row],[Net_Sales]]-Table1[[#This Row],[Product_Cost]]</f>
        <v>109601.93</v>
      </c>
      <c r="U7" s="3">
        <f>Table1[[#This Row],[Net_Sales]]-Table1[[#This Row],[Total_Cost]]</f>
        <v>63849.91</v>
      </c>
      <c r="V7" s="4">
        <f>Table1[[#This Row],[Net_Profit]]/Table1[[#This Row],[Net_Sales]]</f>
        <v>0.24210218705982653</v>
      </c>
      <c r="W7" t="s">
        <v>33</v>
      </c>
      <c r="X7" t="s">
        <v>34</v>
      </c>
      <c r="Y7">
        <v>1</v>
      </c>
      <c r="Z7" t="str">
        <f>IF(Table1[[#This Row],[Month_No]]&lt;=6, "H1","H2")</f>
        <v>H1</v>
      </c>
    </row>
    <row r="8" spans="1:26" x14ac:dyDescent="0.25">
      <c r="A8" s="2">
        <v>45659</v>
      </c>
      <c r="B8" t="s">
        <v>60</v>
      </c>
      <c r="C8" t="s">
        <v>43</v>
      </c>
      <c r="D8" t="s">
        <v>37</v>
      </c>
      <c r="E8" t="s">
        <v>38</v>
      </c>
      <c r="F8" t="s">
        <v>52</v>
      </c>
      <c r="G8" t="s">
        <v>61</v>
      </c>
      <c r="H8" t="s">
        <v>47</v>
      </c>
      <c r="I8">
        <v>69</v>
      </c>
      <c r="J8" s="3">
        <v>4325.99</v>
      </c>
      <c r="K8" s="3">
        <f>Table1[[#This Row],[Quantity]]*Table1[[#This Row],[Unit_Price]]</f>
        <v>298493.31</v>
      </c>
      <c r="L8" s="3">
        <v>18750.04</v>
      </c>
      <c r="M8" s="3">
        <f>Table1[[#This Row],[Gross_Sales]]-Table1[[#This Row],[Discount]]</f>
        <v>279743.27</v>
      </c>
      <c r="N8" s="3">
        <v>207341.39</v>
      </c>
      <c r="O8" s="3">
        <v>7961.25</v>
      </c>
      <c r="P8" s="3">
        <v>16491.259999999998</v>
      </c>
      <c r="Q8" s="3">
        <v>14688.13</v>
      </c>
      <c r="R8" s="3">
        <v>7754.71</v>
      </c>
      <c r="S8" s="3">
        <f>SUM(Table1[[#This Row],[Product_Cost]:[Other_Cost]])</f>
        <v>254236.74000000002</v>
      </c>
      <c r="T8" s="3">
        <f>Table1[[#This Row],[Net_Sales]]-Table1[[#This Row],[Product_Cost]]</f>
        <v>72401.88</v>
      </c>
      <c r="U8" s="3">
        <f>Table1[[#This Row],[Net_Sales]]-Table1[[#This Row],[Total_Cost]]</f>
        <v>25506.53</v>
      </c>
      <c r="V8" s="4">
        <f>Table1[[#This Row],[Net_Profit]]/Table1[[#This Row],[Net_Sales]]</f>
        <v>9.1178350778554906E-2</v>
      </c>
      <c r="W8" t="s">
        <v>33</v>
      </c>
      <c r="X8" t="s">
        <v>34</v>
      </c>
      <c r="Y8">
        <v>1</v>
      </c>
      <c r="Z8" t="str">
        <f>IF(Table1[[#This Row],[Month_No]]&lt;=6, "H1","H2")</f>
        <v>H1</v>
      </c>
    </row>
    <row r="9" spans="1:26" x14ac:dyDescent="0.25">
      <c r="A9" s="2">
        <v>45659</v>
      </c>
      <c r="B9" t="s">
        <v>62</v>
      </c>
      <c r="C9" t="s">
        <v>63</v>
      </c>
      <c r="D9" t="s">
        <v>37</v>
      </c>
      <c r="E9" t="s">
        <v>38</v>
      </c>
      <c r="F9" t="s">
        <v>52</v>
      </c>
      <c r="G9" t="s">
        <v>64</v>
      </c>
      <c r="H9" t="s">
        <v>41</v>
      </c>
      <c r="I9">
        <v>64</v>
      </c>
      <c r="J9" s="3">
        <v>4077.64</v>
      </c>
      <c r="K9" s="3">
        <f>Table1[[#This Row],[Quantity]]*Table1[[#This Row],[Unit_Price]]</f>
        <v>260968.95999999999</v>
      </c>
      <c r="L9" s="3">
        <v>24552.09</v>
      </c>
      <c r="M9" s="3">
        <f>Table1[[#This Row],[Gross_Sales]]-Table1[[#This Row],[Discount]]</f>
        <v>236416.87</v>
      </c>
      <c r="N9" s="3">
        <v>174115.44</v>
      </c>
      <c r="O9" s="3">
        <v>6289.75</v>
      </c>
      <c r="P9" s="3">
        <v>16286.48</v>
      </c>
      <c r="Q9" s="3">
        <v>10638.51</v>
      </c>
      <c r="R9" s="3">
        <v>7538.94</v>
      </c>
      <c r="S9" s="3">
        <f>SUM(Table1[[#This Row],[Product_Cost]:[Other_Cost]])</f>
        <v>214869.12000000002</v>
      </c>
      <c r="T9" s="3">
        <f>Table1[[#This Row],[Net_Sales]]-Table1[[#This Row],[Product_Cost]]</f>
        <v>62301.429999999993</v>
      </c>
      <c r="U9" s="3">
        <f>Table1[[#This Row],[Net_Sales]]-Table1[[#This Row],[Total_Cost]]</f>
        <v>21547.749999999971</v>
      </c>
      <c r="V9" s="4">
        <f>Table1[[#This Row],[Net_Profit]]/Table1[[#This Row],[Net_Sales]]</f>
        <v>9.1143030529081834E-2</v>
      </c>
      <c r="W9" t="s">
        <v>33</v>
      </c>
      <c r="X9" t="s">
        <v>34</v>
      </c>
      <c r="Y9">
        <v>1</v>
      </c>
      <c r="Z9" t="str">
        <f>IF(Table1[[#This Row],[Month_No]]&lt;=6, "H1","H2")</f>
        <v>H1</v>
      </c>
    </row>
    <row r="10" spans="1:26" x14ac:dyDescent="0.25">
      <c r="A10" s="2">
        <v>45659</v>
      </c>
      <c r="B10" t="s">
        <v>65</v>
      </c>
      <c r="C10" t="s">
        <v>63</v>
      </c>
      <c r="D10" t="s">
        <v>66</v>
      </c>
      <c r="E10" t="s">
        <v>51</v>
      </c>
      <c r="F10" t="s">
        <v>30</v>
      </c>
      <c r="G10" t="s">
        <v>58</v>
      </c>
      <c r="H10" t="s">
        <v>47</v>
      </c>
      <c r="I10">
        <v>29</v>
      </c>
      <c r="J10" s="3">
        <v>1358.51</v>
      </c>
      <c r="K10" s="3">
        <f>Table1[[#This Row],[Quantity]]*Table1[[#This Row],[Unit_Price]]</f>
        <v>39396.79</v>
      </c>
      <c r="L10" s="3">
        <v>2696.87</v>
      </c>
      <c r="M10" s="3">
        <f>Table1[[#This Row],[Gross_Sales]]-Table1[[#This Row],[Discount]]</f>
        <v>36699.919999999998</v>
      </c>
      <c r="N10" s="3">
        <v>19905.91</v>
      </c>
      <c r="O10" s="3">
        <v>1406.55</v>
      </c>
      <c r="P10" s="3">
        <v>2627.33</v>
      </c>
      <c r="Q10" s="3">
        <v>1764.99</v>
      </c>
      <c r="R10" s="3">
        <v>1172.69</v>
      </c>
      <c r="S10" s="3">
        <f>SUM(Table1[[#This Row],[Product_Cost]:[Other_Cost]])</f>
        <v>26877.47</v>
      </c>
      <c r="T10" s="3">
        <f>Table1[[#This Row],[Net_Sales]]-Table1[[#This Row],[Product_Cost]]</f>
        <v>16794.009999999998</v>
      </c>
      <c r="U10" s="3">
        <f>Table1[[#This Row],[Net_Sales]]-Table1[[#This Row],[Total_Cost]]</f>
        <v>9822.4499999999971</v>
      </c>
      <c r="V10" s="4">
        <f>Table1[[#This Row],[Net_Profit]]/Table1[[#This Row],[Net_Sales]]</f>
        <v>0.26764227278969538</v>
      </c>
      <c r="W10" t="s">
        <v>33</v>
      </c>
      <c r="X10" t="s">
        <v>34</v>
      </c>
      <c r="Y10">
        <v>1</v>
      </c>
      <c r="Z10" t="str">
        <f>IF(Table1[[#This Row],[Month_No]]&lt;=6, "H1","H2")</f>
        <v>H1</v>
      </c>
    </row>
    <row r="11" spans="1:26" x14ac:dyDescent="0.25">
      <c r="A11" s="2">
        <v>45659</v>
      </c>
      <c r="B11" t="s">
        <v>67</v>
      </c>
      <c r="C11" t="s">
        <v>43</v>
      </c>
      <c r="D11" t="s">
        <v>68</v>
      </c>
      <c r="E11" t="s">
        <v>29</v>
      </c>
      <c r="F11" t="s">
        <v>52</v>
      </c>
      <c r="G11" t="s">
        <v>40</v>
      </c>
      <c r="H11" t="s">
        <v>41</v>
      </c>
      <c r="I11">
        <v>109</v>
      </c>
      <c r="J11" s="3">
        <v>342.8</v>
      </c>
      <c r="K11" s="3">
        <f>Table1[[#This Row],[Quantity]]*Table1[[#This Row],[Unit_Price]]</f>
        <v>37365.200000000004</v>
      </c>
      <c r="L11" s="3">
        <v>3125.04</v>
      </c>
      <c r="M11" s="3">
        <f>Table1[[#This Row],[Gross_Sales]]-Table1[[#This Row],[Discount]]</f>
        <v>34240.160000000003</v>
      </c>
      <c r="N11" s="3">
        <v>26130.23</v>
      </c>
      <c r="O11" s="3">
        <v>820.49</v>
      </c>
      <c r="P11" s="3">
        <v>1925.8</v>
      </c>
      <c r="Q11" s="3">
        <v>1779.42</v>
      </c>
      <c r="R11" s="3">
        <v>774</v>
      </c>
      <c r="S11" s="3">
        <f>SUM(Table1[[#This Row],[Product_Cost]:[Other_Cost]])</f>
        <v>31429.940000000002</v>
      </c>
      <c r="T11" s="3">
        <f>Table1[[#This Row],[Net_Sales]]-Table1[[#This Row],[Product_Cost]]</f>
        <v>8109.9300000000039</v>
      </c>
      <c r="U11" s="3">
        <f>Table1[[#This Row],[Net_Sales]]-Table1[[#This Row],[Total_Cost]]</f>
        <v>2810.2200000000012</v>
      </c>
      <c r="V11" s="4">
        <f>Table1[[#This Row],[Net_Profit]]/Table1[[#This Row],[Net_Sales]]</f>
        <v>8.2073798720566749E-2</v>
      </c>
      <c r="W11" t="s">
        <v>33</v>
      </c>
      <c r="X11" t="s">
        <v>34</v>
      </c>
      <c r="Y11">
        <v>1</v>
      </c>
      <c r="Z11" t="str">
        <f>IF(Table1[[#This Row],[Month_No]]&lt;=6, "H1","H2")</f>
        <v>H1</v>
      </c>
    </row>
    <row r="12" spans="1:26" x14ac:dyDescent="0.25">
      <c r="A12" s="2">
        <v>45660</v>
      </c>
      <c r="B12" t="s">
        <v>69</v>
      </c>
      <c r="C12" t="s">
        <v>70</v>
      </c>
      <c r="D12" t="s">
        <v>28</v>
      </c>
      <c r="E12" t="s">
        <v>29</v>
      </c>
      <c r="F12" t="s">
        <v>52</v>
      </c>
      <c r="G12" t="s">
        <v>71</v>
      </c>
      <c r="H12" t="s">
        <v>41</v>
      </c>
      <c r="I12">
        <v>102</v>
      </c>
      <c r="J12" s="3">
        <v>1102.1300000000001</v>
      </c>
      <c r="K12" s="3">
        <f>Table1[[#This Row],[Quantity]]*Table1[[#This Row],[Unit_Price]]</f>
        <v>112417.26000000001</v>
      </c>
      <c r="L12" s="3">
        <v>9894.1</v>
      </c>
      <c r="M12" s="3">
        <f>Table1[[#This Row],[Gross_Sales]]-Table1[[#This Row],[Discount]]</f>
        <v>102523.16</v>
      </c>
      <c r="N12" s="3">
        <v>60067.34</v>
      </c>
      <c r="O12" s="3">
        <v>2597.08</v>
      </c>
      <c r="P12" s="3">
        <v>7106.36</v>
      </c>
      <c r="Q12" s="3">
        <v>4993.1499999999996</v>
      </c>
      <c r="R12" s="3">
        <v>2064.4</v>
      </c>
      <c r="S12" s="3">
        <f>SUM(Table1[[#This Row],[Product_Cost]:[Other_Cost]])</f>
        <v>76828.329999999987</v>
      </c>
      <c r="T12" s="3">
        <f>Table1[[#This Row],[Net_Sales]]-Table1[[#This Row],[Product_Cost]]</f>
        <v>42455.820000000007</v>
      </c>
      <c r="U12" s="3">
        <f>Table1[[#This Row],[Net_Sales]]-Table1[[#This Row],[Total_Cost]]</f>
        <v>25694.830000000016</v>
      </c>
      <c r="V12" s="4">
        <f>Table1[[#This Row],[Net_Profit]]/Table1[[#This Row],[Net_Sales]]</f>
        <v>0.25062463934978219</v>
      </c>
      <c r="W12" t="s">
        <v>72</v>
      </c>
      <c r="X12" t="s">
        <v>34</v>
      </c>
      <c r="Y12">
        <v>1</v>
      </c>
      <c r="Z12" t="str">
        <f>IF(Table1[[#This Row],[Month_No]]&lt;=6, "H1","H2")</f>
        <v>H1</v>
      </c>
    </row>
    <row r="13" spans="1:26" x14ac:dyDescent="0.25">
      <c r="A13" s="2">
        <v>45660</v>
      </c>
      <c r="B13" t="s">
        <v>73</v>
      </c>
      <c r="C13" t="s">
        <v>70</v>
      </c>
      <c r="D13" t="s">
        <v>74</v>
      </c>
      <c r="E13" t="s">
        <v>75</v>
      </c>
      <c r="F13" t="s">
        <v>30</v>
      </c>
      <c r="G13" t="s">
        <v>76</v>
      </c>
      <c r="H13" t="s">
        <v>47</v>
      </c>
      <c r="I13">
        <v>59</v>
      </c>
      <c r="J13" s="3">
        <v>5036.08</v>
      </c>
      <c r="K13" s="3">
        <f>Table1[[#This Row],[Quantity]]*Table1[[#This Row],[Unit_Price]]</f>
        <v>297128.71999999997</v>
      </c>
      <c r="L13" s="3">
        <v>26444.22</v>
      </c>
      <c r="M13" s="3">
        <f>Table1[[#This Row],[Gross_Sales]]-Table1[[#This Row],[Discount]]</f>
        <v>270684.5</v>
      </c>
      <c r="N13" s="3">
        <v>207277.12</v>
      </c>
      <c r="O13" s="3">
        <v>10236.16</v>
      </c>
      <c r="P13" s="3">
        <v>18287.66</v>
      </c>
      <c r="Q13" s="3">
        <v>10421.030000000001</v>
      </c>
      <c r="R13" s="3">
        <v>5551.79</v>
      </c>
      <c r="S13" s="3">
        <f>SUM(Table1[[#This Row],[Product_Cost]:[Other_Cost]])</f>
        <v>251773.76</v>
      </c>
      <c r="T13" s="3">
        <f>Table1[[#This Row],[Net_Sales]]-Table1[[#This Row],[Product_Cost]]</f>
        <v>63407.380000000005</v>
      </c>
      <c r="U13" s="3">
        <f>Table1[[#This Row],[Net_Sales]]-Table1[[#This Row],[Total_Cost]]</f>
        <v>18910.739999999991</v>
      </c>
      <c r="V13" s="4">
        <f>Table1[[#This Row],[Net_Profit]]/Table1[[#This Row],[Net_Sales]]</f>
        <v>6.9862662989569002E-2</v>
      </c>
      <c r="W13" t="s">
        <v>33</v>
      </c>
      <c r="X13" t="s">
        <v>34</v>
      </c>
      <c r="Y13">
        <v>1</v>
      </c>
      <c r="Z13" t="str">
        <f>IF(Table1[[#This Row],[Month_No]]&lt;=6, "H1","H2")</f>
        <v>H1</v>
      </c>
    </row>
    <row r="14" spans="1:26" x14ac:dyDescent="0.25">
      <c r="A14" s="2">
        <v>45661</v>
      </c>
      <c r="B14" t="s">
        <v>77</v>
      </c>
      <c r="C14" t="s">
        <v>78</v>
      </c>
      <c r="D14" t="s">
        <v>28</v>
      </c>
      <c r="E14" t="s">
        <v>29</v>
      </c>
      <c r="F14" t="s">
        <v>30</v>
      </c>
      <c r="G14" t="s">
        <v>58</v>
      </c>
      <c r="H14" t="s">
        <v>41</v>
      </c>
      <c r="I14">
        <v>72</v>
      </c>
      <c r="J14" s="3">
        <v>1147.19</v>
      </c>
      <c r="K14" s="3">
        <f>Table1[[#This Row],[Quantity]]*Table1[[#This Row],[Unit_Price]]</f>
        <v>82597.680000000008</v>
      </c>
      <c r="L14" s="3">
        <v>6554.15</v>
      </c>
      <c r="M14" s="3">
        <f>Table1[[#This Row],[Gross_Sales]]-Table1[[#This Row],[Discount]]</f>
        <v>76043.530000000013</v>
      </c>
      <c r="N14" s="3">
        <v>47024.6</v>
      </c>
      <c r="O14" s="3">
        <v>2871.89</v>
      </c>
      <c r="P14" s="3">
        <v>4281.97</v>
      </c>
      <c r="Q14" s="3">
        <v>3928.26</v>
      </c>
      <c r="R14" s="3">
        <v>2053.98</v>
      </c>
      <c r="S14" s="3">
        <f>SUM(Table1[[#This Row],[Product_Cost]:[Other_Cost]])</f>
        <v>60160.700000000004</v>
      </c>
      <c r="T14" s="3">
        <f>Table1[[#This Row],[Net_Sales]]-Table1[[#This Row],[Product_Cost]]</f>
        <v>29018.930000000015</v>
      </c>
      <c r="U14" s="3">
        <f>Table1[[#This Row],[Net_Sales]]-Table1[[#This Row],[Total_Cost]]</f>
        <v>15882.830000000009</v>
      </c>
      <c r="V14" s="4">
        <f>Table1[[#This Row],[Net_Profit]]/Table1[[#This Row],[Net_Sales]]</f>
        <v>0.20886497510044583</v>
      </c>
      <c r="W14" t="s">
        <v>33</v>
      </c>
      <c r="X14" t="s">
        <v>34</v>
      </c>
      <c r="Y14">
        <v>1</v>
      </c>
      <c r="Z14" t="str">
        <f>IF(Table1[[#This Row],[Month_No]]&lt;=6, "H1","H2")</f>
        <v>H1</v>
      </c>
    </row>
    <row r="15" spans="1:26" x14ac:dyDescent="0.25">
      <c r="A15" s="2">
        <v>45663</v>
      </c>
      <c r="B15" t="s">
        <v>79</v>
      </c>
      <c r="C15" t="s">
        <v>43</v>
      </c>
      <c r="D15" t="s">
        <v>68</v>
      </c>
      <c r="E15" t="s">
        <v>29</v>
      </c>
      <c r="F15" t="s">
        <v>46</v>
      </c>
      <c r="G15" t="s">
        <v>40</v>
      </c>
      <c r="H15" t="s">
        <v>32</v>
      </c>
      <c r="I15">
        <v>77</v>
      </c>
      <c r="J15" s="3">
        <v>363.68</v>
      </c>
      <c r="K15" s="3">
        <f>Table1[[#This Row],[Quantity]]*Table1[[#This Row],[Unit_Price]]</f>
        <v>28003.360000000001</v>
      </c>
      <c r="L15" s="3">
        <v>2277.12</v>
      </c>
      <c r="M15" s="3">
        <f>Table1[[#This Row],[Gross_Sales]]-Table1[[#This Row],[Discount]]</f>
        <v>25726.240000000002</v>
      </c>
      <c r="N15" s="3">
        <v>20654.79</v>
      </c>
      <c r="O15" s="3">
        <v>824.1</v>
      </c>
      <c r="P15" s="3">
        <v>1602.58</v>
      </c>
      <c r="Q15" s="3">
        <v>1282.0899999999999</v>
      </c>
      <c r="R15" s="3">
        <v>738.88</v>
      </c>
      <c r="S15" s="3">
        <f>SUM(Table1[[#This Row],[Product_Cost]:[Other_Cost]])</f>
        <v>25102.440000000002</v>
      </c>
      <c r="T15" s="3">
        <f>Table1[[#This Row],[Net_Sales]]-Table1[[#This Row],[Product_Cost]]</f>
        <v>5071.4500000000007</v>
      </c>
      <c r="U15" s="3">
        <f>Table1[[#This Row],[Net_Sales]]-Table1[[#This Row],[Total_Cost]]</f>
        <v>623.79999999999927</v>
      </c>
      <c r="V15" s="4">
        <f>Table1[[#This Row],[Net_Profit]]/Table1[[#This Row],[Net_Sales]]</f>
        <v>2.4247616441423203E-2</v>
      </c>
      <c r="W15" t="s">
        <v>33</v>
      </c>
      <c r="X15" t="s">
        <v>34</v>
      </c>
      <c r="Y15">
        <v>1</v>
      </c>
      <c r="Z15" t="str">
        <f>IF(Table1[[#This Row],[Month_No]]&lt;=6, "H1","H2")</f>
        <v>H1</v>
      </c>
    </row>
    <row r="16" spans="1:26" x14ac:dyDescent="0.25">
      <c r="A16" s="2">
        <v>45663</v>
      </c>
      <c r="B16" t="s">
        <v>80</v>
      </c>
      <c r="C16" t="s">
        <v>55</v>
      </c>
      <c r="D16" t="s">
        <v>81</v>
      </c>
      <c r="E16" t="s">
        <v>45</v>
      </c>
      <c r="F16" t="s">
        <v>52</v>
      </c>
      <c r="G16" t="s">
        <v>64</v>
      </c>
      <c r="H16" t="s">
        <v>41</v>
      </c>
      <c r="I16">
        <v>86</v>
      </c>
      <c r="J16" s="3">
        <v>6217.6</v>
      </c>
      <c r="K16" s="3">
        <f>Table1[[#This Row],[Quantity]]*Table1[[#This Row],[Unit_Price]]</f>
        <v>534713.59999999998</v>
      </c>
      <c r="L16" s="3">
        <v>50741.54</v>
      </c>
      <c r="M16" s="3">
        <f>Table1[[#This Row],[Gross_Sales]]-Table1[[#This Row],[Discount]]</f>
        <v>483972.06</v>
      </c>
      <c r="N16" s="3">
        <v>291530.71000000002</v>
      </c>
      <c r="O16" s="3">
        <v>13136.85</v>
      </c>
      <c r="P16" s="3">
        <v>28029.759999999998</v>
      </c>
      <c r="Q16" s="3">
        <v>23126.01</v>
      </c>
      <c r="R16" s="3">
        <v>10792.84</v>
      </c>
      <c r="S16" s="3">
        <f>SUM(Table1[[#This Row],[Product_Cost]:[Other_Cost]])</f>
        <v>366616.17000000004</v>
      </c>
      <c r="T16" s="3">
        <f>Table1[[#This Row],[Net_Sales]]-Table1[[#This Row],[Product_Cost]]</f>
        <v>192441.34999999998</v>
      </c>
      <c r="U16" s="3">
        <f>Table1[[#This Row],[Net_Sales]]-Table1[[#This Row],[Total_Cost]]</f>
        <v>117355.88999999996</v>
      </c>
      <c r="V16" s="4">
        <f>Table1[[#This Row],[Net_Profit]]/Table1[[#This Row],[Net_Sales]]</f>
        <v>0.24248484509622303</v>
      </c>
      <c r="W16" t="s">
        <v>33</v>
      </c>
      <c r="X16" t="s">
        <v>34</v>
      </c>
      <c r="Y16">
        <v>1</v>
      </c>
      <c r="Z16" t="str">
        <f>IF(Table1[[#This Row],[Month_No]]&lt;=6, "H1","H2")</f>
        <v>H1</v>
      </c>
    </row>
    <row r="17" spans="1:26" x14ac:dyDescent="0.25">
      <c r="A17" s="2">
        <v>45664</v>
      </c>
      <c r="B17" t="s">
        <v>82</v>
      </c>
      <c r="C17" t="s">
        <v>83</v>
      </c>
      <c r="D17" t="s">
        <v>44</v>
      </c>
      <c r="E17" t="s">
        <v>45</v>
      </c>
      <c r="F17" t="s">
        <v>52</v>
      </c>
      <c r="G17" t="s">
        <v>61</v>
      </c>
      <c r="H17" t="s">
        <v>59</v>
      </c>
      <c r="I17">
        <v>47</v>
      </c>
      <c r="J17" s="3">
        <v>4195.72</v>
      </c>
      <c r="K17" s="3">
        <f>Table1[[#This Row],[Quantity]]*Table1[[#This Row],[Unit_Price]]</f>
        <v>197198.84000000003</v>
      </c>
      <c r="L17" s="3">
        <v>16188.84</v>
      </c>
      <c r="M17" s="3">
        <f>Table1[[#This Row],[Gross_Sales]]-Table1[[#This Row],[Discount]]</f>
        <v>181010.00000000003</v>
      </c>
      <c r="N17" s="3">
        <v>127788.75</v>
      </c>
      <c r="O17" s="3">
        <v>4978.33</v>
      </c>
      <c r="P17" s="3">
        <v>12331.18</v>
      </c>
      <c r="Q17" s="3">
        <v>9336.9500000000007</v>
      </c>
      <c r="R17" s="3">
        <v>5038.1099999999997</v>
      </c>
      <c r="S17" s="3">
        <f>SUM(Table1[[#This Row],[Product_Cost]:[Other_Cost]])</f>
        <v>159473.31999999998</v>
      </c>
      <c r="T17" s="3">
        <f>Table1[[#This Row],[Net_Sales]]-Table1[[#This Row],[Product_Cost]]</f>
        <v>53221.250000000029</v>
      </c>
      <c r="U17" s="3">
        <f>Table1[[#This Row],[Net_Sales]]-Table1[[#This Row],[Total_Cost]]</f>
        <v>21536.680000000051</v>
      </c>
      <c r="V17" s="4">
        <f>Table1[[#This Row],[Net_Profit]]/Table1[[#This Row],[Net_Sales]]</f>
        <v>0.11898060880614357</v>
      </c>
      <c r="W17" t="s">
        <v>33</v>
      </c>
      <c r="X17" t="s">
        <v>34</v>
      </c>
      <c r="Y17">
        <v>1</v>
      </c>
      <c r="Z17" t="str">
        <f>IF(Table1[[#This Row],[Month_No]]&lt;=6, "H1","H2")</f>
        <v>H1</v>
      </c>
    </row>
    <row r="18" spans="1:26" x14ac:dyDescent="0.25">
      <c r="A18" s="2">
        <v>45664</v>
      </c>
      <c r="B18" t="s">
        <v>84</v>
      </c>
      <c r="C18" t="s">
        <v>70</v>
      </c>
      <c r="D18" t="s">
        <v>85</v>
      </c>
      <c r="E18" t="s">
        <v>57</v>
      </c>
      <c r="F18" t="s">
        <v>52</v>
      </c>
      <c r="G18" t="s">
        <v>86</v>
      </c>
      <c r="H18" t="s">
        <v>47</v>
      </c>
      <c r="I18">
        <v>77</v>
      </c>
      <c r="J18" s="3">
        <v>1815.15</v>
      </c>
      <c r="K18" s="3">
        <f>Table1[[#This Row],[Quantity]]*Table1[[#This Row],[Unit_Price]]</f>
        <v>139766.55000000002</v>
      </c>
      <c r="L18" s="3">
        <v>12025.88</v>
      </c>
      <c r="M18" s="3">
        <f>Table1[[#This Row],[Gross_Sales]]-Table1[[#This Row],[Discount]]</f>
        <v>127740.67000000001</v>
      </c>
      <c r="N18" s="3">
        <v>88854.69</v>
      </c>
      <c r="O18" s="3">
        <v>3232.22</v>
      </c>
      <c r="P18" s="3">
        <v>8696.61</v>
      </c>
      <c r="Q18" s="3">
        <v>6121.31</v>
      </c>
      <c r="R18" s="3">
        <v>3353.68</v>
      </c>
      <c r="S18" s="3">
        <f>SUM(Table1[[#This Row],[Product_Cost]:[Other_Cost]])</f>
        <v>110258.51</v>
      </c>
      <c r="T18" s="3">
        <f>Table1[[#This Row],[Net_Sales]]-Table1[[#This Row],[Product_Cost]]</f>
        <v>38885.98000000001</v>
      </c>
      <c r="U18" s="3">
        <f>Table1[[#This Row],[Net_Sales]]-Table1[[#This Row],[Total_Cost]]</f>
        <v>17482.160000000018</v>
      </c>
      <c r="V18" s="4">
        <f>Table1[[#This Row],[Net_Profit]]/Table1[[#This Row],[Net_Sales]]</f>
        <v>0.13685664870866904</v>
      </c>
      <c r="W18" t="s">
        <v>33</v>
      </c>
      <c r="X18" t="s">
        <v>34</v>
      </c>
      <c r="Y18">
        <v>1</v>
      </c>
      <c r="Z18" t="str">
        <f>IF(Table1[[#This Row],[Month_No]]&lt;=6, "H1","H2")</f>
        <v>H1</v>
      </c>
    </row>
    <row r="19" spans="1:26" x14ac:dyDescent="0.25">
      <c r="A19" s="2">
        <v>45664</v>
      </c>
      <c r="B19" t="s">
        <v>87</v>
      </c>
      <c r="C19" t="s">
        <v>78</v>
      </c>
      <c r="D19" t="s">
        <v>44</v>
      </c>
      <c r="E19" t="s">
        <v>45</v>
      </c>
      <c r="F19" t="s">
        <v>30</v>
      </c>
      <c r="G19" t="s">
        <v>86</v>
      </c>
      <c r="H19" t="s">
        <v>59</v>
      </c>
      <c r="I19">
        <v>80</v>
      </c>
      <c r="J19" s="3">
        <v>4399.7299999999996</v>
      </c>
      <c r="K19" s="3">
        <f>Table1[[#This Row],[Quantity]]*Table1[[#This Row],[Unit_Price]]</f>
        <v>351978.39999999997</v>
      </c>
      <c r="L19" s="3">
        <v>25885.4</v>
      </c>
      <c r="M19" s="3">
        <f>Table1[[#This Row],[Gross_Sales]]-Table1[[#This Row],[Discount]]</f>
        <v>326092.99999999994</v>
      </c>
      <c r="N19" s="3">
        <v>237704.27</v>
      </c>
      <c r="O19" s="3">
        <v>10587.35</v>
      </c>
      <c r="P19" s="3">
        <v>22720.95</v>
      </c>
      <c r="Q19" s="3">
        <v>13312.42</v>
      </c>
      <c r="R19" s="3">
        <v>7574.29</v>
      </c>
      <c r="S19" s="3">
        <f>SUM(Table1[[#This Row],[Product_Cost]:[Other_Cost]])</f>
        <v>291899.27999999997</v>
      </c>
      <c r="T19" s="3">
        <f>Table1[[#This Row],[Net_Sales]]-Table1[[#This Row],[Product_Cost]]</f>
        <v>88388.729999999952</v>
      </c>
      <c r="U19" s="3">
        <f>Table1[[#This Row],[Net_Sales]]-Table1[[#This Row],[Total_Cost]]</f>
        <v>34193.719999999972</v>
      </c>
      <c r="V19" s="4">
        <f>Table1[[#This Row],[Net_Profit]]/Table1[[#This Row],[Net_Sales]]</f>
        <v>0.10485879795027792</v>
      </c>
      <c r="W19" t="s">
        <v>33</v>
      </c>
      <c r="X19" t="s">
        <v>34</v>
      </c>
      <c r="Y19">
        <v>1</v>
      </c>
      <c r="Z19" t="str">
        <f>IF(Table1[[#This Row],[Month_No]]&lt;=6, "H1","H2")</f>
        <v>H1</v>
      </c>
    </row>
    <row r="20" spans="1:26" x14ac:dyDescent="0.25">
      <c r="A20" s="2">
        <v>45664</v>
      </c>
      <c r="B20" t="s">
        <v>88</v>
      </c>
      <c r="C20" t="s">
        <v>78</v>
      </c>
      <c r="D20" t="s">
        <v>44</v>
      </c>
      <c r="E20" t="s">
        <v>45</v>
      </c>
      <c r="F20" t="s">
        <v>52</v>
      </c>
      <c r="G20" t="s">
        <v>64</v>
      </c>
      <c r="H20" t="s">
        <v>59</v>
      </c>
      <c r="I20">
        <v>54</v>
      </c>
      <c r="J20" s="3">
        <v>4342.43</v>
      </c>
      <c r="K20" s="3">
        <f>Table1[[#This Row],[Quantity]]*Table1[[#This Row],[Unit_Price]]</f>
        <v>234491.22000000003</v>
      </c>
      <c r="L20" s="3">
        <v>17353.900000000001</v>
      </c>
      <c r="M20" s="3">
        <f>Table1[[#This Row],[Gross_Sales]]-Table1[[#This Row],[Discount]]</f>
        <v>217137.32000000004</v>
      </c>
      <c r="N20" s="3">
        <v>151070.32</v>
      </c>
      <c r="O20" s="3">
        <v>5615.27</v>
      </c>
      <c r="P20" s="3">
        <v>13050.32</v>
      </c>
      <c r="Q20" s="3">
        <v>9824.3799999999992</v>
      </c>
      <c r="R20" s="3">
        <v>4679.59</v>
      </c>
      <c r="S20" s="3">
        <f>SUM(Table1[[#This Row],[Product_Cost]:[Other_Cost]])</f>
        <v>184239.88</v>
      </c>
      <c r="T20" s="3">
        <f>Table1[[#This Row],[Net_Sales]]-Table1[[#This Row],[Product_Cost]]</f>
        <v>66067.000000000029</v>
      </c>
      <c r="U20" s="3">
        <f>Table1[[#This Row],[Net_Sales]]-Table1[[#This Row],[Total_Cost]]</f>
        <v>32897.440000000031</v>
      </c>
      <c r="V20" s="4">
        <f>Table1[[#This Row],[Net_Profit]]/Table1[[#This Row],[Net_Sales]]</f>
        <v>0.15150523180446376</v>
      </c>
      <c r="W20" t="s">
        <v>33</v>
      </c>
      <c r="X20" t="s">
        <v>34</v>
      </c>
      <c r="Y20">
        <v>1</v>
      </c>
      <c r="Z20" t="str">
        <f>IF(Table1[[#This Row],[Month_No]]&lt;=6, "H1","H2")</f>
        <v>H1</v>
      </c>
    </row>
    <row r="21" spans="1:26" x14ac:dyDescent="0.25">
      <c r="A21" s="2">
        <v>45664</v>
      </c>
      <c r="B21" t="s">
        <v>89</v>
      </c>
      <c r="C21" t="s">
        <v>55</v>
      </c>
      <c r="D21" t="s">
        <v>44</v>
      </c>
      <c r="E21" t="s">
        <v>45</v>
      </c>
      <c r="F21" t="s">
        <v>52</v>
      </c>
      <c r="G21" t="s">
        <v>86</v>
      </c>
      <c r="H21" t="s">
        <v>32</v>
      </c>
      <c r="I21">
        <v>44</v>
      </c>
      <c r="J21" s="3">
        <v>4302.6099999999997</v>
      </c>
      <c r="K21" s="3">
        <f>Table1[[#This Row],[Quantity]]*Table1[[#This Row],[Unit_Price]]</f>
        <v>189314.84</v>
      </c>
      <c r="L21" s="3">
        <v>14266.33</v>
      </c>
      <c r="M21" s="3">
        <f>Table1[[#This Row],[Gross_Sales]]-Table1[[#This Row],[Discount]]</f>
        <v>175048.51</v>
      </c>
      <c r="N21" s="3">
        <v>124160.26</v>
      </c>
      <c r="O21" s="3">
        <v>4557.3999999999996</v>
      </c>
      <c r="P21" s="3">
        <v>11614.49</v>
      </c>
      <c r="Q21" s="3">
        <v>6441.88</v>
      </c>
      <c r="R21" s="3">
        <v>3681.54</v>
      </c>
      <c r="S21" s="3">
        <f>SUM(Table1[[#This Row],[Product_Cost]:[Other_Cost]])</f>
        <v>150455.57</v>
      </c>
      <c r="T21" s="3">
        <f>Table1[[#This Row],[Net_Sales]]-Table1[[#This Row],[Product_Cost]]</f>
        <v>50888.250000000015</v>
      </c>
      <c r="U21" s="3">
        <f>Table1[[#This Row],[Net_Sales]]-Table1[[#This Row],[Total_Cost]]</f>
        <v>24592.940000000002</v>
      </c>
      <c r="V21" s="4">
        <f>Table1[[#This Row],[Net_Profit]]/Table1[[#This Row],[Net_Sales]]</f>
        <v>0.14049214129271939</v>
      </c>
      <c r="W21" t="s">
        <v>33</v>
      </c>
      <c r="X21" t="s">
        <v>34</v>
      </c>
      <c r="Y21">
        <v>1</v>
      </c>
      <c r="Z21" t="str">
        <f>IF(Table1[[#This Row],[Month_No]]&lt;=6, "H1","H2")</f>
        <v>H1</v>
      </c>
    </row>
    <row r="22" spans="1:26" x14ac:dyDescent="0.25">
      <c r="A22" s="2">
        <v>45664</v>
      </c>
      <c r="B22" t="s">
        <v>90</v>
      </c>
      <c r="C22" t="s">
        <v>43</v>
      </c>
      <c r="D22" t="s">
        <v>66</v>
      </c>
      <c r="E22" t="s">
        <v>51</v>
      </c>
      <c r="F22" t="s">
        <v>46</v>
      </c>
      <c r="G22" t="s">
        <v>86</v>
      </c>
      <c r="H22" t="s">
        <v>59</v>
      </c>
      <c r="I22">
        <v>62</v>
      </c>
      <c r="J22" s="3">
        <v>1355.96</v>
      </c>
      <c r="K22" s="3">
        <f>Table1[[#This Row],[Quantity]]*Table1[[#This Row],[Unit_Price]]</f>
        <v>84069.52</v>
      </c>
      <c r="L22" s="3">
        <v>5485.08</v>
      </c>
      <c r="M22" s="3">
        <f>Table1[[#This Row],[Gross_Sales]]-Table1[[#This Row],[Discount]]</f>
        <v>78584.44</v>
      </c>
      <c r="N22" s="3">
        <v>41754.17</v>
      </c>
      <c r="O22" s="3">
        <v>2295.17</v>
      </c>
      <c r="P22" s="3">
        <v>4480.46</v>
      </c>
      <c r="Q22" s="3">
        <v>3276.56</v>
      </c>
      <c r="R22" s="3">
        <v>1999.94</v>
      </c>
      <c r="S22" s="3">
        <f>SUM(Table1[[#This Row],[Product_Cost]:[Other_Cost]])</f>
        <v>53806.299999999996</v>
      </c>
      <c r="T22" s="3">
        <f>Table1[[#This Row],[Net_Sales]]-Table1[[#This Row],[Product_Cost]]</f>
        <v>36830.270000000004</v>
      </c>
      <c r="U22" s="3">
        <f>Table1[[#This Row],[Net_Sales]]-Table1[[#This Row],[Total_Cost]]</f>
        <v>24778.140000000007</v>
      </c>
      <c r="V22" s="4">
        <f>Table1[[#This Row],[Net_Profit]]/Table1[[#This Row],[Net_Sales]]</f>
        <v>0.31530593079240632</v>
      </c>
      <c r="W22" t="s">
        <v>33</v>
      </c>
      <c r="X22" t="s">
        <v>34</v>
      </c>
      <c r="Y22">
        <v>1</v>
      </c>
      <c r="Z22" t="str">
        <f>IF(Table1[[#This Row],[Month_No]]&lt;=6, "H1","H2")</f>
        <v>H1</v>
      </c>
    </row>
    <row r="23" spans="1:26" x14ac:dyDescent="0.25">
      <c r="A23" s="2">
        <v>45664</v>
      </c>
      <c r="B23" t="s">
        <v>91</v>
      </c>
      <c r="C23" t="s">
        <v>70</v>
      </c>
      <c r="D23" t="s">
        <v>74</v>
      </c>
      <c r="E23" t="s">
        <v>75</v>
      </c>
      <c r="F23" t="s">
        <v>52</v>
      </c>
      <c r="G23" t="s">
        <v>31</v>
      </c>
      <c r="H23" t="s">
        <v>41</v>
      </c>
      <c r="I23">
        <v>96</v>
      </c>
      <c r="J23" s="3">
        <v>5193.8999999999996</v>
      </c>
      <c r="K23" s="3">
        <f>Table1[[#This Row],[Quantity]]*Table1[[#This Row],[Unit_Price]]</f>
        <v>498614.39999999997</v>
      </c>
      <c r="L23" s="3">
        <v>33163.230000000003</v>
      </c>
      <c r="M23" s="3">
        <f>Table1[[#This Row],[Gross_Sales]]-Table1[[#This Row],[Discount]]</f>
        <v>465451.17</v>
      </c>
      <c r="N23" s="3">
        <v>350046.92</v>
      </c>
      <c r="O23" s="3">
        <v>11169.27</v>
      </c>
      <c r="P23" s="3">
        <v>32213.32</v>
      </c>
      <c r="Q23" s="3">
        <v>24772.720000000001</v>
      </c>
      <c r="R23" s="3">
        <v>14612.74</v>
      </c>
      <c r="S23" s="3">
        <f>SUM(Table1[[#This Row],[Product_Cost]:[Other_Cost]])</f>
        <v>432814.97</v>
      </c>
      <c r="T23" s="3">
        <f>Table1[[#This Row],[Net_Sales]]-Table1[[#This Row],[Product_Cost]]</f>
        <v>115404.25</v>
      </c>
      <c r="U23" s="3">
        <f>Table1[[#This Row],[Net_Sales]]-Table1[[#This Row],[Total_Cost]]</f>
        <v>32636.200000000012</v>
      </c>
      <c r="V23" s="4">
        <f>Table1[[#This Row],[Net_Profit]]/Table1[[#This Row],[Net_Sales]]</f>
        <v>7.0117344425195044E-2</v>
      </c>
      <c r="W23" t="s">
        <v>72</v>
      </c>
      <c r="X23" t="s">
        <v>34</v>
      </c>
      <c r="Y23">
        <v>1</v>
      </c>
      <c r="Z23" t="str">
        <f>IF(Table1[[#This Row],[Month_No]]&lt;=6, "H1","H2")</f>
        <v>H1</v>
      </c>
    </row>
    <row r="24" spans="1:26" x14ac:dyDescent="0.25">
      <c r="A24" s="2">
        <v>45664</v>
      </c>
      <c r="B24" t="s">
        <v>92</v>
      </c>
      <c r="C24" t="s">
        <v>55</v>
      </c>
      <c r="D24" t="s">
        <v>85</v>
      </c>
      <c r="E24" t="s">
        <v>57</v>
      </c>
      <c r="F24" t="s">
        <v>52</v>
      </c>
      <c r="G24" t="s">
        <v>31</v>
      </c>
      <c r="H24" t="s">
        <v>59</v>
      </c>
      <c r="I24">
        <v>73</v>
      </c>
      <c r="J24" s="3">
        <v>1829.07</v>
      </c>
      <c r="K24" s="3">
        <f>Table1[[#This Row],[Quantity]]*Table1[[#This Row],[Unit_Price]]</f>
        <v>133522.10999999999</v>
      </c>
      <c r="L24" s="3">
        <v>7684.01</v>
      </c>
      <c r="M24" s="3">
        <f>Table1[[#This Row],[Gross_Sales]]-Table1[[#This Row],[Discount]]</f>
        <v>125838.09999999999</v>
      </c>
      <c r="N24" s="3">
        <v>85413.79</v>
      </c>
      <c r="O24" s="3">
        <v>3491.79</v>
      </c>
      <c r="P24" s="3">
        <v>8528.6</v>
      </c>
      <c r="Q24" s="3">
        <v>6137.85</v>
      </c>
      <c r="R24" s="3">
        <v>3884.11</v>
      </c>
      <c r="S24" s="3">
        <f>SUM(Table1[[#This Row],[Product_Cost]:[Other_Cost]])</f>
        <v>107456.14</v>
      </c>
      <c r="T24" s="3">
        <f>Table1[[#This Row],[Net_Sales]]-Table1[[#This Row],[Product_Cost]]</f>
        <v>40424.31</v>
      </c>
      <c r="U24" s="3">
        <f>Table1[[#This Row],[Net_Sales]]-Table1[[#This Row],[Total_Cost]]</f>
        <v>18381.959999999992</v>
      </c>
      <c r="V24" s="4">
        <f>Table1[[#This Row],[Net_Profit]]/Table1[[#This Row],[Net_Sales]]</f>
        <v>0.1460762678393904</v>
      </c>
      <c r="W24" t="s">
        <v>33</v>
      </c>
      <c r="X24" t="s">
        <v>34</v>
      </c>
      <c r="Y24">
        <v>1</v>
      </c>
      <c r="Z24" t="str">
        <f>IF(Table1[[#This Row],[Month_No]]&lt;=6, "H1","H2")</f>
        <v>H1</v>
      </c>
    </row>
    <row r="25" spans="1:26" x14ac:dyDescent="0.25">
      <c r="A25" s="2">
        <v>45665</v>
      </c>
      <c r="B25" t="s">
        <v>93</v>
      </c>
      <c r="C25" t="s">
        <v>83</v>
      </c>
      <c r="D25" t="s">
        <v>44</v>
      </c>
      <c r="E25" t="s">
        <v>45</v>
      </c>
      <c r="F25" t="s">
        <v>52</v>
      </c>
      <c r="G25" t="s">
        <v>76</v>
      </c>
      <c r="H25" t="s">
        <v>41</v>
      </c>
      <c r="I25">
        <v>69</v>
      </c>
      <c r="J25" s="3">
        <v>4277.04</v>
      </c>
      <c r="K25" s="3">
        <f>Table1[[#This Row],[Quantity]]*Table1[[#This Row],[Unit_Price]]</f>
        <v>295115.76</v>
      </c>
      <c r="L25" s="3">
        <v>26640.62</v>
      </c>
      <c r="M25" s="3">
        <f>Table1[[#This Row],[Gross_Sales]]-Table1[[#This Row],[Discount]]</f>
        <v>268475.14</v>
      </c>
      <c r="N25" s="3">
        <v>194072.77</v>
      </c>
      <c r="O25" s="3">
        <v>6400.26</v>
      </c>
      <c r="P25" s="3">
        <v>17507.490000000002</v>
      </c>
      <c r="Q25" s="3">
        <v>12744.37</v>
      </c>
      <c r="R25" s="3">
        <v>7935.22</v>
      </c>
      <c r="S25" s="3">
        <f>SUM(Table1[[#This Row],[Product_Cost]:[Other_Cost]])</f>
        <v>238660.11</v>
      </c>
      <c r="T25" s="3">
        <f>Table1[[#This Row],[Net_Sales]]-Table1[[#This Row],[Product_Cost]]</f>
        <v>74402.370000000024</v>
      </c>
      <c r="U25" s="3">
        <f>Table1[[#This Row],[Net_Sales]]-Table1[[#This Row],[Total_Cost]]</f>
        <v>29815.030000000028</v>
      </c>
      <c r="V25" s="4">
        <f>Table1[[#This Row],[Net_Profit]]/Table1[[#This Row],[Net_Sales]]</f>
        <v>0.11105322451829255</v>
      </c>
      <c r="W25" t="s">
        <v>33</v>
      </c>
      <c r="X25" t="s">
        <v>34</v>
      </c>
      <c r="Y25">
        <v>1</v>
      </c>
      <c r="Z25" t="str">
        <f>IF(Table1[[#This Row],[Month_No]]&lt;=6, "H1","H2")</f>
        <v>H1</v>
      </c>
    </row>
    <row r="26" spans="1:26" x14ac:dyDescent="0.25">
      <c r="A26" s="2">
        <v>45665</v>
      </c>
      <c r="B26" t="s">
        <v>94</v>
      </c>
      <c r="C26" t="s">
        <v>43</v>
      </c>
      <c r="D26" t="s">
        <v>56</v>
      </c>
      <c r="E26" t="s">
        <v>57</v>
      </c>
      <c r="F26" t="s">
        <v>52</v>
      </c>
      <c r="G26" t="s">
        <v>64</v>
      </c>
      <c r="H26" t="s">
        <v>47</v>
      </c>
      <c r="I26">
        <v>54</v>
      </c>
      <c r="J26" s="3">
        <v>2995.41</v>
      </c>
      <c r="K26" s="3">
        <f>Table1[[#This Row],[Quantity]]*Table1[[#This Row],[Unit_Price]]</f>
        <v>161752.13999999998</v>
      </c>
      <c r="L26" s="3">
        <v>13867.16</v>
      </c>
      <c r="M26" s="3">
        <f>Table1[[#This Row],[Gross_Sales]]-Table1[[#This Row],[Discount]]</f>
        <v>147884.97999999998</v>
      </c>
      <c r="N26" s="3">
        <v>84740.3</v>
      </c>
      <c r="O26" s="3">
        <v>4000.31</v>
      </c>
      <c r="P26" s="3">
        <v>8928.4500000000007</v>
      </c>
      <c r="Q26" s="3">
        <v>7136.43</v>
      </c>
      <c r="R26" s="3">
        <v>3762.18</v>
      </c>
      <c r="S26" s="3">
        <f>SUM(Table1[[#This Row],[Product_Cost]:[Other_Cost]])</f>
        <v>108567.66999999998</v>
      </c>
      <c r="T26" s="3">
        <f>Table1[[#This Row],[Net_Sales]]-Table1[[#This Row],[Product_Cost]]</f>
        <v>63144.679999999978</v>
      </c>
      <c r="U26" s="3">
        <f>Table1[[#This Row],[Net_Sales]]-Table1[[#This Row],[Total_Cost]]</f>
        <v>39317.31</v>
      </c>
      <c r="V26" s="4">
        <f>Table1[[#This Row],[Net_Profit]]/Table1[[#This Row],[Net_Sales]]</f>
        <v>0.26586411953397837</v>
      </c>
      <c r="W26" t="s">
        <v>33</v>
      </c>
      <c r="X26" t="s">
        <v>34</v>
      </c>
      <c r="Y26">
        <v>1</v>
      </c>
      <c r="Z26" t="str">
        <f>IF(Table1[[#This Row],[Month_No]]&lt;=6, "H1","H2")</f>
        <v>H1</v>
      </c>
    </row>
    <row r="27" spans="1:26" x14ac:dyDescent="0.25">
      <c r="A27" s="2">
        <v>45665</v>
      </c>
      <c r="B27" t="s">
        <v>95</v>
      </c>
      <c r="C27" t="s">
        <v>78</v>
      </c>
      <c r="D27" t="s">
        <v>66</v>
      </c>
      <c r="E27" t="s">
        <v>51</v>
      </c>
      <c r="F27" t="s">
        <v>52</v>
      </c>
      <c r="G27" t="s">
        <v>64</v>
      </c>
      <c r="H27" t="s">
        <v>59</v>
      </c>
      <c r="I27">
        <v>46</v>
      </c>
      <c r="J27" s="3">
        <v>1444.31</v>
      </c>
      <c r="K27" s="3">
        <f>Table1[[#This Row],[Quantity]]*Table1[[#This Row],[Unit_Price]]</f>
        <v>66438.259999999995</v>
      </c>
      <c r="L27" s="3">
        <v>5295.88</v>
      </c>
      <c r="M27" s="3">
        <f>Table1[[#This Row],[Gross_Sales]]-Table1[[#This Row],[Discount]]</f>
        <v>61142.38</v>
      </c>
      <c r="N27" s="3">
        <v>34059.08</v>
      </c>
      <c r="O27" s="3">
        <v>1609.05</v>
      </c>
      <c r="P27" s="3">
        <v>4185.3599999999997</v>
      </c>
      <c r="Q27" s="3">
        <v>2670.89</v>
      </c>
      <c r="R27" s="3">
        <v>1855.3</v>
      </c>
      <c r="S27" s="3">
        <f>SUM(Table1[[#This Row],[Product_Cost]:[Other_Cost]])</f>
        <v>44379.680000000008</v>
      </c>
      <c r="T27" s="3">
        <f>Table1[[#This Row],[Net_Sales]]-Table1[[#This Row],[Product_Cost]]</f>
        <v>27083.299999999996</v>
      </c>
      <c r="U27" s="3">
        <f>Table1[[#This Row],[Net_Sales]]-Table1[[#This Row],[Total_Cost]]</f>
        <v>16762.69999999999</v>
      </c>
      <c r="V27" s="4">
        <f>Table1[[#This Row],[Net_Profit]]/Table1[[#This Row],[Net_Sales]]</f>
        <v>0.27415844787199961</v>
      </c>
      <c r="W27" t="s">
        <v>33</v>
      </c>
      <c r="X27" t="s">
        <v>34</v>
      </c>
      <c r="Y27">
        <v>1</v>
      </c>
      <c r="Z27" t="str">
        <f>IF(Table1[[#This Row],[Month_No]]&lt;=6, "H1","H2")</f>
        <v>H1</v>
      </c>
    </row>
    <row r="28" spans="1:26" x14ac:dyDescent="0.25">
      <c r="A28" s="2">
        <v>45665</v>
      </c>
      <c r="B28" t="s">
        <v>96</v>
      </c>
      <c r="C28" t="s">
        <v>78</v>
      </c>
      <c r="D28" t="s">
        <v>74</v>
      </c>
      <c r="E28" t="s">
        <v>75</v>
      </c>
      <c r="F28" t="s">
        <v>30</v>
      </c>
      <c r="G28" t="s">
        <v>64</v>
      </c>
      <c r="H28" t="s">
        <v>41</v>
      </c>
      <c r="I28">
        <v>96</v>
      </c>
      <c r="J28" s="3">
        <v>5005.76</v>
      </c>
      <c r="K28" s="3">
        <f>Table1[[#This Row],[Quantity]]*Table1[[#This Row],[Unit_Price]]</f>
        <v>480552.96000000002</v>
      </c>
      <c r="L28" s="3">
        <v>37029.82</v>
      </c>
      <c r="M28" s="3">
        <f>Table1[[#This Row],[Gross_Sales]]-Table1[[#This Row],[Discount]]</f>
        <v>443523.14</v>
      </c>
      <c r="N28" s="3">
        <v>328453.05</v>
      </c>
      <c r="O28" s="3">
        <v>16846.939999999999</v>
      </c>
      <c r="P28" s="3">
        <v>29320.94</v>
      </c>
      <c r="Q28" s="3">
        <v>22899.09</v>
      </c>
      <c r="R28" s="3">
        <v>12935.34</v>
      </c>
      <c r="S28" s="3">
        <f>SUM(Table1[[#This Row],[Product_Cost]:[Other_Cost]])</f>
        <v>410455.36000000004</v>
      </c>
      <c r="T28" s="3">
        <f>Table1[[#This Row],[Net_Sales]]-Table1[[#This Row],[Product_Cost]]</f>
        <v>115070.09000000003</v>
      </c>
      <c r="U28" s="3">
        <f>Table1[[#This Row],[Net_Sales]]-Table1[[#This Row],[Total_Cost]]</f>
        <v>33067.77999999997</v>
      </c>
      <c r="V28" s="4">
        <f>Table1[[#This Row],[Net_Profit]]/Table1[[#This Row],[Net_Sales]]</f>
        <v>7.4557056932812948E-2</v>
      </c>
      <c r="W28" t="s">
        <v>33</v>
      </c>
      <c r="X28" t="s">
        <v>34</v>
      </c>
      <c r="Y28">
        <v>1</v>
      </c>
      <c r="Z28" t="str">
        <f>IF(Table1[[#This Row],[Month_No]]&lt;=6, "H1","H2")</f>
        <v>H1</v>
      </c>
    </row>
    <row r="29" spans="1:26" x14ac:dyDescent="0.25">
      <c r="A29" s="2">
        <v>45665</v>
      </c>
      <c r="B29" t="s">
        <v>97</v>
      </c>
      <c r="C29" t="s">
        <v>98</v>
      </c>
      <c r="D29" t="s">
        <v>81</v>
      </c>
      <c r="E29" t="s">
        <v>45</v>
      </c>
      <c r="F29" t="s">
        <v>52</v>
      </c>
      <c r="G29" t="s">
        <v>71</v>
      </c>
      <c r="H29" t="s">
        <v>41</v>
      </c>
      <c r="I29">
        <v>76</v>
      </c>
      <c r="J29" s="3">
        <v>6022.91</v>
      </c>
      <c r="K29" s="3">
        <f>Table1[[#This Row],[Quantity]]*Table1[[#This Row],[Unit_Price]]</f>
        <v>457741.16</v>
      </c>
      <c r="L29" s="3">
        <v>30229.23</v>
      </c>
      <c r="M29" s="3">
        <f>Table1[[#This Row],[Gross_Sales]]-Table1[[#This Row],[Discount]]</f>
        <v>427511.93</v>
      </c>
      <c r="N29" s="3">
        <v>256572.86</v>
      </c>
      <c r="O29" s="3">
        <v>10633.45</v>
      </c>
      <c r="P29" s="3">
        <v>28920.76</v>
      </c>
      <c r="Q29" s="3">
        <v>17203.259999999998</v>
      </c>
      <c r="R29" s="3">
        <v>10995.99</v>
      </c>
      <c r="S29" s="3">
        <f>SUM(Table1[[#This Row],[Product_Cost]:[Other_Cost]])</f>
        <v>324326.32</v>
      </c>
      <c r="T29" s="3">
        <f>Table1[[#This Row],[Net_Sales]]-Table1[[#This Row],[Product_Cost]]</f>
        <v>170939.07</v>
      </c>
      <c r="U29" s="3">
        <f>Table1[[#This Row],[Net_Sales]]-Table1[[#This Row],[Total_Cost]]</f>
        <v>103185.60999999999</v>
      </c>
      <c r="V29" s="4">
        <f>Table1[[#This Row],[Net_Profit]]/Table1[[#This Row],[Net_Sales]]</f>
        <v>0.24136311236975302</v>
      </c>
      <c r="W29" t="s">
        <v>33</v>
      </c>
      <c r="X29" t="s">
        <v>34</v>
      </c>
      <c r="Y29">
        <v>1</v>
      </c>
      <c r="Z29" t="str">
        <f>IF(Table1[[#This Row],[Month_No]]&lt;=6, "H1","H2")</f>
        <v>H1</v>
      </c>
    </row>
    <row r="30" spans="1:26" x14ac:dyDescent="0.25">
      <c r="A30" s="2">
        <v>45665</v>
      </c>
      <c r="B30" t="s">
        <v>99</v>
      </c>
      <c r="C30" t="s">
        <v>27</v>
      </c>
      <c r="D30" t="s">
        <v>100</v>
      </c>
      <c r="E30" t="s">
        <v>75</v>
      </c>
      <c r="F30" t="s">
        <v>39</v>
      </c>
      <c r="G30" t="s">
        <v>61</v>
      </c>
      <c r="H30" t="s">
        <v>41</v>
      </c>
      <c r="I30">
        <v>37</v>
      </c>
      <c r="J30" s="3">
        <v>6334.69</v>
      </c>
      <c r="K30" s="3">
        <f>Table1[[#This Row],[Quantity]]*Table1[[#This Row],[Unit_Price]]</f>
        <v>234383.53</v>
      </c>
      <c r="L30" s="3">
        <v>20580.18</v>
      </c>
      <c r="M30" s="3">
        <f>Table1[[#This Row],[Gross_Sales]]-Table1[[#This Row],[Discount]]</f>
        <v>213803.35</v>
      </c>
      <c r="N30" s="3">
        <v>129450.98</v>
      </c>
      <c r="O30" s="3">
        <v>8132.64</v>
      </c>
      <c r="P30" s="3">
        <v>14720.01</v>
      </c>
      <c r="Q30" s="3">
        <v>10535.7</v>
      </c>
      <c r="R30" s="3">
        <v>4948.97</v>
      </c>
      <c r="S30" s="3">
        <f>SUM(Table1[[#This Row],[Product_Cost]:[Other_Cost]])</f>
        <v>167788.30000000002</v>
      </c>
      <c r="T30" s="3">
        <f>Table1[[#This Row],[Net_Sales]]-Table1[[#This Row],[Product_Cost]]</f>
        <v>84352.37000000001</v>
      </c>
      <c r="U30" s="3">
        <f>Table1[[#This Row],[Net_Sales]]-Table1[[#This Row],[Total_Cost]]</f>
        <v>46015.049999999988</v>
      </c>
      <c r="V30" s="4">
        <f>Table1[[#This Row],[Net_Profit]]/Table1[[#This Row],[Net_Sales]]</f>
        <v>0.21522137047899384</v>
      </c>
      <c r="W30" t="s">
        <v>33</v>
      </c>
      <c r="X30" t="s">
        <v>34</v>
      </c>
      <c r="Y30">
        <v>1</v>
      </c>
      <c r="Z30" t="str">
        <f>IF(Table1[[#This Row],[Month_No]]&lt;=6, "H1","H2")</f>
        <v>H1</v>
      </c>
    </row>
    <row r="31" spans="1:26" x14ac:dyDescent="0.25">
      <c r="A31" s="2">
        <v>45665</v>
      </c>
      <c r="B31" t="s">
        <v>101</v>
      </c>
      <c r="C31" t="s">
        <v>70</v>
      </c>
      <c r="D31" t="s">
        <v>85</v>
      </c>
      <c r="E31" t="s">
        <v>57</v>
      </c>
      <c r="F31" t="s">
        <v>52</v>
      </c>
      <c r="G31" t="s">
        <v>76</v>
      </c>
      <c r="H31" t="s">
        <v>47</v>
      </c>
      <c r="I31">
        <v>89</v>
      </c>
      <c r="J31" s="3">
        <v>1839.05</v>
      </c>
      <c r="K31" s="3">
        <f>Table1[[#This Row],[Quantity]]*Table1[[#This Row],[Unit_Price]]</f>
        <v>163675.44999999998</v>
      </c>
      <c r="L31" s="3">
        <v>13689.25</v>
      </c>
      <c r="M31" s="3">
        <f>Table1[[#This Row],[Gross_Sales]]-Table1[[#This Row],[Discount]]</f>
        <v>149986.19999999998</v>
      </c>
      <c r="N31" s="3">
        <v>101597.6</v>
      </c>
      <c r="O31" s="3">
        <v>3983.71</v>
      </c>
      <c r="P31" s="3">
        <v>9126.8700000000008</v>
      </c>
      <c r="Q31" s="3">
        <v>5971.38</v>
      </c>
      <c r="R31" s="3">
        <v>3041.2</v>
      </c>
      <c r="S31" s="3">
        <f>SUM(Table1[[#This Row],[Product_Cost]:[Other_Cost]])</f>
        <v>123720.76000000001</v>
      </c>
      <c r="T31" s="3">
        <f>Table1[[#This Row],[Net_Sales]]-Table1[[#This Row],[Product_Cost]]</f>
        <v>48388.599999999977</v>
      </c>
      <c r="U31" s="3">
        <f>Table1[[#This Row],[Net_Sales]]-Table1[[#This Row],[Total_Cost]]</f>
        <v>26265.439999999973</v>
      </c>
      <c r="V31" s="4">
        <f>Table1[[#This Row],[Net_Profit]]/Table1[[#This Row],[Net_Sales]]</f>
        <v>0.17511904428540742</v>
      </c>
      <c r="W31" t="s">
        <v>33</v>
      </c>
      <c r="X31" t="s">
        <v>34</v>
      </c>
      <c r="Y31">
        <v>1</v>
      </c>
      <c r="Z31" t="str">
        <f>IF(Table1[[#This Row],[Month_No]]&lt;=6, "H1","H2")</f>
        <v>H1</v>
      </c>
    </row>
    <row r="32" spans="1:26" x14ac:dyDescent="0.25">
      <c r="A32" s="2">
        <v>45666</v>
      </c>
      <c r="B32" t="s">
        <v>102</v>
      </c>
      <c r="C32" t="s">
        <v>78</v>
      </c>
      <c r="D32" t="s">
        <v>50</v>
      </c>
      <c r="E32" t="s">
        <v>51</v>
      </c>
      <c r="F32" t="s">
        <v>39</v>
      </c>
      <c r="G32" t="s">
        <v>40</v>
      </c>
      <c r="H32" t="s">
        <v>47</v>
      </c>
      <c r="I32">
        <v>84</v>
      </c>
      <c r="J32" s="3">
        <v>791.43</v>
      </c>
      <c r="K32" s="3">
        <f>Table1[[#This Row],[Quantity]]*Table1[[#This Row],[Unit_Price]]</f>
        <v>66480.12</v>
      </c>
      <c r="L32" s="3">
        <v>4771.13</v>
      </c>
      <c r="M32" s="3">
        <f>Table1[[#This Row],[Gross_Sales]]-Table1[[#This Row],[Discount]]</f>
        <v>61708.99</v>
      </c>
      <c r="N32" s="3">
        <v>40144.83</v>
      </c>
      <c r="O32" s="3">
        <v>2479.66</v>
      </c>
      <c r="P32" s="3">
        <v>3639.75</v>
      </c>
      <c r="Q32" s="3">
        <v>2796.64</v>
      </c>
      <c r="R32" s="3">
        <v>1848.48</v>
      </c>
      <c r="S32" s="3">
        <f>SUM(Table1[[#This Row],[Product_Cost]:[Other_Cost]])</f>
        <v>50909.360000000008</v>
      </c>
      <c r="T32" s="3">
        <f>Table1[[#This Row],[Net_Sales]]-Table1[[#This Row],[Product_Cost]]</f>
        <v>21564.159999999996</v>
      </c>
      <c r="U32" s="3">
        <f>Table1[[#This Row],[Net_Sales]]-Table1[[#This Row],[Total_Cost]]</f>
        <v>10799.62999999999</v>
      </c>
      <c r="V32" s="4">
        <f>Table1[[#This Row],[Net_Profit]]/Table1[[#This Row],[Net_Sales]]</f>
        <v>0.17500902218623235</v>
      </c>
      <c r="W32" t="s">
        <v>33</v>
      </c>
      <c r="X32" t="s">
        <v>34</v>
      </c>
      <c r="Y32">
        <v>1</v>
      </c>
      <c r="Z32" t="str">
        <f>IF(Table1[[#This Row],[Month_No]]&lt;=6, "H1","H2")</f>
        <v>H1</v>
      </c>
    </row>
    <row r="33" spans="1:26" x14ac:dyDescent="0.25">
      <c r="A33" s="2">
        <v>45666</v>
      </c>
      <c r="B33" t="s">
        <v>103</v>
      </c>
      <c r="C33" t="s">
        <v>36</v>
      </c>
      <c r="D33" t="s">
        <v>68</v>
      </c>
      <c r="E33" t="s">
        <v>29</v>
      </c>
      <c r="F33" t="s">
        <v>52</v>
      </c>
      <c r="G33" t="s">
        <v>40</v>
      </c>
      <c r="H33" t="s">
        <v>59</v>
      </c>
      <c r="I33">
        <v>131</v>
      </c>
      <c r="J33" s="3">
        <v>357.68</v>
      </c>
      <c r="K33" s="3">
        <f>Table1[[#This Row],[Quantity]]*Table1[[#This Row],[Unit_Price]]</f>
        <v>46856.08</v>
      </c>
      <c r="L33" s="3">
        <v>3537.77</v>
      </c>
      <c r="M33" s="3">
        <f>Table1[[#This Row],[Gross_Sales]]-Table1[[#This Row],[Discount]]</f>
        <v>43318.310000000005</v>
      </c>
      <c r="N33" s="3">
        <v>32798.29</v>
      </c>
      <c r="O33" s="3">
        <v>1209.3800000000001</v>
      </c>
      <c r="P33" s="3">
        <v>3172.12</v>
      </c>
      <c r="Q33" s="3">
        <v>1637.35</v>
      </c>
      <c r="R33" s="3">
        <v>947.47</v>
      </c>
      <c r="S33" s="3">
        <f>SUM(Table1[[#This Row],[Product_Cost]:[Other_Cost]])</f>
        <v>39764.61</v>
      </c>
      <c r="T33" s="3">
        <f>Table1[[#This Row],[Net_Sales]]-Table1[[#This Row],[Product_Cost]]</f>
        <v>10520.020000000004</v>
      </c>
      <c r="U33" s="3">
        <f>Table1[[#This Row],[Net_Sales]]-Table1[[#This Row],[Total_Cost]]</f>
        <v>3553.7000000000044</v>
      </c>
      <c r="V33" s="4">
        <f>Table1[[#This Row],[Net_Profit]]/Table1[[#This Row],[Net_Sales]]</f>
        <v>8.2036903101713896E-2</v>
      </c>
      <c r="W33" t="s">
        <v>33</v>
      </c>
      <c r="X33" t="s">
        <v>34</v>
      </c>
      <c r="Y33">
        <v>1</v>
      </c>
      <c r="Z33" t="str">
        <f>IF(Table1[[#This Row],[Month_No]]&lt;=6, "H1","H2")</f>
        <v>H1</v>
      </c>
    </row>
    <row r="34" spans="1:26" x14ac:dyDescent="0.25">
      <c r="A34" s="2">
        <v>45666</v>
      </c>
      <c r="B34" t="s">
        <v>104</v>
      </c>
      <c r="C34" t="s">
        <v>83</v>
      </c>
      <c r="D34" t="s">
        <v>28</v>
      </c>
      <c r="E34" t="s">
        <v>29</v>
      </c>
      <c r="F34" t="s">
        <v>52</v>
      </c>
      <c r="G34" t="s">
        <v>64</v>
      </c>
      <c r="H34" t="s">
        <v>47</v>
      </c>
      <c r="I34">
        <v>99</v>
      </c>
      <c r="J34" s="3">
        <v>1096.1199999999999</v>
      </c>
      <c r="K34" s="3">
        <f>Table1[[#This Row],[Quantity]]*Table1[[#This Row],[Unit_Price]]</f>
        <v>108515.87999999999</v>
      </c>
      <c r="L34" s="3">
        <v>8354.66</v>
      </c>
      <c r="M34" s="3">
        <f>Table1[[#This Row],[Gross_Sales]]-Table1[[#This Row],[Discount]]</f>
        <v>100161.21999999999</v>
      </c>
      <c r="N34" s="3">
        <v>61413.74</v>
      </c>
      <c r="O34" s="3">
        <v>2474.2600000000002</v>
      </c>
      <c r="P34" s="3">
        <v>7084.88</v>
      </c>
      <c r="Q34" s="3">
        <v>4783.1000000000004</v>
      </c>
      <c r="R34" s="3">
        <v>2499.79</v>
      </c>
      <c r="S34" s="3">
        <f>SUM(Table1[[#This Row],[Product_Cost]:[Other_Cost]])</f>
        <v>78255.77</v>
      </c>
      <c r="T34" s="3">
        <f>Table1[[#This Row],[Net_Sales]]-Table1[[#This Row],[Product_Cost]]</f>
        <v>38747.479999999989</v>
      </c>
      <c r="U34" s="3">
        <f>Table1[[#This Row],[Net_Sales]]-Table1[[#This Row],[Total_Cost]]</f>
        <v>21905.449999999983</v>
      </c>
      <c r="V34" s="4">
        <f>Table1[[#This Row],[Net_Profit]]/Table1[[#This Row],[Net_Sales]]</f>
        <v>0.21870190878266044</v>
      </c>
      <c r="W34" t="s">
        <v>33</v>
      </c>
      <c r="X34" t="s">
        <v>34</v>
      </c>
      <c r="Y34">
        <v>1</v>
      </c>
      <c r="Z34" t="str">
        <f>IF(Table1[[#This Row],[Month_No]]&lt;=6, "H1","H2")</f>
        <v>H1</v>
      </c>
    </row>
    <row r="35" spans="1:26" x14ac:dyDescent="0.25">
      <c r="A35" s="2">
        <v>45667</v>
      </c>
      <c r="B35" t="s">
        <v>105</v>
      </c>
      <c r="C35" t="s">
        <v>27</v>
      </c>
      <c r="D35" t="s">
        <v>37</v>
      </c>
      <c r="E35" t="s">
        <v>38</v>
      </c>
      <c r="F35" t="s">
        <v>39</v>
      </c>
      <c r="G35" t="s">
        <v>61</v>
      </c>
      <c r="H35" t="s">
        <v>47</v>
      </c>
      <c r="I35">
        <v>47</v>
      </c>
      <c r="J35" s="3">
        <v>4273.53</v>
      </c>
      <c r="K35" s="3">
        <f>Table1[[#This Row],[Quantity]]*Table1[[#This Row],[Unit_Price]]</f>
        <v>200855.90999999997</v>
      </c>
      <c r="L35" s="3">
        <v>17528.11</v>
      </c>
      <c r="M35" s="3">
        <f>Table1[[#This Row],[Gross_Sales]]-Table1[[#This Row],[Discount]]</f>
        <v>183327.8</v>
      </c>
      <c r="N35" s="3">
        <v>136569.97</v>
      </c>
      <c r="O35" s="3">
        <v>7890.77</v>
      </c>
      <c r="P35" s="3">
        <v>11091.42</v>
      </c>
      <c r="Q35" s="3">
        <v>7721.86</v>
      </c>
      <c r="R35" s="3">
        <v>5728.5</v>
      </c>
      <c r="S35" s="3">
        <f>SUM(Table1[[#This Row],[Product_Cost]:[Other_Cost]])</f>
        <v>169002.52</v>
      </c>
      <c r="T35" s="3">
        <f>Table1[[#This Row],[Net_Sales]]-Table1[[#This Row],[Product_Cost]]</f>
        <v>46757.829999999987</v>
      </c>
      <c r="U35" s="3">
        <f>Table1[[#This Row],[Net_Sales]]-Table1[[#This Row],[Total_Cost]]</f>
        <v>14325.279999999999</v>
      </c>
      <c r="V35" s="4">
        <f>Table1[[#This Row],[Net_Profit]]/Table1[[#This Row],[Net_Sales]]</f>
        <v>7.8140249323888689E-2</v>
      </c>
      <c r="W35" t="s">
        <v>33</v>
      </c>
      <c r="X35" t="s">
        <v>34</v>
      </c>
      <c r="Y35">
        <v>1</v>
      </c>
      <c r="Z35" t="str">
        <f>IF(Table1[[#This Row],[Month_No]]&lt;=6, "H1","H2")</f>
        <v>H1</v>
      </c>
    </row>
    <row r="36" spans="1:26" x14ac:dyDescent="0.25">
      <c r="A36" s="2">
        <v>45667</v>
      </c>
      <c r="B36" t="s">
        <v>106</v>
      </c>
      <c r="C36" t="s">
        <v>107</v>
      </c>
      <c r="D36" t="s">
        <v>85</v>
      </c>
      <c r="E36" t="s">
        <v>57</v>
      </c>
      <c r="F36" t="s">
        <v>52</v>
      </c>
      <c r="G36" t="s">
        <v>71</v>
      </c>
      <c r="H36" t="s">
        <v>41</v>
      </c>
      <c r="I36">
        <v>77</v>
      </c>
      <c r="J36" s="3">
        <v>1777.87</v>
      </c>
      <c r="K36" s="3">
        <f>Table1[[#This Row],[Quantity]]*Table1[[#This Row],[Unit_Price]]</f>
        <v>136895.99</v>
      </c>
      <c r="L36" s="3">
        <v>9854.4</v>
      </c>
      <c r="M36" s="3">
        <f>Table1[[#This Row],[Gross_Sales]]-Table1[[#This Row],[Discount]]</f>
        <v>127041.59</v>
      </c>
      <c r="N36" s="3">
        <v>87703.87</v>
      </c>
      <c r="O36" s="3">
        <v>3623.58</v>
      </c>
      <c r="P36" s="3">
        <v>8829.08</v>
      </c>
      <c r="Q36" s="3">
        <v>5512.81</v>
      </c>
      <c r="R36" s="3">
        <v>3027.38</v>
      </c>
      <c r="S36" s="3">
        <f>SUM(Table1[[#This Row],[Product_Cost]:[Other_Cost]])</f>
        <v>108696.72</v>
      </c>
      <c r="T36" s="3">
        <f>Table1[[#This Row],[Net_Sales]]-Table1[[#This Row],[Product_Cost]]</f>
        <v>39337.72</v>
      </c>
      <c r="U36" s="3">
        <f>Table1[[#This Row],[Net_Sales]]-Table1[[#This Row],[Total_Cost]]</f>
        <v>18344.869999999995</v>
      </c>
      <c r="V36" s="4">
        <f>Table1[[#This Row],[Net_Profit]]/Table1[[#This Row],[Net_Sales]]</f>
        <v>0.14440050695209336</v>
      </c>
      <c r="W36" t="s">
        <v>72</v>
      </c>
      <c r="X36" t="s">
        <v>34</v>
      </c>
      <c r="Y36">
        <v>1</v>
      </c>
      <c r="Z36" t="str">
        <f>IF(Table1[[#This Row],[Month_No]]&lt;=6, "H1","H2")</f>
        <v>H1</v>
      </c>
    </row>
    <row r="37" spans="1:26" x14ac:dyDescent="0.25">
      <c r="A37" s="2">
        <v>45667</v>
      </c>
      <c r="B37" t="s">
        <v>108</v>
      </c>
      <c r="C37" t="s">
        <v>83</v>
      </c>
      <c r="D37" t="s">
        <v>37</v>
      </c>
      <c r="E37" t="s">
        <v>38</v>
      </c>
      <c r="F37" t="s">
        <v>39</v>
      </c>
      <c r="G37" t="s">
        <v>64</v>
      </c>
      <c r="H37" t="s">
        <v>47</v>
      </c>
      <c r="I37">
        <v>37</v>
      </c>
      <c r="J37" s="3">
        <v>4056.18</v>
      </c>
      <c r="K37" s="3">
        <f>Table1[[#This Row],[Quantity]]*Table1[[#This Row],[Unit_Price]]</f>
        <v>150078.66</v>
      </c>
      <c r="L37" s="3">
        <v>9520.0499999999993</v>
      </c>
      <c r="M37" s="3">
        <f>Table1[[#This Row],[Gross_Sales]]-Table1[[#This Row],[Discount]]</f>
        <v>140558.61000000002</v>
      </c>
      <c r="N37" s="3">
        <v>101217.52</v>
      </c>
      <c r="O37" s="3">
        <v>5771.99</v>
      </c>
      <c r="P37" s="3">
        <v>8725.33</v>
      </c>
      <c r="Q37" s="3">
        <v>7625.88</v>
      </c>
      <c r="R37" s="3">
        <v>3573.75</v>
      </c>
      <c r="S37" s="3">
        <f>SUM(Table1[[#This Row],[Product_Cost]:[Other_Cost]])</f>
        <v>126914.47000000002</v>
      </c>
      <c r="T37" s="3">
        <f>Table1[[#This Row],[Net_Sales]]-Table1[[#This Row],[Product_Cost]]</f>
        <v>39341.090000000011</v>
      </c>
      <c r="U37" s="3">
        <f>Table1[[#This Row],[Net_Sales]]-Table1[[#This Row],[Total_Cost]]</f>
        <v>13644.14</v>
      </c>
      <c r="V37" s="4">
        <f>Table1[[#This Row],[Net_Profit]]/Table1[[#This Row],[Net_Sales]]</f>
        <v>9.7070823338392412E-2</v>
      </c>
      <c r="W37" t="s">
        <v>72</v>
      </c>
      <c r="X37" t="s">
        <v>34</v>
      </c>
      <c r="Y37">
        <v>1</v>
      </c>
      <c r="Z37" t="str">
        <f>IF(Table1[[#This Row],[Month_No]]&lt;=6, "H1","H2")</f>
        <v>H1</v>
      </c>
    </row>
    <row r="38" spans="1:26" x14ac:dyDescent="0.25">
      <c r="A38" s="2">
        <v>45667</v>
      </c>
      <c r="B38" t="s">
        <v>109</v>
      </c>
      <c r="C38" t="s">
        <v>55</v>
      </c>
      <c r="D38" t="s">
        <v>68</v>
      </c>
      <c r="E38" t="s">
        <v>29</v>
      </c>
      <c r="F38" t="s">
        <v>52</v>
      </c>
      <c r="G38" t="s">
        <v>76</v>
      </c>
      <c r="H38" t="s">
        <v>47</v>
      </c>
      <c r="I38">
        <v>143</v>
      </c>
      <c r="J38" s="3">
        <v>346.73</v>
      </c>
      <c r="K38" s="3">
        <f>Table1[[#This Row],[Quantity]]*Table1[[#This Row],[Unit_Price]]</f>
        <v>49582.39</v>
      </c>
      <c r="L38" s="3">
        <v>3890.38</v>
      </c>
      <c r="M38" s="3">
        <f>Table1[[#This Row],[Gross_Sales]]-Table1[[#This Row],[Discount]]</f>
        <v>45692.01</v>
      </c>
      <c r="N38" s="3">
        <v>36089.050000000003</v>
      </c>
      <c r="O38" s="3">
        <v>1203.3900000000001</v>
      </c>
      <c r="P38" s="3">
        <v>3255.88</v>
      </c>
      <c r="Q38" s="3">
        <v>1677.94</v>
      </c>
      <c r="R38" s="3">
        <v>962.41</v>
      </c>
      <c r="S38" s="3">
        <f>SUM(Table1[[#This Row],[Product_Cost]:[Other_Cost]])</f>
        <v>43188.670000000006</v>
      </c>
      <c r="T38" s="3">
        <f>Table1[[#This Row],[Net_Sales]]-Table1[[#This Row],[Product_Cost]]</f>
        <v>9602.9599999999991</v>
      </c>
      <c r="U38" s="3">
        <f>Table1[[#This Row],[Net_Sales]]-Table1[[#This Row],[Total_Cost]]</f>
        <v>2503.3399999999965</v>
      </c>
      <c r="V38" s="4">
        <f>Table1[[#This Row],[Net_Profit]]/Table1[[#This Row],[Net_Sales]]</f>
        <v>5.4787259304197748E-2</v>
      </c>
      <c r="W38" t="s">
        <v>33</v>
      </c>
      <c r="X38" t="s">
        <v>34</v>
      </c>
      <c r="Y38">
        <v>1</v>
      </c>
      <c r="Z38" t="str">
        <f>IF(Table1[[#This Row],[Month_No]]&lt;=6, "H1","H2")</f>
        <v>H1</v>
      </c>
    </row>
    <row r="39" spans="1:26" x14ac:dyDescent="0.25">
      <c r="A39" s="2">
        <v>45667</v>
      </c>
      <c r="B39" t="s">
        <v>110</v>
      </c>
      <c r="C39" t="s">
        <v>27</v>
      </c>
      <c r="D39" t="s">
        <v>68</v>
      </c>
      <c r="E39" t="s">
        <v>29</v>
      </c>
      <c r="F39" t="s">
        <v>52</v>
      </c>
      <c r="G39" t="s">
        <v>58</v>
      </c>
      <c r="H39" t="s">
        <v>41</v>
      </c>
      <c r="I39">
        <v>177</v>
      </c>
      <c r="J39" s="3">
        <v>349.37</v>
      </c>
      <c r="K39" s="3">
        <f>Table1[[#This Row],[Quantity]]*Table1[[#This Row],[Unit_Price]]</f>
        <v>61838.49</v>
      </c>
      <c r="L39" s="3">
        <v>4657.93</v>
      </c>
      <c r="M39" s="3">
        <f>Table1[[#This Row],[Gross_Sales]]-Table1[[#This Row],[Discount]]</f>
        <v>57180.56</v>
      </c>
      <c r="N39" s="3">
        <v>42843.34</v>
      </c>
      <c r="O39" s="3">
        <v>1407.91</v>
      </c>
      <c r="P39" s="3">
        <v>3321.46</v>
      </c>
      <c r="Q39" s="3">
        <v>2529.46</v>
      </c>
      <c r="R39" s="3">
        <v>1263.75</v>
      </c>
      <c r="S39" s="3">
        <f>SUM(Table1[[#This Row],[Product_Cost]:[Other_Cost]])</f>
        <v>51365.919999999998</v>
      </c>
      <c r="T39" s="3">
        <f>Table1[[#This Row],[Net_Sales]]-Table1[[#This Row],[Product_Cost]]</f>
        <v>14337.220000000001</v>
      </c>
      <c r="U39" s="3">
        <f>Table1[[#This Row],[Net_Sales]]-Table1[[#This Row],[Total_Cost]]</f>
        <v>5814.6399999999994</v>
      </c>
      <c r="V39" s="4">
        <f>Table1[[#This Row],[Net_Profit]]/Table1[[#This Row],[Net_Sales]]</f>
        <v>0.10168910552817251</v>
      </c>
      <c r="W39" t="s">
        <v>72</v>
      </c>
      <c r="X39" t="s">
        <v>34</v>
      </c>
      <c r="Y39">
        <v>1</v>
      </c>
      <c r="Z39" t="str">
        <f>IF(Table1[[#This Row],[Month_No]]&lt;=6, "H1","H2")</f>
        <v>H1</v>
      </c>
    </row>
    <row r="40" spans="1:26" x14ac:dyDescent="0.25">
      <c r="A40" s="2">
        <v>45667</v>
      </c>
      <c r="B40" t="s">
        <v>111</v>
      </c>
      <c r="C40" t="s">
        <v>55</v>
      </c>
      <c r="D40" t="s">
        <v>74</v>
      </c>
      <c r="E40" t="s">
        <v>75</v>
      </c>
      <c r="F40" t="s">
        <v>52</v>
      </c>
      <c r="G40" t="s">
        <v>61</v>
      </c>
      <c r="H40" t="s">
        <v>59</v>
      </c>
      <c r="I40">
        <v>69</v>
      </c>
      <c r="J40" s="3">
        <v>5150.3</v>
      </c>
      <c r="K40" s="3">
        <f>Table1[[#This Row],[Quantity]]*Table1[[#This Row],[Unit_Price]]</f>
        <v>355370.7</v>
      </c>
      <c r="L40" s="3">
        <v>28147.73</v>
      </c>
      <c r="M40" s="3">
        <f>Table1[[#This Row],[Gross_Sales]]-Table1[[#This Row],[Discount]]</f>
        <v>327222.97000000003</v>
      </c>
      <c r="N40" s="3">
        <v>249274.69</v>
      </c>
      <c r="O40" s="3">
        <v>8480.7199999999993</v>
      </c>
      <c r="P40" s="3">
        <v>21250.89</v>
      </c>
      <c r="Q40" s="3">
        <v>13725.9</v>
      </c>
      <c r="R40" s="3">
        <v>10453.99</v>
      </c>
      <c r="S40" s="3">
        <f>SUM(Table1[[#This Row],[Product_Cost]:[Other_Cost]])</f>
        <v>303186.19</v>
      </c>
      <c r="T40" s="3">
        <f>Table1[[#This Row],[Net_Sales]]-Table1[[#This Row],[Product_Cost]]</f>
        <v>77948.280000000028</v>
      </c>
      <c r="U40" s="3">
        <f>Table1[[#This Row],[Net_Sales]]-Table1[[#This Row],[Total_Cost]]</f>
        <v>24036.780000000028</v>
      </c>
      <c r="V40" s="4">
        <f>Table1[[#This Row],[Net_Profit]]/Table1[[#This Row],[Net_Sales]]</f>
        <v>7.3456884765760871E-2</v>
      </c>
      <c r="W40" t="s">
        <v>33</v>
      </c>
      <c r="X40" t="s">
        <v>34</v>
      </c>
      <c r="Y40">
        <v>1</v>
      </c>
      <c r="Z40" t="str">
        <f>IF(Table1[[#This Row],[Month_No]]&lt;=6, "H1","H2")</f>
        <v>H1</v>
      </c>
    </row>
    <row r="41" spans="1:26" x14ac:dyDescent="0.25">
      <c r="A41" s="2">
        <v>45668</v>
      </c>
      <c r="B41" t="s">
        <v>112</v>
      </c>
      <c r="C41" t="s">
        <v>55</v>
      </c>
      <c r="D41" t="s">
        <v>50</v>
      </c>
      <c r="E41" t="s">
        <v>51</v>
      </c>
      <c r="F41" t="s">
        <v>52</v>
      </c>
      <c r="G41" t="s">
        <v>31</v>
      </c>
      <c r="H41" t="s">
        <v>47</v>
      </c>
      <c r="I41">
        <v>96</v>
      </c>
      <c r="J41" s="3">
        <v>817.18</v>
      </c>
      <c r="K41" s="3">
        <f>Table1[[#This Row],[Quantity]]*Table1[[#This Row],[Unit_Price]]</f>
        <v>78449.279999999999</v>
      </c>
      <c r="L41" s="3">
        <v>5045.4399999999996</v>
      </c>
      <c r="M41" s="3">
        <f>Table1[[#This Row],[Gross_Sales]]-Table1[[#This Row],[Discount]]</f>
        <v>73403.839999999997</v>
      </c>
      <c r="N41" s="3">
        <v>47816.58</v>
      </c>
      <c r="O41" s="3">
        <v>1897.92</v>
      </c>
      <c r="P41" s="3">
        <v>5498.33</v>
      </c>
      <c r="Q41" s="3">
        <v>3221.5</v>
      </c>
      <c r="R41" s="3">
        <v>1850.13</v>
      </c>
      <c r="S41" s="3">
        <f>SUM(Table1[[#This Row],[Product_Cost]:[Other_Cost]])</f>
        <v>60284.46</v>
      </c>
      <c r="T41" s="3">
        <f>Table1[[#This Row],[Net_Sales]]-Table1[[#This Row],[Product_Cost]]</f>
        <v>25587.259999999995</v>
      </c>
      <c r="U41" s="3">
        <f>Table1[[#This Row],[Net_Sales]]-Table1[[#This Row],[Total_Cost]]</f>
        <v>13119.379999999997</v>
      </c>
      <c r="V41" s="4">
        <f>Table1[[#This Row],[Net_Profit]]/Table1[[#This Row],[Net_Sales]]</f>
        <v>0.17872879674959782</v>
      </c>
      <c r="W41" t="s">
        <v>72</v>
      </c>
      <c r="X41" t="s">
        <v>34</v>
      </c>
      <c r="Y41">
        <v>1</v>
      </c>
      <c r="Z41" t="str">
        <f>IF(Table1[[#This Row],[Month_No]]&lt;=6, "H1","H2")</f>
        <v>H1</v>
      </c>
    </row>
    <row r="42" spans="1:26" x14ac:dyDescent="0.25">
      <c r="A42" s="2">
        <v>45668</v>
      </c>
      <c r="B42" t="s">
        <v>113</v>
      </c>
      <c r="C42" t="s">
        <v>36</v>
      </c>
      <c r="D42" t="s">
        <v>74</v>
      </c>
      <c r="E42" t="s">
        <v>75</v>
      </c>
      <c r="F42" t="s">
        <v>52</v>
      </c>
      <c r="G42" t="s">
        <v>58</v>
      </c>
      <c r="H42" t="s">
        <v>47</v>
      </c>
      <c r="I42">
        <v>94</v>
      </c>
      <c r="J42" s="3">
        <v>5265.89</v>
      </c>
      <c r="K42" s="3">
        <f>Table1[[#This Row],[Quantity]]*Table1[[#This Row],[Unit_Price]]</f>
        <v>494993.66000000003</v>
      </c>
      <c r="L42" s="3">
        <v>43843.28</v>
      </c>
      <c r="M42" s="3">
        <f>Table1[[#This Row],[Gross_Sales]]-Table1[[#This Row],[Discount]]</f>
        <v>451150.38</v>
      </c>
      <c r="N42" s="3">
        <v>338995.76</v>
      </c>
      <c r="O42" s="3">
        <v>10641.17</v>
      </c>
      <c r="P42" s="3">
        <v>29980.31</v>
      </c>
      <c r="Q42" s="3">
        <v>19078.47</v>
      </c>
      <c r="R42" s="3">
        <v>14297.3</v>
      </c>
      <c r="S42" s="3">
        <f>SUM(Table1[[#This Row],[Product_Cost]:[Other_Cost]])</f>
        <v>412993.00999999995</v>
      </c>
      <c r="T42" s="3">
        <f>Table1[[#This Row],[Net_Sales]]-Table1[[#This Row],[Product_Cost]]</f>
        <v>112154.62</v>
      </c>
      <c r="U42" s="3">
        <f>Table1[[#This Row],[Net_Sales]]-Table1[[#This Row],[Total_Cost]]</f>
        <v>38157.370000000054</v>
      </c>
      <c r="V42" s="4">
        <f>Table1[[#This Row],[Net_Profit]]/Table1[[#This Row],[Net_Sales]]</f>
        <v>8.4577940508439892E-2</v>
      </c>
      <c r="W42" t="s">
        <v>33</v>
      </c>
      <c r="X42" t="s">
        <v>34</v>
      </c>
      <c r="Y42">
        <v>1</v>
      </c>
      <c r="Z42" t="str">
        <f>IF(Table1[[#This Row],[Month_No]]&lt;=6, "H1","H2")</f>
        <v>H1</v>
      </c>
    </row>
    <row r="43" spans="1:26" x14ac:dyDescent="0.25">
      <c r="A43" s="2">
        <v>45668</v>
      </c>
      <c r="B43" t="s">
        <v>114</v>
      </c>
      <c r="C43" t="s">
        <v>98</v>
      </c>
      <c r="D43" t="s">
        <v>74</v>
      </c>
      <c r="E43" t="s">
        <v>75</v>
      </c>
      <c r="F43" t="s">
        <v>30</v>
      </c>
      <c r="G43" t="s">
        <v>40</v>
      </c>
      <c r="H43" t="s">
        <v>32</v>
      </c>
      <c r="I43">
        <v>64</v>
      </c>
      <c r="J43" s="3">
        <v>5001.3599999999997</v>
      </c>
      <c r="K43" s="3">
        <f>Table1[[#This Row],[Quantity]]*Table1[[#This Row],[Unit_Price]]</f>
        <v>320087.03999999998</v>
      </c>
      <c r="L43" s="3">
        <v>31811.21</v>
      </c>
      <c r="M43" s="3">
        <f>Table1[[#This Row],[Gross_Sales]]-Table1[[#This Row],[Discount]]</f>
        <v>288275.82999999996</v>
      </c>
      <c r="N43" s="3">
        <v>214494.43</v>
      </c>
      <c r="O43" s="3">
        <v>9683.81</v>
      </c>
      <c r="P43" s="3">
        <v>18485.310000000001</v>
      </c>
      <c r="Q43" s="3">
        <v>11544.26</v>
      </c>
      <c r="R43" s="3">
        <v>9218.7999999999993</v>
      </c>
      <c r="S43" s="3">
        <f>SUM(Table1[[#This Row],[Product_Cost]:[Other_Cost]])</f>
        <v>263426.61</v>
      </c>
      <c r="T43" s="3">
        <f>Table1[[#This Row],[Net_Sales]]-Table1[[#This Row],[Product_Cost]]</f>
        <v>73781.399999999965</v>
      </c>
      <c r="U43" s="3">
        <f>Table1[[#This Row],[Net_Sales]]-Table1[[#This Row],[Total_Cost]]</f>
        <v>24849.219999999972</v>
      </c>
      <c r="V43" s="4">
        <f>Table1[[#This Row],[Net_Profit]]/Table1[[#This Row],[Net_Sales]]</f>
        <v>8.6199456957595011E-2</v>
      </c>
      <c r="W43" t="s">
        <v>33</v>
      </c>
      <c r="X43" t="s">
        <v>34</v>
      </c>
      <c r="Y43">
        <v>1</v>
      </c>
      <c r="Z43" t="str">
        <f>IF(Table1[[#This Row],[Month_No]]&lt;=6, "H1","H2")</f>
        <v>H1</v>
      </c>
    </row>
    <row r="44" spans="1:26" x14ac:dyDescent="0.25">
      <c r="A44" s="2">
        <v>45669</v>
      </c>
      <c r="B44" t="s">
        <v>115</v>
      </c>
      <c r="C44" t="s">
        <v>107</v>
      </c>
      <c r="D44" t="s">
        <v>85</v>
      </c>
      <c r="E44" t="s">
        <v>57</v>
      </c>
      <c r="F44" t="s">
        <v>52</v>
      </c>
      <c r="G44" t="s">
        <v>40</v>
      </c>
      <c r="H44" t="s">
        <v>47</v>
      </c>
      <c r="I44">
        <v>105</v>
      </c>
      <c r="J44" s="3">
        <v>1821.9</v>
      </c>
      <c r="K44" s="3">
        <f>Table1[[#This Row],[Quantity]]*Table1[[#This Row],[Unit_Price]]</f>
        <v>191299.5</v>
      </c>
      <c r="L44" s="3">
        <v>15551.93</v>
      </c>
      <c r="M44" s="3">
        <f>Table1[[#This Row],[Gross_Sales]]-Table1[[#This Row],[Discount]]</f>
        <v>175747.57</v>
      </c>
      <c r="N44" s="3">
        <v>126895.91</v>
      </c>
      <c r="O44" s="3">
        <v>4264.55</v>
      </c>
      <c r="P44" s="3">
        <v>12310.91</v>
      </c>
      <c r="Q44" s="3">
        <v>7883.99</v>
      </c>
      <c r="R44" s="3">
        <v>3740.87</v>
      </c>
      <c r="S44" s="3">
        <f>SUM(Table1[[#This Row],[Product_Cost]:[Other_Cost]])</f>
        <v>155096.22999999998</v>
      </c>
      <c r="T44" s="3">
        <f>Table1[[#This Row],[Net_Sales]]-Table1[[#This Row],[Product_Cost]]</f>
        <v>48851.66</v>
      </c>
      <c r="U44" s="3">
        <f>Table1[[#This Row],[Net_Sales]]-Table1[[#This Row],[Total_Cost]]</f>
        <v>20651.340000000026</v>
      </c>
      <c r="V44" s="4">
        <f>Table1[[#This Row],[Net_Profit]]/Table1[[#This Row],[Net_Sales]]</f>
        <v>0.11750569296633817</v>
      </c>
      <c r="W44" t="s">
        <v>33</v>
      </c>
      <c r="X44" t="s">
        <v>34</v>
      </c>
      <c r="Y44">
        <v>1</v>
      </c>
      <c r="Z44" t="str">
        <f>IF(Table1[[#This Row],[Month_No]]&lt;=6, "H1","H2")</f>
        <v>H1</v>
      </c>
    </row>
    <row r="45" spans="1:26" x14ac:dyDescent="0.25">
      <c r="A45" s="2">
        <v>45669</v>
      </c>
      <c r="B45" t="s">
        <v>116</v>
      </c>
      <c r="C45" t="s">
        <v>117</v>
      </c>
      <c r="D45" t="s">
        <v>74</v>
      </c>
      <c r="E45" t="s">
        <v>75</v>
      </c>
      <c r="F45" t="s">
        <v>30</v>
      </c>
      <c r="G45" t="s">
        <v>64</v>
      </c>
      <c r="H45" t="s">
        <v>47</v>
      </c>
      <c r="I45">
        <v>78</v>
      </c>
      <c r="J45" s="3">
        <v>5187.13</v>
      </c>
      <c r="K45" s="3">
        <f>Table1[[#This Row],[Quantity]]*Table1[[#This Row],[Unit_Price]]</f>
        <v>404596.14</v>
      </c>
      <c r="L45" s="3">
        <v>24740.23</v>
      </c>
      <c r="M45" s="3">
        <f>Table1[[#This Row],[Gross_Sales]]-Table1[[#This Row],[Discount]]</f>
        <v>379855.91000000003</v>
      </c>
      <c r="N45" s="3">
        <v>288474.15999999997</v>
      </c>
      <c r="O45" s="3">
        <v>14845.12</v>
      </c>
      <c r="P45" s="3">
        <v>21191.119999999999</v>
      </c>
      <c r="Q45" s="3">
        <v>13990.01</v>
      </c>
      <c r="R45" s="3">
        <v>8379.2900000000009</v>
      </c>
      <c r="S45" s="3">
        <f>SUM(Table1[[#This Row],[Product_Cost]:[Other_Cost]])</f>
        <v>346879.69999999995</v>
      </c>
      <c r="T45" s="3">
        <f>Table1[[#This Row],[Net_Sales]]-Table1[[#This Row],[Product_Cost]]</f>
        <v>91381.750000000058</v>
      </c>
      <c r="U45" s="3">
        <f>Table1[[#This Row],[Net_Sales]]-Table1[[#This Row],[Total_Cost]]</f>
        <v>32976.210000000079</v>
      </c>
      <c r="V45" s="4">
        <f>Table1[[#This Row],[Net_Profit]]/Table1[[#This Row],[Net_Sales]]</f>
        <v>8.6812417898144784E-2</v>
      </c>
      <c r="W45" t="s">
        <v>33</v>
      </c>
      <c r="X45" t="s">
        <v>34</v>
      </c>
      <c r="Y45">
        <v>1</v>
      </c>
      <c r="Z45" t="str">
        <f>IF(Table1[[#This Row],[Month_No]]&lt;=6, "H1","H2")</f>
        <v>H1</v>
      </c>
    </row>
    <row r="46" spans="1:26" x14ac:dyDescent="0.25">
      <c r="A46" s="2">
        <v>45670</v>
      </c>
      <c r="B46" t="s">
        <v>118</v>
      </c>
      <c r="C46" t="s">
        <v>98</v>
      </c>
      <c r="D46" t="s">
        <v>74</v>
      </c>
      <c r="E46" t="s">
        <v>75</v>
      </c>
      <c r="F46" t="s">
        <v>39</v>
      </c>
      <c r="G46" t="s">
        <v>71</v>
      </c>
      <c r="H46" t="s">
        <v>59</v>
      </c>
      <c r="I46">
        <v>72</v>
      </c>
      <c r="J46" s="3">
        <v>5187.8500000000004</v>
      </c>
      <c r="K46" s="3">
        <f>Table1[[#This Row],[Quantity]]*Table1[[#This Row],[Unit_Price]]</f>
        <v>373525.2</v>
      </c>
      <c r="L46" s="3">
        <v>20636.89</v>
      </c>
      <c r="M46" s="3">
        <f>Table1[[#This Row],[Gross_Sales]]-Table1[[#This Row],[Discount]]</f>
        <v>352888.31</v>
      </c>
      <c r="N46" s="3">
        <v>262285.51</v>
      </c>
      <c r="O46" s="3">
        <v>14196.08</v>
      </c>
      <c r="P46" s="3">
        <v>24433.73</v>
      </c>
      <c r="Q46" s="3">
        <v>17783.330000000002</v>
      </c>
      <c r="R46" s="3">
        <v>7525.85</v>
      </c>
      <c r="S46" s="3">
        <f>SUM(Table1[[#This Row],[Product_Cost]:[Other_Cost]])</f>
        <v>326224.5</v>
      </c>
      <c r="T46" s="3">
        <f>Table1[[#This Row],[Net_Sales]]-Table1[[#This Row],[Product_Cost]]</f>
        <v>90602.799999999988</v>
      </c>
      <c r="U46" s="3">
        <f>Table1[[#This Row],[Net_Sales]]-Table1[[#This Row],[Total_Cost]]</f>
        <v>26663.809999999998</v>
      </c>
      <c r="V46" s="4">
        <f>Table1[[#This Row],[Net_Profit]]/Table1[[#This Row],[Net_Sales]]</f>
        <v>7.5558779490315212E-2</v>
      </c>
      <c r="W46" t="s">
        <v>33</v>
      </c>
      <c r="X46" t="s">
        <v>34</v>
      </c>
      <c r="Y46">
        <v>1</v>
      </c>
      <c r="Z46" t="str">
        <f>IF(Table1[[#This Row],[Month_No]]&lt;=6, "H1","H2")</f>
        <v>H1</v>
      </c>
    </row>
    <row r="47" spans="1:26" x14ac:dyDescent="0.25">
      <c r="A47" s="2">
        <v>45670</v>
      </c>
      <c r="B47" t="s">
        <v>119</v>
      </c>
      <c r="C47" t="s">
        <v>117</v>
      </c>
      <c r="D47" t="s">
        <v>50</v>
      </c>
      <c r="E47" t="s">
        <v>51</v>
      </c>
      <c r="F47" t="s">
        <v>30</v>
      </c>
      <c r="G47" t="s">
        <v>40</v>
      </c>
      <c r="H47" t="s">
        <v>41</v>
      </c>
      <c r="I47">
        <v>88</v>
      </c>
      <c r="J47" s="3">
        <v>827.85</v>
      </c>
      <c r="K47" s="3">
        <f>Table1[[#This Row],[Quantity]]*Table1[[#This Row],[Unit_Price]]</f>
        <v>72850.8</v>
      </c>
      <c r="L47" s="3">
        <v>6298.95</v>
      </c>
      <c r="M47" s="3">
        <f>Table1[[#This Row],[Gross_Sales]]-Table1[[#This Row],[Discount]]</f>
        <v>66551.850000000006</v>
      </c>
      <c r="N47" s="3">
        <v>45841</v>
      </c>
      <c r="O47" s="3">
        <v>2599.23</v>
      </c>
      <c r="P47" s="3">
        <v>4115.5</v>
      </c>
      <c r="Q47" s="3">
        <v>3356.06</v>
      </c>
      <c r="R47" s="3">
        <v>1939.6</v>
      </c>
      <c r="S47" s="3">
        <f>SUM(Table1[[#This Row],[Product_Cost]:[Other_Cost]])</f>
        <v>57851.39</v>
      </c>
      <c r="T47" s="3">
        <f>Table1[[#This Row],[Net_Sales]]-Table1[[#This Row],[Product_Cost]]</f>
        <v>20710.850000000006</v>
      </c>
      <c r="U47" s="3">
        <f>Table1[[#This Row],[Net_Sales]]-Table1[[#This Row],[Total_Cost]]</f>
        <v>8700.4600000000064</v>
      </c>
      <c r="V47" s="4">
        <f>Table1[[#This Row],[Net_Profit]]/Table1[[#This Row],[Net_Sales]]</f>
        <v>0.13073205327875942</v>
      </c>
      <c r="W47" t="s">
        <v>33</v>
      </c>
      <c r="X47" t="s">
        <v>34</v>
      </c>
      <c r="Y47">
        <v>1</v>
      </c>
      <c r="Z47" t="str">
        <f>IF(Table1[[#This Row],[Month_No]]&lt;=6, "H1","H2")</f>
        <v>H1</v>
      </c>
    </row>
    <row r="48" spans="1:26" x14ac:dyDescent="0.25">
      <c r="A48" s="2">
        <v>45670</v>
      </c>
      <c r="B48" t="s">
        <v>120</v>
      </c>
      <c r="C48" t="s">
        <v>98</v>
      </c>
      <c r="D48" t="s">
        <v>44</v>
      </c>
      <c r="E48" t="s">
        <v>45</v>
      </c>
      <c r="F48" t="s">
        <v>52</v>
      </c>
      <c r="G48" t="s">
        <v>76</v>
      </c>
      <c r="H48" t="s">
        <v>47</v>
      </c>
      <c r="I48">
        <v>62</v>
      </c>
      <c r="J48" s="3">
        <v>4347.97</v>
      </c>
      <c r="K48" s="3">
        <f>Table1[[#This Row],[Quantity]]*Table1[[#This Row],[Unit_Price]]</f>
        <v>269574.14</v>
      </c>
      <c r="L48" s="3">
        <v>18331.150000000001</v>
      </c>
      <c r="M48" s="3">
        <f>Table1[[#This Row],[Gross_Sales]]-Table1[[#This Row],[Discount]]</f>
        <v>251242.99000000002</v>
      </c>
      <c r="N48" s="3">
        <v>177420.6</v>
      </c>
      <c r="O48" s="3">
        <v>6491.59</v>
      </c>
      <c r="P48" s="3">
        <v>17334.97</v>
      </c>
      <c r="Q48" s="3">
        <v>11459.46</v>
      </c>
      <c r="R48" s="3">
        <v>5840.89</v>
      </c>
      <c r="S48" s="3">
        <f>SUM(Table1[[#This Row],[Product_Cost]:[Other_Cost]])</f>
        <v>218547.51</v>
      </c>
      <c r="T48" s="3">
        <f>Table1[[#This Row],[Net_Sales]]-Table1[[#This Row],[Product_Cost]]</f>
        <v>73822.390000000014</v>
      </c>
      <c r="U48" s="3">
        <f>Table1[[#This Row],[Net_Sales]]-Table1[[#This Row],[Total_Cost]]</f>
        <v>32695.48000000001</v>
      </c>
      <c r="V48" s="4">
        <f>Table1[[#This Row],[Net_Profit]]/Table1[[#This Row],[Net_Sales]]</f>
        <v>0.13013489450989263</v>
      </c>
      <c r="W48" t="s">
        <v>33</v>
      </c>
      <c r="X48" t="s">
        <v>34</v>
      </c>
      <c r="Y48">
        <v>1</v>
      </c>
      <c r="Z48" t="str">
        <f>IF(Table1[[#This Row],[Month_No]]&lt;=6, "H1","H2")</f>
        <v>H1</v>
      </c>
    </row>
    <row r="49" spans="1:26" x14ac:dyDescent="0.25">
      <c r="A49" s="2">
        <v>45670</v>
      </c>
      <c r="B49" t="s">
        <v>121</v>
      </c>
      <c r="C49" t="s">
        <v>117</v>
      </c>
      <c r="D49" t="s">
        <v>74</v>
      </c>
      <c r="E49" t="s">
        <v>75</v>
      </c>
      <c r="F49" t="s">
        <v>52</v>
      </c>
      <c r="G49" t="s">
        <v>64</v>
      </c>
      <c r="H49" t="s">
        <v>32</v>
      </c>
      <c r="I49">
        <v>59</v>
      </c>
      <c r="J49" s="3">
        <v>4997.54</v>
      </c>
      <c r="K49" s="3">
        <f>Table1[[#This Row],[Quantity]]*Table1[[#This Row],[Unit_Price]]</f>
        <v>294854.86</v>
      </c>
      <c r="L49" s="3">
        <v>26872</v>
      </c>
      <c r="M49" s="3">
        <f>Table1[[#This Row],[Gross_Sales]]-Table1[[#This Row],[Discount]]</f>
        <v>267982.86</v>
      </c>
      <c r="N49" s="3">
        <v>194127.01</v>
      </c>
      <c r="O49" s="3">
        <v>6610.16</v>
      </c>
      <c r="P49" s="3">
        <v>16170.59</v>
      </c>
      <c r="Q49" s="3">
        <v>11436.71</v>
      </c>
      <c r="R49" s="3">
        <v>7371.77</v>
      </c>
      <c r="S49" s="3">
        <f>SUM(Table1[[#This Row],[Product_Cost]:[Other_Cost]])</f>
        <v>235716.24</v>
      </c>
      <c r="T49" s="3">
        <f>Table1[[#This Row],[Net_Sales]]-Table1[[#This Row],[Product_Cost]]</f>
        <v>73855.849999999977</v>
      </c>
      <c r="U49" s="3">
        <f>Table1[[#This Row],[Net_Sales]]-Table1[[#This Row],[Total_Cost]]</f>
        <v>32266.619999999995</v>
      </c>
      <c r="V49" s="4">
        <f>Table1[[#This Row],[Net_Profit]]/Table1[[#This Row],[Net_Sales]]</f>
        <v>0.12040553638393141</v>
      </c>
      <c r="W49" t="s">
        <v>33</v>
      </c>
      <c r="X49" t="s">
        <v>34</v>
      </c>
      <c r="Y49">
        <v>1</v>
      </c>
      <c r="Z49" t="str">
        <f>IF(Table1[[#This Row],[Month_No]]&lt;=6, "H1","H2")</f>
        <v>H1</v>
      </c>
    </row>
    <row r="50" spans="1:26" x14ac:dyDescent="0.25">
      <c r="A50" s="2">
        <v>45670</v>
      </c>
      <c r="B50" t="s">
        <v>122</v>
      </c>
      <c r="C50" t="s">
        <v>49</v>
      </c>
      <c r="D50" t="s">
        <v>85</v>
      </c>
      <c r="E50" t="s">
        <v>57</v>
      </c>
      <c r="F50" t="s">
        <v>30</v>
      </c>
      <c r="G50" t="s">
        <v>86</v>
      </c>
      <c r="H50" t="s">
        <v>32</v>
      </c>
      <c r="I50">
        <v>88</v>
      </c>
      <c r="J50" s="3">
        <v>1864.43</v>
      </c>
      <c r="K50" s="3">
        <f>Table1[[#This Row],[Quantity]]*Table1[[#This Row],[Unit_Price]]</f>
        <v>164069.84</v>
      </c>
      <c r="L50" s="3">
        <v>12398.49</v>
      </c>
      <c r="M50" s="3">
        <f>Table1[[#This Row],[Gross_Sales]]-Table1[[#This Row],[Discount]]</f>
        <v>151671.35</v>
      </c>
      <c r="N50" s="3">
        <v>109869.33</v>
      </c>
      <c r="O50" s="3">
        <v>5213.96</v>
      </c>
      <c r="P50" s="3">
        <v>11057.15</v>
      </c>
      <c r="Q50" s="3">
        <v>7678.77</v>
      </c>
      <c r="R50" s="3">
        <v>3452.19</v>
      </c>
      <c r="S50" s="3">
        <f>SUM(Table1[[#This Row],[Product_Cost]:[Other_Cost]])</f>
        <v>137271.4</v>
      </c>
      <c r="T50" s="3">
        <f>Table1[[#This Row],[Net_Sales]]-Table1[[#This Row],[Product_Cost]]</f>
        <v>41802.020000000004</v>
      </c>
      <c r="U50" s="3">
        <f>Table1[[#This Row],[Net_Sales]]-Table1[[#This Row],[Total_Cost]]</f>
        <v>14399.950000000012</v>
      </c>
      <c r="V50" s="4">
        <f>Table1[[#This Row],[Net_Profit]]/Table1[[#This Row],[Net_Sales]]</f>
        <v>9.4941793555605669E-2</v>
      </c>
      <c r="W50" t="s">
        <v>33</v>
      </c>
      <c r="X50" t="s">
        <v>34</v>
      </c>
      <c r="Y50">
        <v>1</v>
      </c>
      <c r="Z50" t="str">
        <f>IF(Table1[[#This Row],[Month_No]]&lt;=6, "H1","H2")</f>
        <v>H1</v>
      </c>
    </row>
    <row r="51" spans="1:26" x14ac:dyDescent="0.25">
      <c r="A51" s="2">
        <v>45671</v>
      </c>
      <c r="B51" t="s">
        <v>123</v>
      </c>
      <c r="C51" t="s">
        <v>83</v>
      </c>
      <c r="D51" t="s">
        <v>81</v>
      </c>
      <c r="E51" t="s">
        <v>45</v>
      </c>
      <c r="F51" t="s">
        <v>39</v>
      </c>
      <c r="G51" t="s">
        <v>40</v>
      </c>
      <c r="H51" t="s">
        <v>47</v>
      </c>
      <c r="I51">
        <v>76</v>
      </c>
      <c r="J51" s="3">
        <v>6255.82</v>
      </c>
      <c r="K51" s="3">
        <f>Table1[[#This Row],[Quantity]]*Table1[[#This Row],[Unit_Price]]</f>
        <v>475442.31999999995</v>
      </c>
      <c r="L51" s="3">
        <v>30670.68</v>
      </c>
      <c r="M51" s="3">
        <f>Table1[[#This Row],[Gross_Sales]]-Table1[[#This Row],[Discount]]</f>
        <v>444771.63999999996</v>
      </c>
      <c r="N51" s="3">
        <v>259377.41</v>
      </c>
      <c r="O51" s="3">
        <v>19721.96</v>
      </c>
      <c r="P51" s="3">
        <v>26692.66</v>
      </c>
      <c r="Q51" s="3">
        <v>16766.849999999999</v>
      </c>
      <c r="R51" s="3">
        <v>10000.39</v>
      </c>
      <c r="S51" s="3">
        <f>SUM(Table1[[#This Row],[Product_Cost]:[Other_Cost]])</f>
        <v>332559.26999999996</v>
      </c>
      <c r="T51" s="3">
        <f>Table1[[#This Row],[Net_Sales]]-Table1[[#This Row],[Product_Cost]]</f>
        <v>185394.22999999995</v>
      </c>
      <c r="U51" s="3">
        <f>Table1[[#This Row],[Net_Sales]]-Table1[[#This Row],[Total_Cost]]</f>
        <v>112212.37</v>
      </c>
      <c r="V51" s="4">
        <f>Table1[[#This Row],[Net_Profit]]/Table1[[#This Row],[Net_Sales]]</f>
        <v>0.25229209758068211</v>
      </c>
      <c r="W51" t="s">
        <v>33</v>
      </c>
      <c r="X51" t="s">
        <v>34</v>
      </c>
      <c r="Y51">
        <v>1</v>
      </c>
      <c r="Z51" t="str">
        <f>IF(Table1[[#This Row],[Month_No]]&lt;=6, "H1","H2")</f>
        <v>H1</v>
      </c>
    </row>
    <row r="52" spans="1:26" x14ac:dyDescent="0.25">
      <c r="A52" s="2">
        <v>45671</v>
      </c>
      <c r="B52" t="s">
        <v>124</v>
      </c>
      <c r="C52" t="s">
        <v>49</v>
      </c>
      <c r="D52" t="s">
        <v>28</v>
      </c>
      <c r="E52" t="s">
        <v>29</v>
      </c>
      <c r="F52" t="s">
        <v>52</v>
      </c>
      <c r="G52" t="s">
        <v>58</v>
      </c>
      <c r="H52" t="s">
        <v>59</v>
      </c>
      <c r="I52">
        <v>79</v>
      </c>
      <c r="J52" s="3">
        <v>1083.55</v>
      </c>
      <c r="K52" s="3">
        <f>Table1[[#This Row],[Quantity]]*Table1[[#This Row],[Unit_Price]]</f>
        <v>85600.45</v>
      </c>
      <c r="L52" s="3">
        <v>5222.7</v>
      </c>
      <c r="M52" s="3">
        <f>Table1[[#This Row],[Gross_Sales]]-Table1[[#This Row],[Discount]]</f>
        <v>80377.75</v>
      </c>
      <c r="N52" s="3">
        <v>48526.76</v>
      </c>
      <c r="O52" s="3">
        <v>2147.46</v>
      </c>
      <c r="P52" s="3">
        <v>5276.98</v>
      </c>
      <c r="Q52" s="3">
        <v>3807.84</v>
      </c>
      <c r="R52" s="3">
        <v>2279.23</v>
      </c>
      <c r="S52" s="3">
        <f>SUM(Table1[[#This Row],[Product_Cost]:[Other_Cost]])</f>
        <v>62038.27</v>
      </c>
      <c r="T52" s="3">
        <f>Table1[[#This Row],[Net_Sales]]-Table1[[#This Row],[Product_Cost]]</f>
        <v>31850.989999999998</v>
      </c>
      <c r="U52" s="3">
        <f>Table1[[#This Row],[Net_Sales]]-Table1[[#This Row],[Total_Cost]]</f>
        <v>18339.480000000003</v>
      </c>
      <c r="V52" s="4">
        <f>Table1[[#This Row],[Net_Profit]]/Table1[[#This Row],[Net_Sales]]</f>
        <v>0.22816612806404762</v>
      </c>
      <c r="W52" t="s">
        <v>72</v>
      </c>
      <c r="X52" t="s">
        <v>34</v>
      </c>
      <c r="Y52">
        <v>1</v>
      </c>
      <c r="Z52" t="str">
        <f>IF(Table1[[#This Row],[Month_No]]&lt;=6, "H1","H2")</f>
        <v>H1</v>
      </c>
    </row>
    <row r="53" spans="1:26" x14ac:dyDescent="0.25">
      <c r="A53" s="2">
        <v>45671</v>
      </c>
      <c r="B53" t="s">
        <v>125</v>
      </c>
      <c r="C53" t="s">
        <v>117</v>
      </c>
      <c r="D53" t="s">
        <v>74</v>
      </c>
      <c r="E53" t="s">
        <v>75</v>
      </c>
      <c r="F53" t="s">
        <v>46</v>
      </c>
      <c r="G53" t="s">
        <v>64</v>
      </c>
      <c r="H53" t="s">
        <v>41</v>
      </c>
      <c r="I53">
        <v>46</v>
      </c>
      <c r="J53" s="3">
        <v>5250.58</v>
      </c>
      <c r="K53" s="3">
        <f>Table1[[#This Row],[Quantity]]*Table1[[#This Row],[Unit_Price]]</f>
        <v>241526.68</v>
      </c>
      <c r="L53" s="3">
        <v>21264.14</v>
      </c>
      <c r="M53" s="3">
        <f>Table1[[#This Row],[Gross_Sales]]-Table1[[#This Row],[Discount]]</f>
        <v>220262.53999999998</v>
      </c>
      <c r="N53" s="3">
        <v>159752.84</v>
      </c>
      <c r="O53" s="3">
        <v>6734.06</v>
      </c>
      <c r="P53" s="3">
        <v>14607.25</v>
      </c>
      <c r="Q53" s="3">
        <v>11150.85</v>
      </c>
      <c r="R53" s="3">
        <v>6373.78</v>
      </c>
      <c r="S53" s="3">
        <f>SUM(Table1[[#This Row],[Product_Cost]:[Other_Cost]])</f>
        <v>198618.78</v>
      </c>
      <c r="T53" s="3">
        <f>Table1[[#This Row],[Net_Sales]]-Table1[[#This Row],[Product_Cost]]</f>
        <v>60509.699999999983</v>
      </c>
      <c r="U53" s="3">
        <f>Table1[[#This Row],[Net_Sales]]-Table1[[#This Row],[Total_Cost]]</f>
        <v>21643.75999999998</v>
      </c>
      <c r="V53" s="4">
        <f>Table1[[#This Row],[Net_Profit]]/Table1[[#This Row],[Net_Sales]]</f>
        <v>9.8263463228926637E-2</v>
      </c>
      <c r="W53" t="s">
        <v>33</v>
      </c>
      <c r="X53" t="s">
        <v>34</v>
      </c>
      <c r="Y53">
        <v>1</v>
      </c>
      <c r="Z53" t="str">
        <f>IF(Table1[[#This Row],[Month_No]]&lt;=6, "H1","H2")</f>
        <v>H1</v>
      </c>
    </row>
    <row r="54" spans="1:26" x14ac:dyDescent="0.25">
      <c r="A54" s="2">
        <v>45671</v>
      </c>
      <c r="B54" t="s">
        <v>126</v>
      </c>
      <c r="C54" t="s">
        <v>63</v>
      </c>
      <c r="D54" t="s">
        <v>37</v>
      </c>
      <c r="E54" t="s">
        <v>38</v>
      </c>
      <c r="F54" t="s">
        <v>52</v>
      </c>
      <c r="G54" t="s">
        <v>86</v>
      </c>
      <c r="H54" t="s">
        <v>32</v>
      </c>
      <c r="I54">
        <v>74</v>
      </c>
      <c r="J54" s="3">
        <v>4042.72</v>
      </c>
      <c r="K54" s="3">
        <f>Table1[[#This Row],[Quantity]]*Table1[[#This Row],[Unit_Price]]</f>
        <v>299161.27999999997</v>
      </c>
      <c r="L54" s="3">
        <v>23911.07</v>
      </c>
      <c r="M54" s="3">
        <f>Table1[[#This Row],[Gross_Sales]]-Table1[[#This Row],[Discount]]</f>
        <v>275250.20999999996</v>
      </c>
      <c r="N54" s="3">
        <v>203034.82</v>
      </c>
      <c r="O54" s="3">
        <v>6689.54</v>
      </c>
      <c r="P54" s="3">
        <v>18400.63</v>
      </c>
      <c r="Q54" s="3">
        <v>13657.75</v>
      </c>
      <c r="R54" s="3">
        <v>8510.23</v>
      </c>
      <c r="S54" s="3">
        <f>SUM(Table1[[#This Row],[Product_Cost]:[Other_Cost]])</f>
        <v>250292.97000000003</v>
      </c>
      <c r="T54" s="3">
        <f>Table1[[#This Row],[Net_Sales]]-Table1[[#This Row],[Product_Cost]]</f>
        <v>72215.389999999956</v>
      </c>
      <c r="U54" s="3">
        <f>Table1[[#This Row],[Net_Sales]]-Table1[[#This Row],[Total_Cost]]</f>
        <v>24957.239999999932</v>
      </c>
      <c r="V54" s="4">
        <f>Table1[[#This Row],[Net_Profit]]/Table1[[#This Row],[Net_Sales]]</f>
        <v>9.0671102485262181E-2</v>
      </c>
      <c r="W54" t="s">
        <v>33</v>
      </c>
      <c r="X54" t="s">
        <v>34</v>
      </c>
      <c r="Y54">
        <v>1</v>
      </c>
      <c r="Z54" t="str">
        <f>IF(Table1[[#This Row],[Month_No]]&lt;=6, "H1","H2")</f>
        <v>H1</v>
      </c>
    </row>
    <row r="55" spans="1:26" x14ac:dyDescent="0.25">
      <c r="A55" s="2">
        <v>45672</v>
      </c>
      <c r="B55" t="s">
        <v>127</v>
      </c>
      <c r="C55" t="s">
        <v>78</v>
      </c>
      <c r="D55" t="s">
        <v>28</v>
      </c>
      <c r="E55" t="s">
        <v>29</v>
      </c>
      <c r="F55" t="s">
        <v>52</v>
      </c>
      <c r="G55" t="s">
        <v>71</v>
      </c>
      <c r="H55" t="s">
        <v>32</v>
      </c>
      <c r="I55">
        <v>85</v>
      </c>
      <c r="J55" s="3">
        <v>1075.28</v>
      </c>
      <c r="K55" s="3">
        <f>Table1[[#This Row],[Quantity]]*Table1[[#This Row],[Unit_Price]]</f>
        <v>91398.8</v>
      </c>
      <c r="L55" s="3">
        <v>6491.43</v>
      </c>
      <c r="M55" s="3">
        <f>Table1[[#This Row],[Gross_Sales]]-Table1[[#This Row],[Discount]]</f>
        <v>84907.37</v>
      </c>
      <c r="N55" s="3">
        <v>52583.28</v>
      </c>
      <c r="O55" s="3">
        <v>2337.81</v>
      </c>
      <c r="P55" s="3">
        <v>5321.9</v>
      </c>
      <c r="Q55" s="3">
        <v>3097.79</v>
      </c>
      <c r="R55" s="3">
        <v>2475.21</v>
      </c>
      <c r="S55" s="3">
        <f>SUM(Table1[[#This Row],[Product_Cost]:[Other_Cost]])</f>
        <v>65815.990000000005</v>
      </c>
      <c r="T55" s="3">
        <f>Table1[[#This Row],[Net_Sales]]-Table1[[#This Row],[Product_Cost]]</f>
        <v>32324.089999999997</v>
      </c>
      <c r="U55" s="3">
        <f>Table1[[#This Row],[Net_Sales]]-Table1[[#This Row],[Total_Cost]]</f>
        <v>19091.37999999999</v>
      </c>
      <c r="V55" s="4">
        <f>Table1[[#This Row],[Net_Profit]]/Table1[[#This Row],[Net_Sales]]</f>
        <v>0.2248495036414388</v>
      </c>
      <c r="W55" t="s">
        <v>33</v>
      </c>
      <c r="X55" t="s">
        <v>34</v>
      </c>
      <c r="Y55">
        <v>1</v>
      </c>
      <c r="Z55" t="str">
        <f>IF(Table1[[#This Row],[Month_No]]&lt;=6, "H1","H2")</f>
        <v>H1</v>
      </c>
    </row>
    <row r="56" spans="1:26" x14ac:dyDescent="0.25">
      <c r="A56" s="2">
        <v>45672</v>
      </c>
      <c r="B56" t="s">
        <v>128</v>
      </c>
      <c r="C56" t="s">
        <v>63</v>
      </c>
      <c r="D56" t="s">
        <v>81</v>
      </c>
      <c r="E56" t="s">
        <v>45</v>
      </c>
      <c r="F56" t="s">
        <v>52</v>
      </c>
      <c r="G56" t="s">
        <v>58</v>
      </c>
      <c r="H56" t="s">
        <v>59</v>
      </c>
      <c r="I56">
        <v>52</v>
      </c>
      <c r="J56" s="3">
        <v>6294.55</v>
      </c>
      <c r="K56" s="3">
        <f>Table1[[#This Row],[Quantity]]*Table1[[#This Row],[Unit_Price]]</f>
        <v>327316.60000000003</v>
      </c>
      <c r="L56" s="3">
        <v>25160.42</v>
      </c>
      <c r="M56" s="3">
        <f>Table1[[#This Row],[Gross_Sales]]-Table1[[#This Row],[Discount]]</f>
        <v>302156.18000000005</v>
      </c>
      <c r="N56" s="3">
        <v>175426.2</v>
      </c>
      <c r="O56" s="3">
        <v>7852.31</v>
      </c>
      <c r="P56" s="3">
        <v>22325.17</v>
      </c>
      <c r="Q56" s="3">
        <v>14035.08</v>
      </c>
      <c r="R56" s="3">
        <v>7350.52</v>
      </c>
      <c r="S56" s="3">
        <f>SUM(Table1[[#This Row],[Product_Cost]:[Other_Cost]])</f>
        <v>226989.27999999997</v>
      </c>
      <c r="T56" s="3">
        <f>Table1[[#This Row],[Net_Sales]]-Table1[[#This Row],[Product_Cost]]</f>
        <v>126729.98000000004</v>
      </c>
      <c r="U56" s="3">
        <f>Table1[[#This Row],[Net_Sales]]-Table1[[#This Row],[Total_Cost]]</f>
        <v>75166.900000000081</v>
      </c>
      <c r="V56" s="4">
        <f>Table1[[#This Row],[Net_Profit]]/Table1[[#This Row],[Net_Sales]]</f>
        <v>0.24876836872904626</v>
      </c>
      <c r="W56" t="s">
        <v>72</v>
      </c>
      <c r="X56" t="s">
        <v>34</v>
      </c>
      <c r="Y56">
        <v>1</v>
      </c>
      <c r="Z56" t="str">
        <f>IF(Table1[[#This Row],[Month_No]]&lt;=6, "H1","H2")</f>
        <v>H1</v>
      </c>
    </row>
    <row r="57" spans="1:26" x14ac:dyDescent="0.25">
      <c r="A57" s="2">
        <v>45672</v>
      </c>
      <c r="B57" t="s">
        <v>129</v>
      </c>
      <c r="C57" t="s">
        <v>36</v>
      </c>
      <c r="D57" t="s">
        <v>37</v>
      </c>
      <c r="E57" t="s">
        <v>38</v>
      </c>
      <c r="F57" t="s">
        <v>39</v>
      </c>
      <c r="G57" t="s">
        <v>76</v>
      </c>
      <c r="H57" t="s">
        <v>41</v>
      </c>
      <c r="I57">
        <v>93</v>
      </c>
      <c r="J57" s="3">
        <v>4356.29</v>
      </c>
      <c r="K57" s="3">
        <f>Table1[[#This Row],[Quantity]]*Table1[[#This Row],[Unit_Price]]</f>
        <v>405134.97</v>
      </c>
      <c r="L57" s="3">
        <v>30878.55</v>
      </c>
      <c r="M57" s="3">
        <f>Table1[[#This Row],[Gross_Sales]]-Table1[[#This Row],[Discount]]</f>
        <v>374256.42</v>
      </c>
      <c r="N57" s="3">
        <v>266910.94</v>
      </c>
      <c r="O57" s="3">
        <v>16964.53</v>
      </c>
      <c r="P57" s="3">
        <v>27456.67</v>
      </c>
      <c r="Q57" s="3">
        <v>14632.65</v>
      </c>
      <c r="R57" s="3">
        <v>9301.0400000000009</v>
      </c>
      <c r="S57" s="3">
        <f>SUM(Table1[[#This Row],[Product_Cost]:[Other_Cost]])</f>
        <v>335265.82999999996</v>
      </c>
      <c r="T57" s="3">
        <f>Table1[[#This Row],[Net_Sales]]-Table1[[#This Row],[Product_Cost]]</f>
        <v>107345.47999999998</v>
      </c>
      <c r="U57" s="3">
        <f>Table1[[#This Row],[Net_Sales]]-Table1[[#This Row],[Total_Cost]]</f>
        <v>38990.590000000026</v>
      </c>
      <c r="V57" s="4">
        <f>Table1[[#This Row],[Net_Profit]]/Table1[[#This Row],[Net_Sales]]</f>
        <v>0.10418148605172899</v>
      </c>
      <c r="W57" t="s">
        <v>33</v>
      </c>
      <c r="X57" t="s">
        <v>34</v>
      </c>
      <c r="Y57">
        <v>1</v>
      </c>
      <c r="Z57" t="str">
        <f>IF(Table1[[#This Row],[Month_No]]&lt;=6, "H1","H2")</f>
        <v>H1</v>
      </c>
    </row>
    <row r="58" spans="1:26" x14ac:dyDescent="0.25">
      <c r="A58" s="2">
        <v>45673</v>
      </c>
      <c r="B58" t="s">
        <v>130</v>
      </c>
      <c r="C58" t="s">
        <v>98</v>
      </c>
      <c r="D58" t="s">
        <v>44</v>
      </c>
      <c r="E58" t="s">
        <v>45</v>
      </c>
      <c r="F58" t="s">
        <v>30</v>
      </c>
      <c r="G58" t="s">
        <v>31</v>
      </c>
      <c r="H58" t="s">
        <v>41</v>
      </c>
      <c r="I58">
        <v>78</v>
      </c>
      <c r="J58" s="3">
        <v>4272.0200000000004</v>
      </c>
      <c r="K58" s="3">
        <f>Table1[[#This Row],[Quantity]]*Table1[[#This Row],[Unit_Price]]</f>
        <v>333217.56000000006</v>
      </c>
      <c r="L58" s="3">
        <v>27463.13</v>
      </c>
      <c r="M58" s="3">
        <f>Table1[[#This Row],[Gross_Sales]]-Table1[[#This Row],[Discount]]</f>
        <v>305754.43000000005</v>
      </c>
      <c r="N58" s="3">
        <v>217188.65</v>
      </c>
      <c r="O58" s="3">
        <v>10013.4</v>
      </c>
      <c r="P58" s="3">
        <v>21876.12</v>
      </c>
      <c r="Q58" s="3">
        <v>13864.52</v>
      </c>
      <c r="R58" s="3">
        <v>8124.41</v>
      </c>
      <c r="S58" s="3">
        <f>SUM(Table1[[#This Row],[Product_Cost]:[Other_Cost]])</f>
        <v>271067.09999999998</v>
      </c>
      <c r="T58" s="3">
        <f>Table1[[#This Row],[Net_Sales]]-Table1[[#This Row],[Product_Cost]]</f>
        <v>88565.780000000057</v>
      </c>
      <c r="U58" s="3">
        <f>Table1[[#This Row],[Net_Sales]]-Table1[[#This Row],[Total_Cost]]</f>
        <v>34687.330000000075</v>
      </c>
      <c r="V58" s="4">
        <f>Table1[[#This Row],[Net_Profit]]/Table1[[#This Row],[Net_Sales]]</f>
        <v>0.1134483317216371</v>
      </c>
      <c r="W58" t="s">
        <v>33</v>
      </c>
      <c r="X58" t="s">
        <v>34</v>
      </c>
      <c r="Y58">
        <v>1</v>
      </c>
      <c r="Z58" t="str">
        <f>IF(Table1[[#This Row],[Month_No]]&lt;=6, "H1","H2")</f>
        <v>H1</v>
      </c>
    </row>
    <row r="59" spans="1:26" x14ac:dyDescent="0.25">
      <c r="A59" s="2">
        <v>45673</v>
      </c>
      <c r="B59" t="s">
        <v>131</v>
      </c>
      <c r="C59" t="s">
        <v>78</v>
      </c>
      <c r="D59" t="s">
        <v>44</v>
      </c>
      <c r="E59" t="s">
        <v>45</v>
      </c>
      <c r="F59" t="s">
        <v>30</v>
      </c>
      <c r="G59" t="s">
        <v>40</v>
      </c>
      <c r="H59" t="s">
        <v>41</v>
      </c>
      <c r="I59">
        <v>61</v>
      </c>
      <c r="J59" s="3">
        <v>4315.8599999999997</v>
      </c>
      <c r="K59" s="3">
        <f>Table1[[#This Row],[Quantity]]*Table1[[#This Row],[Unit_Price]]</f>
        <v>263267.45999999996</v>
      </c>
      <c r="L59" s="3">
        <v>19984.05</v>
      </c>
      <c r="M59" s="3">
        <f>Table1[[#This Row],[Gross_Sales]]-Table1[[#This Row],[Discount]]</f>
        <v>243283.40999999997</v>
      </c>
      <c r="N59" s="3">
        <v>173401.43</v>
      </c>
      <c r="O59" s="3">
        <v>9196.3799999999992</v>
      </c>
      <c r="P59" s="3">
        <v>14771.07</v>
      </c>
      <c r="Q59" s="3">
        <v>8972</v>
      </c>
      <c r="R59" s="3">
        <v>5204.95</v>
      </c>
      <c r="S59" s="3">
        <f>SUM(Table1[[#This Row],[Product_Cost]:[Other_Cost]])</f>
        <v>211545.83000000002</v>
      </c>
      <c r="T59" s="3">
        <f>Table1[[#This Row],[Net_Sales]]-Table1[[#This Row],[Product_Cost]]</f>
        <v>69881.979999999981</v>
      </c>
      <c r="U59" s="3">
        <f>Table1[[#This Row],[Net_Sales]]-Table1[[#This Row],[Total_Cost]]</f>
        <v>31737.579999999958</v>
      </c>
      <c r="V59" s="4">
        <f>Table1[[#This Row],[Net_Profit]]/Table1[[#This Row],[Net_Sales]]</f>
        <v>0.13045517571461188</v>
      </c>
      <c r="W59" t="s">
        <v>33</v>
      </c>
      <c r="X59" t="s">
        <v>34</v>
      </c>
      <c r="Y59">
        <v>1</v>
      </c>
      <c r="Z59" t="str">
        <f>IF(Table1[[#This Row],[Month_No]]&lt;=6, "H1","H2")</f>
        <v>H1</v>
      </c>
    </row>
    <row r="60" spans="1:26" x14ac:dyDescent="0.25">
      <c r="A60" s="2">
        <v>45673</v>
      </c>
      <c r="B60" t="s">
        <v>132</v>
      </c>
      <c r="C60" t="s">
        <v>107</v>
      </c>
      <c r="D60" t="s">
        <v>37</v>
      </c>
      <c r="E60" t="s">
        <v>38</v>
      </c>
      <c r="F60" t="s">
        <v>52</v>
      </c>
      <c r="G60" t="s">
        <v>31</v>
      </c>
      <c r="H60" t="s">
        <v>59</v>
      </c>
      <c r="I60">
        <v>35</v>
      </c>
      <c r="J60" s="3">
        <v>4312.84</v>
      </c>
      <c r="K60" s="3">
        <f>Table1[[#This Row],[Quantity]]*Table1[[#This Row],[Unit_Price]]</f>
        <v>150949.4</v>
      </c>
      <c r="L60" s="3">
        <v>11120.07</v>
      </c>
      <c r="M60" s="3">
        <f>Table1[[#This Row],[Gross_Sales]]-Table1[[#This Row],[Discount]]</f>
        <v>139829.32999999999</v>
      </c>
      <c r="N60" s="3">
        <v>100633.59</v>
      </c>
      <c r="O60" s="3">
        <v>3929.84</v>
      </c>
      <c r="P60" s="3">
        <v>10151.16</v>
      </c>
      <c r="Q60" s="3">
        <v>5943.37</v>
      </c>
      <c r="R60" s="3">
        <v>3608.97</v>
      </c>
      <c r="S60" s="3">
        <f>SUM(Table1[[#This Row],[Product_Cost]:[Other_Cost]])</f>
        <v>124266.93</v>
      </c>
      <c r="T60" s="3">
        <f>Table1[[#This Row],[Net_Sales]]-Table1[[#This Row],[Product_Cost]]</f>
        <v>39195.739999999991</v>
      </c>
      <c r="U60" s="3">
        <f>Table1[[#This Row],[Net_Sales]]-Table1[[#This Row],[Total_Cost]]</f>
        <v>15562.399999999994</v>
      </c>
      <c r="V60" s="4">
        <f>Table1[[#This Row],[Net_Profit]]/Table1[[#This Row],[Net_Sales]]</f>
        <v>0.11129567738041794</v>
      </c>
      <c r="W60" t="s">
        <v>33</v>
      </c>
      <c r="X60" t="s">
        <v>34</v>
      </c>
      <c r="Y60">
        <v>1</v>
      </c>
      <c r="Z60" t="str">
        <f>IF(Table1[[#This Row],[Month_No]]&lt;=6, "H1","H2")</f>
        <v>H1</v>
      </c>
    </row>
    <row r="61" spans="1:26" x14ac:dyDescent="0.25">
      <c r="A61" s="2">
        <v>45673</v>
      </c>
      <c r="B61" t="s">
        <v>133</v>
      </c>
      <c r="C61" t="s">
        <v>63</v>
      </c>
      <c r="D61" t="s">
        <v>44</v>
      </c>
      <c r="E61" t="s">
        <v>45</v>
      </c>
      <c r="F61" t="s">
        <v>30</v>
      </c>
      <c r="G61" t="s">
        <v>61</v>
      </c>
      <c r="H61" t="s">
        <v>59</v>
      </c>
      <c r="I61">
        <v>99</v>
      </c>
      <c r="J61" s="3">
        <v>4285.9799999999996</v>
      </c>
      <c r="K61" s="3">
        <f>Table1[[#This Row],[Quantity]]*Table1[[#This Row],[Unit_Price]]</f>
        <v>424312.01999999996</v>
      </c>
      <c r="L61" s="3">
        <v>26597.62</v>
      </c>
      <c r="M61" s="3">
        <f>Table1[[#This Row],[Gross_Sales]]-Table1[[#This Row],[Discount]]</f>
        <v>397714.39999999997</v>
      </c>
      <c r="N61" s="3">
        <v>297385.86</v>
      </c>
      <c r="O61" s="3">
        <v>15178.98</v>
      </c>
      <c r="P61" s="3">
        <v>28607.48</v>
      </c>
      <c r="Q61" s="3">
        <v>14501.92</v>
      </c>
      <c r="R61" s="3">
        <v>10941.68</v>
      </c>
      <c r="S61" s="3">
        <f>SUM(Table1[[#This Row],[Product_Cost]:[Other_Cost]])</f>
        <v>366615.91999999993</v>
      </c>
      <c r="T61" s="3">
        <f>Table1[[#This Row],[Net_Sales]]-Table1[[#This Row],[Product_Cost]]</f>
        <v>100328.53999999998</v>
      </c>
      <c r="U61" s="3">
        <f>Table1[[#This Row],[Net_Sales]]-Table1[[#This Row],[Total_Cost]]</f>
        <v>31098.48000000004</v>
      </c>
      <c r="V61" s="4">
        <f>Table1[[#This Row],[Net_Profit]]/Table1[[#This Row],[Net_Sales]]</f>
        <v>7.8192994772128044E-2</v>
      </c>
      <c r="W61" t="s">
        <v>33</v>
      </c>
      <c r="X61" t="s">
        <v>34</v>
      </c>
      <c r="Y61">
        <v>1</v>
      </c>
      <c r="Z61" t="str">
        <f>IF(Table1[[#This Row],[Month_No]]&lt;=6, "H1","H2")</f>
        <v>H1</v>
      </c>
    </row>
    <row r="62" spans="1:26" x14ac:dyDescent="0.25">
      <c r="A62" s="2">
        <v>45673</v>
      </c>
      <c r="B62" t="s">
        <v>134</v>
      </c>
      <c r="C62" t="s">
        <v>117</v>
      </c>
      <c r="D62" t="s">
        <v>37</v>
      </c>
      <c r="E62" t="s">
        <v>38</v>
      </c>
      <c r="F62" t="s">
        <v>52</v>
      </c>
      <c r="G62" t="s">
        <v>86</v>
      </c>
      <c r="H62" t="s">
        <v>32</v>
      </c>
      <c r="I62">
        <v>97</v>
      </c>
      <c r="J62" s="3">
        <v>4067.46</v>
      </c>
      <c r="K62" s="3">
        <f>Table1[[#This Row],[Quantity]]*Table1[[#This Row],[Unit_Price]]</f>
        <v>394543.62</v>
      </c>
      <c r="L62" s="3">
        <v>27820.12</v>
      </c>
      <c r="M62" s="3">
        <f>Table1[[#This Row],[Gross_Sales]]-Table1[[#This Row],[Discount]]</f>
        <v>366723.5</v>
      </c>
      <c r="N62" s="3">
        <v>273080.32000000001</v>
      </c>
      <c r="O62" s="3">
        <v>9987.7199999999993</v>
      </c>
      <c r="P62" s="3">
        <v>20212.05</v>
      </c>
      <c r="Q62" s="3">
        <v>13528</v>
      </c>
      <c r="R62" s="3">
        <v>9275.82</v>
      </c>
      <c r="S62" s="3">
        <f>SUM(Table1[[#This Row],[Product_Cost]:[Other_Cost]])</f>
        <v>326083.90999999997</v>
      </c>
      <c r="T62" s="3">
        <f>Table1[[#This Row],[Net_Sales]]-Table1[[#This Row],[Product_Cost]]</f>
        <v>93643.18</v>
      </c>
      <c r="U62" s="3">
        <f>Table1[[#This Row],[Net_Sales]]-Table1[[#This Row],[Total_Cost]]</f>
        <v>40639.590000000026</v>
      </c>
      <c r="V62" s="4">
        <f>Table1[[#This Row],[Net_Profit]]/Table1[[#This Row],[Net_Sales]]</f>
        <v>0.11081806865390417</v>
      </c>
      <c r="W62" t="s">
        <v>33</v>
      </c>
      <c r="X62" t="s">
        <v>34</v>
      </c>
      <c r="Y62">
        <v>1</v>
      </c>
      <c r="Z62" t="str">
        <f>IF(Table1[[#This Row],[Month_No]]&lt;=6, "H1","H2")</f>
        <v>H1</v>
      </c>
    </row>
    <row r="63" spans="1:26" x14ac:dyDescent="0.25">
      <c r="A63" s="2">
        <v>45674</v>
      </c>
      <c r="B63" t="s">
        <v>135</v>
      </c>
      <c r="C63" t="s">
        <v>43</v>
      </c>
      <c r="D63" t="s">
        <v>66</v>
      </c>
      <c r="E63" t="s">
        <v>51</v>
      </c>
      <c r="F63" t="s">
        <v>46</v>
      </c>
      <c r="G63" t="s">
        <v>64</v>
      </c>
      <c r="H63" t="s">
        <v>41</v>
      </c>
      <c r="I63">
        <v>50</v>
      </c>
      <c r="J63" s="3">
        <v>1430.52</v>
      </c>
      <c r="K63" s="3">
        <f>Table1[[#This Row],[Quantity]]*Table1[[#This Row],[Unit_Price]]</f>
        <v>71526</v>
      </c>
      <c r="L63" s="3">
        <v>6757.44</v>
      </c>
      <c r="M63" s="3">
        <f>Table1[[#This Row],[Gross_Sales]]-Table1[[#This Row],[Discount]]</f>
        <v>64768.56</v>
      </c>
      <c r="N63" s="3">
        <v>35134.410000000003</v>
      </c>
      <c r="O63" s="3">
        <v>1910.2</v>
      </c>
      <c r="P63" s="3">
        <v>3752.07</v>
      </c>
      <c r="Q63" s="3">
        <v>2948.61</v>
      </c>
      <c r="R63" s="3">
        <v>1368.38</v>
      </c>
      <c r="S63" s="3">
        <f>SUM(Table1[[#This Row],[Product_Cost]:[Other_Cost]])</f>
        <v>45113.67</v>
      </c>
      <c r="T63" s="3">
        <f>Table1[[#This Row],[Net_Sales]]-Table1[[#This Row],[Product_Cost]]</f>
        <v>29634.149999999994</v>
      </c>
      <c r="U63" s="3">
        <f>Table1[[#This Row],[Net_Sales]]-Table1[[#This Row],[Total_Cost]]</f>
        <v>19654.89</v>
      </c>
      <c r="V63" s="4">
        <f>Table1[[#This Row],[Net_Profit]]/Table1[[#This Row],[Net_Sales]]</f>
        <v>0.3034634396688764</v>
      </c>
      <c r="W63" t="s">
        <v>72</v>
      </c>
      <c r="X63" t="s">
        <v>34</v>
      </c>
      <c r="Y63">
        <v>1</v>
      </c>
      <c r="Z63" t="str">
        <f>IF(Table1[[#This Row],[Month_No]]&lt;=6, "H1","H2")</f>
        <v>H1</v>
      </c>
    </row>
    <row r="64" spans="1:26" x14ac:dyDescent="0.25">
      <c r="A64" s="2">
        <v>45674</v>
      </c>
      <c r="B64" t="s">
        <v>136</v>
      </c>
      <c r="C64" t="s">
        <v>70</v>
      </c>
      <c r="D64" t="s">
        <v>68</v>
      </c>
      <c r="E64" t="s">
        <v>29</v>
      </c>
      <c r="F64" t="s">
        <v>52</v>
      </c>
      <c r="G64" t="s">
        <v>61</v>
      </c>
      <c r="H64" t="s">
        <v>41</v>
      </c>
      <c r="I64">
        <v>117</v>
      </c>
      <c r="J64" s="3">
        <v>345.57</v>
      </c>
      <c r="K64" s="3">
        <f>Table1[[#This Row],[Quantity]]*Table1[[#This Row],[Unit_Price]]</f>
        <v>40431.69</v>
      </c>
      <c r="L64" s="3">
        <v>3123.7</v>
      </c>
      <c r="M64" s="3">
        <f>Table1[[#This Row],[Gross_Sales]]-Table1[[#This Row],[Discount]]</f>
        <v>37307.990000000005</v>
      </c>
      <c r="N64" s="3">
        <v>29452.86</v>
      </c>
      <c r="O64" s="3">
        <v>925.82</v>
      </c>
      <c r="P64" s="3">
        <v>2655.66</v>
      </c>
      <c r="Q64" s="3">
        <v>1574.64</v>
      </c>
      <c r="R64" s="3">
        <v>1037.42</v>
      </c>
      <c r="S64" s="3">
        <f>SUM(Table1[[#This Row],[Product_Cost]:[Other_Cost]])</f>
        <v>35646.399999999994</v>
      </c>
      <c r="T64" s="3">
        <f>Table1[[#This Row],[Net_Sales]]-Table1[[#This Row],[Product_Cost]]</f>
        <v>7855.1300000000047</v>
      </c>
      <c r="U64" s="3">
        <f>Table1[[#This Row],[Net_Sales]]-Table1[[#This Row],[Total_Cost]]</f>
        <v>1661.5900000000111</v>
      </c>
      <c r="V64" s="4">
        <f>Table1[[#This Row],[Net_Profit]]/Table1[[#This Row],[Net_Sales]]</f>
        <v>4.4537108538948648E-2</v>
      </c>
      <c r="W64" t="s">
        <v>33</v>
      </c>
      <c r="X64" t="s">
        <v>34</v>
      </c>
      <c r="Y64">
        <v>1</v>
      </c>
      <c r="Z64" t="str">
        <f>IF(Table1[[#This Row],[Month_No]]&lt;=6, "H1","H2")</f>
        <v>H1</v>
      </c>
    </row>
    <row r="65" spans="1:26" x14ac:dyDescent="0.25">
      <c r="A65" s="2">
        <v>45674</v>
      </c>
      <c r="B65" t="s">
        <v>137</v>
      </c>
      <c r="C65" t="s">
        <v>117</v>
      </c>
      <c r="D65" t="s">
        <v>85</v>
      </c>
      <c r="E65" t="s">
        <v>57</v>
      </c>
      <c r="F65" t="s">
        <v>52</v>
      </c>
      <c r="G65" t="s">
        <v>61</v>
      </c>
      <c r="H65" t="s">
        <v>59</v>
      </c>
      <c r="I65">
        <v>62</v>
      </c>
      <c r="J65" s="3">
        <v>1888.19</v>
      </c>
      <c r="K65" s="3">
        <f>Table1[[#This Row],[Quantity]]*Table1[[#This Row],[Unit_Price]]</f>
        <v>117067.78</v>
      </c>
      <c r="L65" s="3">
        <v>7835.23</v>
      </c>
      <c r="M65" s="3">
        <f>Table1[[#This Row],[Gross_Sales]]-Table1[[#This Row],[Discount]]</f>
        <v>109232.55</v>
      </c>
      <c r="N65" s="3">
        <v>75109.63</v>
      </c>
      <c r="O65" s="3">
        <v>2780.52</v>
      </c>
      <c r="P65" s="3">
        <v>6892.46</v>
      </c>
      <c r="Q65" s="3">
        <v>5693.91</v>
      </c>
      <c r="R65" s="3">
        <v>2189.3200000000002</v>
      </c>
      <c r="S65" s="3">
        <f>SUM(Table1[[#This Row],[Product_Cost]:[Other_Cost]])</f>
        <v>92665.840000000026</v>
      </c>
      <c r="T65" s="3">
        <f>Table1[[#This Row],[Net_Sales]]-Table1[[#This Row],[Product_Cost]]</f>
        <v>34122.92</v>
      </c>
      <c r="U65" s="3">
        <f>Table1[[#This Row],[Net_Sales]]-Table1[[#This Row],[Total_Cost]]</f>
        <v>16566.709999999977</v>
      </c>
      <c r="V65" s="4">
        <f>Table1[[#This Row],[Net_Profit]]/Table1[[#This Row],[Net_Sales]]</f>
        <v>0.1516645908202269</v>
      </c>
      <c r="W65" t="s">
        <v>72</v>
      </c>
      <c r="X65" t="s">
        <v>34</v>
      </c>
      <c r="Y65">
        <v>1</v>
      </c>
      <c r="Z65" t="str">
        <f>IF(Table1[[#This Row],[Month_No]]&lt;=6, "H1","H2")</f>
        <v>H1</v>
      </c>
    </row>
    <row r="66" spans="1:26" x14ac:dyDescent="0.25">
      <c r="A66" s="2">
        <v>45674</v>
      </c>
      <c r="B66" t="s">
        <v>138</v>
      </c>
      <c r="C66" t="s">
        <v>43</v>
      </c>
      <c r="D66" t="s">
        <v>85</v>
      </c>
      <c r="E66" t="s">
        <v>57</v>
      </c>
      <c r="F66" t="s">
        <v>30</v>
      </c>
      <c r="G66" t="s">
        <v>86</v>
      </c>
      <c r="H66" t="s">
        <v>41</v>
      </c>
      <c r="I66">
        <v>53</v>
      </c>
      <c r="J66" s="3">
        <v>1779.25</v>
      </c>
      <c r="K66" s="3">
        <f>Table1[[#This Row],[Quantity]]*Table1[[#This Row],[Unit_Price]]</f>
        <v>94300.25</v>
      </c>
      <c r="L66" s="3">
        <v>7410.68</v>
      </c>
      <c r="M66" s="3">
        <f>Table1[[#This Row],[Gross_Sales]]-Table1[[#This Row],[Discount]]</f>
        <v>86889.57</v>
      </c>
      <c r="N66" s="3">
        <v>61885.120000000003</v>
      </c>
      <c r="O66" s="3">
        <v>3031.69</v>
      </c>
      <c r="P66" s="3">
        <v>5474.84</v>
      </c>
      <c r="Q66" s="3">
        <v>3769.01</v>
      </c>
      <c r="R66" s="3">
        <v>2490.0700000000002</v>
      </c>
      <c r="S66" s="3">
        <f>SUM(Table1[[#This Row],[Product_Cost]:[Other_Cost]])</f>
        <v>76650.73000000001</v>
      </c>
      <c r="T66" s="3">
        <f>Table1[[#This Row],[Net_Sales]]-Table1[[#This Row],[Product_Cost]]</f>
        <v>25004.450000000004</v>
      </c>
      <c r="U66" s="3">
        <f>Table1[[#This Row],[Net_Sales]]-Table1[[#This Row],[Total_Cost]]</f>
        <v>10238.839999999997</v>
      </c>
      <c r="V66" s="4">
        <f>Table1[[#This Row],[Net_Profit]]/Table1[[#This Row],[Net_Sales]]</f>
        <v>0.1178373883079407</v>
      </c>
      <c r="W66" t="s">
        <v>72</v>
      </c>
      <c r="X66" t="s">
        <v>34</v>
      </c>
      <c r="Y66">
        <v>1</v>
      </c>
      <c r="Z66" t="str">
        <f>IF(Table1[[#This Row],[Month_No]]&lt;=6, "H1","H2")</f>
        <v>H1</v>
      </c>
    </row>
    <row r="67" spans="1:26" x14ac:dyDescent="0.25">
      <c r="A67" s="2">
        <v>45675</v>
      </c>
      <c r="B67" t="s">
        <v>139</v>
      </c>
      <c r="C67" t="s">
        <v>63</v>
      </c>
      <c r="D67" t="s">
        <v>44</v>
      </c>
      <c r="E67" t="s">
        <v>45</v>
      </c>
      <c r="F67" t="s">
        <v>39</v>
      </c>
      <c r="G67" t="s">
        <v>71</v>
      </c>
      <c r="H67" t="s">
        <v>59</v>
      </c>
      <c r="I67">
        <v>57</v>
      </c>
      <c r="J67" s="3">
        <v>4092.72</v>
      </c>
      <c r="K67" s="3">
        <f>Table1[[#This Row],[Quantity]]*Table1[[#This Row],[Unit_Price]]</f>
        <v>233285.03999999998</v>
      </c>
      <c r="L67" s="3">
        <v>16672.169999999998</v>
      </c>
      <c r="M67" s="3">
        <f>Table1[[#This Row],[Gross_Sales]]-Table1[[#This Row],[Discount]]</f>
        <v>216612.87</v>
      </c>
      <c r="N67" s="3">
        <v>152914.45000000001</v>
      </c>
      <c r="O67" s="3">
        <v>9841.4599999999991</v>
      </c>
      <c r="P67" s="3">
        <v>12449.72</v>
      </c>
      <c r="Q67" s="3">
        <v>10126.07</v>
      </c>
      <c r="R67" s="3">
        <v>5800</v>
      </c>
      <c r="S67" s="3">
        <f>SUM(Table1[[#This Row],[Product_Cost]:[Other_Cost]])</f>
        <v>191131.7</v>
      </c>
      <c r="T67" s="3">
        <f>Table1[[#This Row],[Net_Sales]]-Table1[[#This Row],[Product_Cost]]</f>
        <v>63698.419999999984</v>
      </c>
      <c r="U67" s="3">
        <f>Table1[[#This Row],[Net_Sales]]-Table1[[#This Row],[Total_Cost]]</f>
        <v>25481.169999999984</v>
      </c>
      <c r="V67" s="4">
        <f>Table1[[#This Row],[Net_Profit]]/Table1[[#This Row],[Net_Sales]]</f>
        <v>0.11763460776822718</v>
      </c>
      <c r="W67" t="s">
        <v>33</v>
      </c>
      <c r="X67" t="s">
        <v>34</v>
      </c>
      <c r="Y67">
        <v>1</v>
      </c>
      <c r="Z67" t="str">
        <f>IF(Table1[[#This Row],[Month_No]]&lt;=6, "H1","H2")</f>
        <v>H1</v>
      </c>
    </row>
    <row r="68" spans="1:26" x14ac:dyDescent="0.25">
      <c r="A68" s="2">
        <v>45675</v>
      </c>
      <c r="B68" t="s">
        <v>140</v>
      </c>
      <c r="C68" t="s">
        <v>78</v>
      </c>
      <c r="D68" t="s">
        <v>74</v>
      </c>
      <c r="E68" t="s">
        <v>75</v>
      </c>
      <c r="F68" t="s">
        <v>52</v>
      </c>
      <c r="G68" t="s">
        <v>76</v>
      </c>
      <c r="H68" t="s">
        <v>47</v>
      </c>
      <c r="I68">
        <v>83</v>
      </c>
      <c r="J68" s="3">
        <v>5104.1099999999997</v>
      </c>
      <c r="K68" s="3">
        <f>Table1[[#This Row],[Quantity]]*Table1[[#This Row],[Unit_Price]]</f>
        <v>423641.12999999995</v>
      </c>
      <c r="L68" s="3">
        <v>34215.699999999997</v>
      </c>
      <c r="M68" s="3">
        <f>Table1[[#This Row],[Gross_Sales]]-Table1[[#This Row],[Discount]]</f>
        <v>389425.42999999993</v>
      </c>
      <c r="N68" s="3">
        <v>297320.64</v>
      </c>
      <c r="O68" s="3">
        <v>10382.69</v>
      </c>
      <c r="P68" s="3">
        <v>25291.02</v>
      </c>
      <c r="Q68" s="3">
        <v>21224.74</v>
      </c>
      <c r="R68" s="3">
        <v>12044.07</v>
      </c>
      <c r="S68" s="3">
        <f>SUM(Table1[[#This Row],[Product_Cost]:[Other_Cost]])</f>
        <v>366263.16000000003</v>
      </c>
      <c r="T68" s="3">
        <f>Table1[[#This Row],[Net_Sales]]-Table1[[#This Row],[Product_Cost]]</f>
        <v>92104.789999999921</v>
      </c>
      <c r="U68" s="3">
        <f>Table1[[#This Row],[Net_Sales]]-Table1[[#This Row],[Total_Cost]]</f>
        <v>23162.269999999902</v>
      </c>
      <c r="V68" s="4">
        <f>Table1[[#This Row],[Net_Profit]]/Table1[[#This Row],[Net_Sales]]</f>
        <v>5.9478062334038913E-2</v>
      </c>
      <c r="W68" t="s">
        <v>33</v>
      </c>
      <c r="X68" t="s">
        <v>34</v>
      </c>
      <c r="Y68">
        <v>1</v>
      </c>
      <c r="Z68" t="str">
        <f>IF(Table1[[#This Row],[Month_No]]&lt;=6, "H1","H2")</f>
        <v>H1</v>
      </c>
    </row>
    <row r="69" spans="1:26" x14ac:dyDescent="0.25">
      <c r="A69" s="2">
        <v>45675</v>
      </c>
      <c r="B69" t="s">
        <v>141</v>
      </c>
      <c r="C69" t="s">
        <v>36</v>
      </c>
      <c r="D69" t="s">
        <v>74</v>
      </c>
      <c r="E69" t="s">
        <v>75</v>
      </c>
      <c r="F69" t="s">
        <v>46</v>
      </c>
      <c r="G69" t="s">
        <v>86</v>
      </c>
      <c r="H69" t="s">
        <v>59</v>
      </c>
      <c r="I69">
        <v>78</v>
      </c>
      <c r="J69" s="3">
        <v>5117.13</v>
      </c>
      <c r="K69" s="3">
        <f>Table1[[#This Row],[Quantity]]*Table1[[#This Row],[Unit_Price]]</f>
        <v>399136.14</v>
      </c>
      <c r="L69" s="3">
        <v>26457.13</v>
      </c>
      <c r="M69" s="3">
        <f>Table1[[#This Row],[Gross_Sales]]-Table1[[#This Row],[Discount]]</f>
        <v>372679.01</v>
      </c>
      <c r="N69" s="3">
        <v>277607.40000000002</v>
      </c>
      <c r="O69" s="3">
        <v>10769.22</v>
      </c>
      <c r="P69" s="3">
        <v>25645.78</v>
      </c>
      <c r="Q69" s="3">
        <v>19612.990000000002</v>
      </c>
      <c r="R69" s="3">
        <v>8067.54</v>
      </c>
      <c r="S69" s="3">
        <f>SUM(Table1[[#This Row],[Product_Cost]:[Other_Cost]])</f>
        <v>341702.93</v>
      </c>
      <c r="T69" s="3">
        <f>Table1[[#This Row],[Net_Sales]]-Table1[[#This Row],[Product_Cost]]</f>
        <v>95071.609999999986</v>
      </c>
      <c r="U69" s="3">
        <f>Table1[[#This Row],[Net_Sales]]-Table1[[#This Row],[Total_Cost]]</f>
        <v>30976.080000000016</v>
      </c>
      <c r="V69" s="4">
        <f>Table1[[#This Row],[Net_Profit]]/Table1[[#This Row],[Net_Sales]]</f>
        <v>8.3117318573965343E-2</v>
      </c>
      <c r="W69" t="s">
        <v>33</v>
      </c>
      <c r="X69" t="s">
        <v>34</v>
      </c>
      <c r="Y69">
        <v>1</v>
      </c>
      <c r="Z69" t="str">
        <f>IF(Table1[[#This Row],[Month_No]]&lt;=6, "H1","H2")</f>
        <v>H1</v>
      </c>
    </row>
    <row r="70" spans="1:26" x14ac:dyDescent="0.25">
      <c r="A70" s="2">
        <v>45676</v>
      </c>
      <c r="B70" t="s">
        <v>142</v>
      </c>
      <c r="C70" t="s">
        <v>49</v>
      </c>
      <c r="D70" t="s">
        <v>85</v>
      </c>
      <c r="E70" t="s">
        <v>57</v>
      </c>
      <c r="F70" t="s">
        <v>39</v>
      </c>
      <c r="G70" t="s">
        <v>58</v>
      </c>
      <c r="H70" t="s">
        <v>59</v>
      </c>
      <c r="I70">
        <v>93</v>
      </c>
      <c r="J70" s="3">
        <v>1853.13</v>
      </c>
      <c r="K70" s="3">
        <f>Table1[[#This Row],[Quantity]]*Table1[[#This Row],[Unit_Price]]</f>
        <v>172341.09</v>
      </c>
      <c r="L70" s="3">
        <v>12325.61</v>
      </c>
      <c r="M70" s="3">
        <f>Table1[[#This Row],[Gross_Sales]]-Table1[[#This Row],[Discount]]</f>
        <v>160015.47999999998</v>
      </c>
      <c r="N70" s="3">
        <v>115176.62</v>
      </c>
      <c r="O70" s="3">
        <v>6065.42</v>
      </c>
      <c r="P70" s="3">
        <v>8839.68</v>
      </c>
      <c r="Q70" s="3">
        <v>6750.1</v>
      </c>
      <c r="R70" s="3">
        <v>4671.12</v>
      </c>
      <c r="S70" s="3">
        <f>SUM(Table1[[#This Row],[Product_Cost]:[Other_Cost]])</f>
        <v>141502.94</v>
      </c>
      <c r="T70" s="3">
        <f>Table1[[#This Row],[Net_Sales]]-Table1[[#This Row],[Product_Cost]]</f>
        <v>44838.859999999986</v>
      </c>
      <c r="U70" s="3">
        <f>Table1[[#This Row],[Net_Sales]]-Table1[[#This Row],[Total_Cost]]</f>
        <v>18512.539999999979</v>
      </c>
      <c r="V70" s="4">
        <f>Table1[[#This Row],[Net_Profit]]/Table1[[#This Row],[Net_Sales]]</f>
        <v>0.11569218178141254</v>
      </c>
      <c r="W70" t="s">
        <v>33</v>
      </c>
      <c r="X70" t="s">
        <v>34</v>
      </c>
      <c r="Y70">
        <v>1</v>
      </c>
      <c r="Z70" t="str">
        <f>IF(Table1[[#This Row],[Month_No]]&lt;=6, "H1","H2")</f>
        <v>H1</v>
      </c>
    </row>
    <row r="71" spans="1:26" x14ac:dyDescent="0.25">
      <c r="A71" s="2">
        <v>45676</v>
      </c>
      <c r="B71" t="s">
        <v>143</v>
      </c>
      <c r="C71" t="s">
        <v>63</v>
      </c>
      <c r="D71" t="s">
        <v>74</v>
      </c>
      <c r="E71" t="s">
        <v>75</v>
      </c>
      <c r="F71" t="s">
        <v>52</v>
      </c>
      <c r="G71" t="s">
        <v>71</v>
      </c>
      <c r="H71" t="s">
        <v>41</v>
      </c>
      <c r="I71">
        <v>80</v>
      </c>
      <c r="J71" s="3">
        <v>5093.96</v>
      </c>
      <c r="K71" s="3">
        <f>Table1[[#This Row],[Quantity]]*Table1[[#This Row],[Unit_Price]]</f>
        <v>407516.8</v>
      </c>
      <c r="L71" s="3">
        <v>30123.05</v>
      </c>
      <c r="M71" s="3">
        <f>Table1[[#This Row],[Gross_Sales]]-Table1[[#This Row],[Discount]]</f>
        <v>377393.75</v>
      </c>
      <c r="N71" s="3">
        <v>275353.28000000003</v>
      </c>
      <c r="O71" s="3">
        <v>9196.1200000000008</v>
      </c>
      <c r="P71" s="3">
        <v>25918.05</v>
      </c>
      <c r="Q71" s="3">
        <v>15218.21</v>
      </c>
      <c r="R71" s="3">
        <v>8314.39</v>
      </c>
      <c r="S71" s="3">
        <f>SUM(Table1[[#This Row],[Product_Cost]:[Other_Cost]])</f>
        <v>334000.05000000005</v>
      </c>
      <c r="T71" s="3">
        <f>Table1[[#This Row],[Net_Sales]]-Table1[[#This Row],[Product_Cost]]</f>
        <v>102040.46999999997</v>
      </c>
      <c r="U71" s="3">
        <f>Table1[[#This Row],[Net_Sales]]-Table1[[#This Row],[Total_Cost]]</f>
        <v>43393.699999999953</v>
      </c>
      <c r="V71" s="4">
        <f>Table1[[#This Row],[Net_Profit]]/Table1[[#This Row],[Net_Sales]]</f>
        <v>0.11498256131692683</v>
      </c>
      <c r="W71" t="s">
        <v>72</v>
      </c>
      <c r="X71" t="s">
        <v>34</v>
      </c>
      <c r="Y71">
        <v>1</v>
      </c>
      <c r="Z71" t="str">
        <f>IF(Table1[[#This Row],[Month_No]]&lt;=6, "H1","H2")</f>
        <v>H1</v>
      </c>
    </row>
    <row r="72" spans="1:26" x14ac:dyDescent="0.25">
      <c r="A72" s="2">
        <v>45676</v>
      </c>
      <c r="B72" t="s">
        <v>144</v>
      </c>
      <c r="C72" t="s">
        <v>27</v>
      </c>
      <c r="D72" t="s">
        <v>50</v>
      </c>
      <c r="E72" t="s">
        <v>51</v>
      </c>
      <c r="F72" t="s">
        <v>52</v>
      </c>
      <c r="G72" t="s">
        <v>61</v>
      </c>
      <c r="H72" t="s">
        <v>41</v>
      </c>
      <c r="I72">
        <v>81</v>
      </c>
      <c r="J72" s="3">
        <v>773.09</v>
      </c>
      <c r="K72" s="3">
        <f>Table1[[#This Row],[Quantity]]*Table1[[#This Row],[Unit_Price]]</f>
        <v>62620.29</v>
      </c>
      <c r="L72" s="3">
        <v>4333.99</v>
      </c>
      <c r="M72" s="3">
        <f>Table1[[#This Row],[Gross_Sales]]-Table1[[#This Row],[Discount]]</f>
        <v>58286.3</v>
      </c>
      <c r="N72" s="3">
        <v>40462.11</v>
      </c>
      <c r="O72" s="3">
        <v>1609.89</v>
      </c>
      <c r="P72" s="3">
        <v>4277.8999999999996</v>
      </c>
      <c r="Q72" s="3">
        <v>2522.29</v>
      </c>
      <c r="R72" s="3">
        <v>1336.88</v>
      </c>
      <c r="S72" s="3">
        <f>SUM(Table1[[#This Row],[Product_Cost]:[Other_Cost]])</f>
        <v>50209.07</v>
      </c>
      <c r="T72" s="3">
        <f>Table1[[#This Row],[Net_Sales]]-Table1[[#This Row],[Product_Cost]]</f>
        <v>17824.190000000002</v>
      </c>
      <c r="U72" s="3">
        <f>Table1[[#This Row],[Net_Sales]]-Table1[[#This Row],[Total_Cost]]</f>
        <v>8077.2300000000032</v>
      </c>
      <c r="V72" s="4">
        <f>Table1[[#This Row],[Net_Profit]]/Table1[[#This Row],[Net_Sales]]</f>
        <v>0.13857853389218397</v>
      </c>
      <c r="W72" t="s">
        <v>33</v>
      </c>
      <c r="X72" t="s">
        <v>34</v>
      </c>
      <c r="Y72">
        <v>1</v>
      </c>
      <c r="Z72" t="str">
        <f>IF(Table1[[#This Row],[Month_No]]&lt;=6, "H1","H2")</f>
        <v>H1</v>
      </c>
    </row>
    <row r="73" spans="1:26" x14ac:dyDescent="0.25">
      <c r="A73" s="2">
        <v>45676</v>
      </c>
      <c r="B73" t="s">
        <v>145</v>
      </c>
      <c r="C73" t="s">
        <v>117</v>
      </c>
      <c r="D73" t="s">
        <v>85</v>
      </c>
      <c r="E73" t="s">
        <v>57</v>
      </c>
      <c r="F73" t="s">
        <v>52</v>
      </c>
      <c r="G73" t="s">
        <v>61</v>
      </c>
      <c r="H73" t="s">
        <v>41</v>
      </c>
      <c r="I73">
        <v>64</v>
      </c>
      <c r="J73" s="3">
        <v>1888.33</v>
      </c>
      <c r="K73" s="3">
        <f>Table1[[#This Row],[Quantity]]*Table1[[#This Row],[Unit_Price]]</f>
        <v>120853.12</v>
      </c>
      <c r="L73" s="3">
        <v>8102.51</v>
      </c>
      <c r="M73" s="3">
        <f>Table1[[#This Row],[Gross_Sales]]-Table1[[#This Row],[Discount]]</f>
        <v>112750.61</v>
      </c>
      <c r="N73" s="3">
        <v>79612.03</v>
      </c>
      <c r="O73" s="3">
        <v>3060.58</v>
      </c>
      <c r="P73" s="3">
        <v>6860.21</v>
      </c>
      <c r="Q73" s="3">
        <v>5422.94</v>
      </c>
      <c r="R73" s="3">
        <v>3095.24</v>
      </c>
      <c r="S73" s="3">
        <f>SUM(Table1[[#This Row],[Product_Cost]:[Other_Cost]])</f>
        <v>98051.000000000015</v>
      </c>
      <c r="T73" s="3">
        <f>Table1[[#This Row],[Net_Sales]]-Table1[[#This Row],[Product_Cost]]</f>
        <v>33138.58</v>
      </c>
      <c r="U73" s="3">
        <f>Table1[[#This Row],[Net_Sales]]-Table1[[#This Row],[Total_Cost]]</f>
        <v>14699.609999999986</v>
      </c>
      <c r="V73" s="4">
        <f>Table1[[#This Row],[Net_Profit]]/Table1[[#This Row],[Net_Sales]]</f>
        <v>0.13037277581025936</v>
      </c>
      <c r="W73" t="s">
        <v>33</v>
      </c>
      <c r="X73" t="s">
        <v>34</v>
      </c>
      <c r="Y73">
        <v>1</v>
      </c>
      <c r="Z73" t="str">
        <f>IF(Table1[[#This Row],[Month_No]]&lt;=6, "H1","H2")</f>
        <v>H1</v>
      </c>
    </row>
    <row r="74" spans="1:26" x14ac:dyDescent="0.25">
      <c r="A74" s="2">
        <v>45676</v>
      </c>
      <c r="B74" t="s">
        <v>146</v>
      </c>
      <c r="C74" t="s">
        <v>78</v>
      </c>
      <c r="D74" t="s">
        <v>44</v>
      </c>
      <c r="E74" t="s">
        <v>45</v>
      </c>
      <c r="F74" t="s">
        <v>30</v>
      </c>
      <c r="G74" t="s">
        <v>40</v>
      </c>
      <c r="H74" t="s">
        <v>59</v>
      </c>
      <c r="I74">
        <v>87</v>
      </c>
      <c r="J74" s="3">
        <v>4406.8599999999997</v>
      </c>
      <c r="K74" s="3">
        <f>Table1[[#This Row],[Quantity]]*Table1[[#This Row],[Unit_Price]]</f>
        <v>383396.81999999995</v>
      </c>
      <c r="L74" s="3">
        <v>28877.91</v>
      </c>
      <c r="M74" s="3">
        <f>Table1[[#This Row],[Gross_Sales]]-Table1[[#This Row],[Discount]]</f>
        <v>354518.91</v>
      </c>
      <c r="N74" s="3">
        <v>252160.41</v>
      </c>
      <c r="O74" s="3">
        <v>13093.94</v>
      </c>
      <c r="P74" s="3">
        <v>21496.18</v>
      </c>
      <c r="Q74" s="3">
        <v>14856.01</v>
      </c>
      <c r="R74" s="3">
        <v>7427.41</v>
      </c>
      <c r="S74" s="3">
        <f>SUM(Table1[[#This Row],[Product_Cost]:[Other_Cost]])</f>
        <v>309033.94999999995</v>
      </c>
      <c r="T74" s="3">
        <f>Table1[[#This Row],[Net_Sales]]-Table1[[#This Row],[Product_Cost]]</f>
        <v>102358.49999999997</v>
      </c>
      <c r="U74" s="3">
        <f>Table1[[#This Row],[Net_Sales]]-Table1[[#This Row],[Total_Cost]]</f>
        <v>45484.960000000021</v>
      </c>
      <c r="V74" s="4">
        <f>Table1[[#This Row],[Net_Profit]]/Table1[[#This Row],[Net_Sales]]</f>
        <v>0.1283005185816464</v>
      </c>
      <c r="W74" t="s">
        <v>33</v>
      </c>
      <c r="X74" t="s">
        <v>34</v>
      </c>
      <c r="Y74">
        <v>1</v>
      </c>
      <c r="Z74" t="str">
        <f>IF(Table1[[#This Row],[Month_No]]&lt;=6, "H1","H2")</f>
        <v>H1</v>
      </c>
    </row>
    <row r="75" spans="1:26" x14ac:dyDescent="0.25">
      <c r="A75" s="2">
        <v>45676</v>
      </c>
      <c r="B75" t="s">
        <v>147</v>
      </c>
      <c r="C75" t="s">
        <v>49</v>
      </c>
      <c r="D75" t="s">
        <v>50</v>
      </c>
      <c r="E75" t="s">
        <v>51</v>
      </c>
      <c r="F75" t="s">
        <v>52</v>
      </c>
      <c r="G75" t="s">
        <v>64</v>
      </c>
      <c r="H75" t="s">
        <v>41</v>
      </c>
      <c r="I75">
        <v>80</v>
      </c>
      <c r="J75" s="3">
        <v>772.2</v>
      </c>
      <c r="K75" s="3">
        <f>Table1[[#This Row],[Quantity]]*Table1[[#This Row],[Unit_Price]]</f>
        <v>61776</v>
      </c>
      <c r="L75" s="3">
        <v>4265.76</v>
      </c>
      <c r="M75" s="3">
        <f>Table1[[#This Row],[Gross_Sales]]-Table1[[#This Row],[Discount]]</f>
        <v>57510.239999999998</v>
      </c>
      <c r="N75" s="3">
        <v>37474.17</v>
      </c>
      <c r="O75" s="3">
        <v>1609.66</v>
      </c>
      <c r="P75" s="3">
        <v>3493.87</v>
      </c>
      <c r="Q75" s="3">
        <v>2125.2399999999998</v>
      </c>
      <c r="R75" s="3">
        <v>1814.39</v>
      </c>
      <c r="S75" s="3">
        <f>SUM(Table1[[#This Row],[Product_Cost]:[Other_Cost]])</f>
        <v>46517.33</v>
      </c>
      <c r="T75" s="3">
        <f>Table1[[#This Row],[Net_Sales]]-Table1[[#This Row],[Product_Cost]]</f>
        <v>20036.07</v>
      </c>
      <c r="U75" s="3">
        <f>Table1[[#This Row],[Net_Sales]]-Table1[[#This Row],[Total_Cost]]</f>
        <v>10992.909999999996</v>
      </c>
      <c r="V75" s="4">
        <f>Table1[[#This Row],[Net_Profit]]/Table1[[#This Row],[Net_Sales]]</f>
        <v>0.19114700269030344</v>
      </c>
      <c r="W75" t="s">
        <v>33</v>
      </c>
      <c r="X75" t="s">
        <v>34</v>
      </c>
      <c r="Y75">
        <v>1</v>
      </c>
      <c r="Z75" t="str">
        <f>IF(Table1[[#This Row],[Month_No]]&lt;=6, "H1","H2")</f>
        <v>H1</v>
      </c>
    </row>
    <row r="76" spans="1:26" x14ac:dyDescent="0.25">
      <c r="A76" s="2">
        <v>45676</v>
      </c>
      <c r="B76" t="s">
        <v>148</v>
      </c>
      <c r="C76" t="s">
        <v>43</v>
      </c>
      <c r="D76" t="s">
        <v>85</v>
      </c>
      <c r="E76" t="s">
        <v>57</v>
      </c>
      <c r="F76" t="s">
        <v>52</v>
      </c>
      <c r="G76" t="s">
        <v>71</v>
      </c>
      <c r="H76" t="s">
        <v>41</v>
      </c>
      <c r="I76">
        <v>63</v>
      </c>
      <c r="J76" s="3">
        <v>1780.33</v>
      </c>
      <c r="K76" s="3">
        <f>Table1[[#This Row],[Quantity]]*Table1[[#This Row],[Unit_Price]]</f>
        <v>112160.79</v>
      </c>
      <c r="L76" s="3">
        <v>7699.5</v>
      </c>
      <c r="M76" s="3">
        <f>Table1[[#This Row],[Gross_Sales]]-Table1[[#This Row],[Discount]]</f>
        <v>104461.29</v>
      </c>
      <c r="N76" s="3">
        <v>74628.33</v>
      </c>
      <c r="O76" s="3">
        <v>2654.45</v>
      </c>
      <c r="P76" s="3">
        <v>6884.63</v>
      </c>
      <c r="Q76" s="3">
        <v>5381.08</v>
      </c>
      <c r="R76" s="3">
        <v>3102.41</v>
      </c>
      <c r="S76" s="3">
        <f>SUM(Table1[[#This Row],[Product_Cost]:[Other_Cost]])</f>
        <v>92650.900000000009</v>
      </c>
      <c r="T76" s="3">
        <f>Table1[[#This Row],[Net_Sales]]-Table1[[#This Row],[Product_Cost]]</f>
        <v>29832.959999999992</v>
      </c>
      <c r="U76" s="3">
        <f>Table1[[#This Row],[Net_Sales]]-Table1[[#This Row],[Total_Cost]]</f>
        <v>11810.389999999985</v>
      </c>
      <c r="V76" s="4">
        <f>Table1[[#This Row],[Net_Profit]]/Table1[[#This Row],[Net_Sales]]</f>
        <v>0.11305996699830134</v>
      </c>
      <c r="W76" t="s">
        <v>33</v>
      </c>
      <c r="X76" t="s">
        <v>34</v>
      </c>
      <c r="Y76">
        <v>1</v>
      </c>
      <c r="Z76" t="str">
        <f>IF(Table1[[#This Row],[Month_No]]&lt;=6, "H1","H2")</f>
        <v>H1</v>
      </c>
    </row>
    <row r="77" spans="1:26" x14ac:dyDescent="0.25">
      <c r="A77" s="2">
        <v>45677</v>
      </c>
      <c r="B77" t="s">
        <v>149</v>
      </c>
      <c r="C77" t="s">
        <v>70</v>
      </c>
      <c r="D77" t="s">
        <v>28</v>
      </c>
      <c r="E77" t="s">
        <v>29</v>
      </c>
      <c r="F77" t="s">
        <v>52</v>
      </c>
      <c r="G77" t="s">
        <v>76</v>
      </c>
      <c r="H77" t="s">
        <v>41</v>
      </c>
      <c r="I77">
        <v>63</v>
      </c>
      <c r="J77" s="3">
        <v>1151.48</v>
      </c>
      <c r="K77" s="3">
        <f>Table1[[#This Row],[Quantity]]*Table1[[#This Row],[Unit_Price]]</f>
        <v>72543.240000000005</v>
      </c>
      <c r="L77" s="3">
        <v>5401.44</v>
      </c>
      <c r="M77" s="3">
        <f>Table1[[#This Row],[Gross_Sales]]-Table1[[#This Row],[Discount]]</f>
        <v>67141.8</v>
      </c>
      <c r="N77" s="3">
        <v>40026.6</v>
      </c>
      <c r="O77" s="3">
        <v>1615.08</v>
      </c>
      <c r="P77" s="3">
        <v>4516.41</v>
      </c>
      <c r="Q77" s="3">
        <v>2927.15</v>
      </c>
      <c r="R77" s="3">
        <v>1837.14</v>
      </c>
      <c r="S77" s="3">
        <f>SUM(Table1[[#This Row],[Product_Cost]:[Other_Cost]])</f>
        <v>50922.38</v>
      </c>
      <c r="T77" s="3">
        <f>Table1[[#This Row],[Net_Sales]]-Table1[[#This Row],[Product_Cost]]</f>
        <v>27115.200000000004</v>
      </c>
      <c r="U77" s="3">
        <f>Table1[[#This Row],[Net_Sales]]-Table1[[#This Row],[Total_Cost]]</f>
        <v>16219.420000000006</v>
      </c>
      <c r="V77" s="4">
        <f>Table1[[#This Row],[Net_Profit]]/Table1[[#This Row],[Net_Sales]]</f>
        <v>0.24156963322401254</v>
      </c>
      <c r="W77" t="s">
        <v>72</v>
      </c>
      <c r="X77" t="s">
        <v>34</v>
      </c>
      <c r="Y77">
        <v>1</v>
      </c>
      <c r="Z77" t="str">
        <f>IF(Table1[[#This Row],[Month_No]]&lt;=6, "H1","H2")</f>
        <v>H1</v>
      </c>
    </row>
    <row r="78" spans="1:26" x14ac:dyDescent="0.25">
      <c r="A78" s="2">
        <v>45677</v>
      </c>
      <c r="B78" t="s">
        <v>150</v>
      </c>
      <c r="C78" t="s">
        <v>117</v>
      </c>
      <c r="D78" t="s">
        <v>66</v>
      </c>
      <c r="E78" t="s">
        <v>51</v>
      </c>
      <c r="F78" t="s">
        <v>46</v>
      </c>
      <c r="G78" t="s">
        <v>86</v>
      </c>
      <c r="H78" t="s">
        <v>41</v>
      </c>
      <c r="I78">
        <v>64</v>
      </c>
      <c r="J78" s="3">
        <v>1441.64</v>
      </c>
      <c r="K78" s="3">
        <f>Table1[[#This Row],[Quantity]]*Table1[[#This Row],[Unit_Price]]</f>
        <v>92264.960000000006</v>
      </c>
      <c r="L78" s="3">
        <v>7863.47</v>
      </c>
      <c r="M78" s="3">
        <f>Table1[[#This Row],[Gross_Sales]]-Table1[[#This Row],[Discount]]</f>
        <v>84401.49</v>
      </c>
      <c r="N78" s="3">
        <v>45789.58</v>
      </c>
      <c r="O78" s="3">
        <v>2641.17</v>
      </c>
      <c r="P78" s="3">
        <v>5769.48</v>
      </c>
      <c r="Q78" s="3">
        <v>3048.75</v>
      </c>
      <c r="R78" s="3">
        <v>2015.44</v>
      </c>
      <c r="S78" s="3">
        <f>SUM(Table1[[#This Row],[Product_Cost]:[Other_Cost]])</f>
        <v>59264.42</v>
      </c>
      <c r="T78" s="3">
        <f>Table1[[#This Row],[Net_Sales]]-Table1[[#This Row],[Product_Cost]]</f>
        <v>38611.910000000003</v>
      </c>
      <c r="U78" s="3">
        <f>Table1[[#This Row],[Net_Sales]]-Table1[[#This Row],[Total_Cost]]</f>
        <v>25137.070000000007</v>
      </c>
      <c r="V78" s="4">
        <f>Table1[[#This Row],[Net_Profit]]/Table1[[#This Row],[Net_Sales]]</f>
        <v>0.29782732508632259</v>
      </c>
      <c r="W78" t="s">
        <v>33</v>
      </c>
      <c r="X78" t="s">
        <v>34</v>
      </c>
      <c r="Y78">
        <v>1</v>
      </c>
      <c r="Z78" t="str">
        <f>IF(Table1[[#This Row],[Month_No]]&lt;=6, "H1","H2")</f>
        <v>H1</v>
      </c>
    </row>
    <row r="79" spans="1:26" x14ac:dyDescent="0.25">
      <c r="A79" s="2">
        <v>45677</v>
      </c>
      <c r="B79" t="s">
        <v>151</v>
      </c>
      <c r="C79" t="s">
        <v>78</v>
      </c>
      <c r="D79" t="s">
        <v>50</v>
      </c>
      <c r="E79" t="s">
        <v>51</v>
      </c>
      <c r="F79" t="s">
        <v>52</v>
      </c>
      <c r="G79" t="s">
        <v>58</v>
      </c>
      <c r="H79" t="s">
        <v>41</v>
      </c>
      <c r="I79">
        <v>97</v>
      </c>
      <c r="J79" s="3">
        <v>818</v>
      </c>
      <c r="K79" s="3">
        <f>Table1[[#This Row],[Quantity]]*Table1[[#This Row],[Unit_Price]]</f>
        <v>79346</v>
      </c>
      <c r="L79" s="3">
        <v>6085.72</v>
      </c>
      <c r="M79" s="3">
        <f>Table1[[#This Row],[Gross_Sales]]-Table1[[#This Row],[Discount]]</f>
        <v>73260.28</v>
      </c>
      <c r="N79" s="3">
        <v>48110.22</v>
      </c>
      <c r="O79" s="3">
        <v>1822.96</v>
      </c>
      <c r="P79" s="3">
        <v>5321.65</v>
      </c>
      <c r="Q79" s="3">
        <v>2949.37</v>
      </c>
      <c r="R79" s="3">
        <v>2317.2199999999998</v>
      </c>
      <c r="S79" s="3">
        <f>SUM(Table1[[#This Row],[Product_Cost]:[Other_Cost]])</f>
        <v>60521.420000000006</v>
      </c>
      <c r="T79" s="3">
        <f>Table1[[#This Row],[Net_Sales]]-Table1[[#This Row],[Product_Cost]]</f>
        <v>25150.059999999998</v>
      </c>
      <c r="U79" s="3">
        <f>Table1[[#This Row],[Net_Sales]]-Table1[[#This Row],[Total_Cost]]</f>
        <v>12738.859999999993</v>
      </c>
      <c r="V79" s="4">
        <f>Table1[[#This Row],[Net_Profit]]/Table1[[#This Row],[Net_Sales]]</f>
        <v>0.17388494829667581</v>
      </c>
      <c r="W79" t="s">
        <v>33</v>
      </c>
      <c r="X79" t="s">
        <v>34</v>
      </c>
      <c r="Y79">
        <v>1</v>
      </c>
      <c r="Z79" t="str">
        <f>IF(Table1[[#This Row],[Month_No]]&lt;=6, "H1","H2")</f>
        <v>H1</v>
      </c>
    </row>
    <row r="80" spans="1:26" x14ac:dyDescent="0.25">
      <c r="A80" s="2">
        <v>45677</v>
      </c>
      <c r="B80" t="s">
        <v>152</v>
      </c>
      <c r="C80" t="s">
        <v>49</v>
      </c>
      <c r="D80" t="s">
        <v>68</v>
      </c>
      <c r="E80" t="s">
        <v>29</v>
      </c>
      <c r="F80" t="s">
        <v>52</v>
      </c>
      <c r="G80" t="s">
        <v>86</v>
      </c>
      <c r="H80" t="s">
        <v>41</v>
      </c>
      <c r="I80">
        <v>88</v>
      </c>
      <c r="J80" s="3">
        <v>359.81</v>
      </c>
      <c r="K80" s="3">
        <f>Table1[[#This Row],[Quantity]]*Table1[[#This Row],[Unit_Price]]</f>
        <v>31663.279999999999</v>
      </c>
      <c r="L80" s="3">
        <v>2594.5500000000002</v>
      </c>
      <c r="M80" s="3">
        <f>Table1[[#This Row],[Gross_Sales]]-Table1[[#This Row],[Discount]]</f>
        <v>29068.73</v>
      </c>
      <c r="N80" s="3">
        <v>22558.34</v>
      </c>
      <c r="O80" s="3">
        <v>742.15</v>
      </c>
      <c r="P80" s="3">
        <v>2016.54</v>
      </c>
      <c r="Q80" s="3">
        <v>1366.1</v>
      </c>
      <c r="R80" s="3">
        <v>643.52</v>
      </c>
      <c r="S80" s="3">
        <f>SUM(Table1[[#This Row],[Product_Cost]:[Other_Cost]])</f>
        <v>27326.65</v>
      </c>
      <c r="T80" s="3">
        <f>Table1[[#This Row],[Net_Sales]]-Table1[[#This Row],[Product_Cost]]</f>
        <v>6510.3899999999994</v>
      </c>
      <c r="U80" s="3">
        <f>Table1[[#This Row],[Net_Sales]]-Table1[[#This Row],[Total_Cost]]</f>
        <v>1742.0799999999981</v>
      </c>
      <c r="V80" s="4">
        <f>Table1[[#This Row],[Net_Profit]]/Table1[[#This Row],[Net_Sales]]</f>
        <v>5.9929690770804164E-2</v>
      </c>
      <c r="W80" t="s">
        <v>72</v>
      </c>
      <c r="X80" t="s">
        <v>34</v>
      </c>
      <c r="Y80">
        <v>1</v>
      </c>
      <c r="Z80" t="str">
        <f>IF(Table1[[#This Row],[Month_No]]&lt;=6, "H1","H2")</f>
        <v>H1</v>
      </c>
    </row>
    <row r="81" spans="1:26" x14ac:dyDescent="0.25">
      <c r="A81" s="2">
        <v>45678</v>
      </c>
      <c r="B81" t="s">
        <v>153</v>
      </c>
      <c r="C81" t="s">
        <v>117</v>
      </c>
      <c r="D81" t="s">
        <v>68</v>
      </c>
      <c r="E81" t="s">
        <v>29</v>
      </c>
      <c r="F81" t="s">
        <v>52</v>
      </c>
      <c r="G81" t="s">
        <v>40</v>
      </c>
      <c r="H81" t="s">
        <v>47</v>
      </c>
      <c r="I81">
        <v>82</v>
      </c>
      <c r="J81" s="3">
        <v>348.62</v>
      </c>
      <c r="K81" s="3">
        <f>Table1[[#This Row],[Quantity]]*Table1[[#This Row],[Unit_Price]]</f>
        <v>28586.84</v>
      </c>
      <c r="L81" s="3">
        <v>2395.71</v>
      </c>
      <c r="M81" s="3">
        <f>Table1[[#This Row],[Gross_Sales]]-Table1[[#This Row],[Discount]]</f>
        <v>26191.13</v>
      </c>
      <c r="N81" s="3">
        <v>20041.82</v>
      </c>
      <c r="O81" s="3">
        <v>672.1</v>
      </c>
      <c r="P81" s="3">
        <v>1822.49</v>
      </c>
      <c r="Q81" s="3">
        <v>1076.8900000000001</v>
      </c>
      <c r="R81" s="3">
        <v>641.47</v>
      </c>
      <c r="S81" s="3">
        <f>SUM(Table1[[#This Row],[Product_Cost]:[Other_Cost]])</f>
        <v>24254.77</v>
      </c>
      <c r="T81" s="3">
        <f>Table1[[#This Row],[Net_Sales]]-Table1[[#This Row],[Product_Cost]]</f>
        <v>6149.3100000000013</v>
      </c>
      <c r="U81" s="3">
        <f>Table1[[#This Row],[Net_Sales]]-Table1[[#This Row],[Total_Cost]]</f>
        <v>1936.3600000000006</v>
      </c>
      <c r="V81" s="4">
        <f>Table1[[#This Row],[Net_Profit]]/Table1[[#This Row],[Net_Sales]]</f>
        <v>7.3931899845482055E-2</v>
      </c>
      <c r="W81" t="s">
        <v>33</v>
      </c>
      <c r="X81" t="s">
        <v>34</v>
      </c>
      <c r="Y81">
        <v>1</v>
      </c>
      <c r="Z81" t="str">
        <f>IF(Table1[[#This Row],[Month_No]]&lt;=6, "H1","H2")</f>
        <v>H1</v>
      </c>
    </row>
    <row r="82" spans="1:26" x14ac:dyDescent="0.25">
      <c r="A82" s="2">
        <v>45678</v>
      </c>
      <c r="B82" t="s">
        <v>154</v>
      </c>
      <c r="C82" t="s">
        <v>36</v>
      </c>
      <c r="D82" t="s">
        <v>85</v>
      </c>
      <c r="E82" t="s">
        <v>57</v>
      </c>
      <c r="F82" t="s">
        <v>52</v>
      </c>
      <c r="G82" t="s">
        <v>86</v>
      </c>
      <c r="H82" t="s">
        <v>59</v>
      </c>
      <c r="I82">
        <v>64</v>
      </c>
      <c r="J82" s="3">
        <v>1871.87</v>
      </c>
      <c r="K82" s="3">
        <f>Table1[[#This Row],[Quantity]]*Table1[[#This Row],[Unit_Price]]</f>
        <v>119799.67999999999</v>
      </c>
      <c r="L82" s="3">
        <v>8711.5400000000009</v>
      </c>
      <c r="M82" s="3">
        <f>Table1[[#This Row],[Gross_Sales]]-Table1[[#This Row],[Discount]]</f>
        <v>111088.13999999998</v>
      </c>
      <c r="N82" s="3">
        <v>80114.3</v>
      </c>
      <c r="O82" s="3">
        <v>2886</v>
      </c>
      <c r="P82" s="3">
        <v>6816.71</v>
      </c>
      <c r="Q82" s="3">
        <v>6072.49</v>
      </c>
      <c r="R82" s="3">
        <v>2624.22</v>
      </c>
      <c r="S82" s="3">
        <f>SUM(Table1[[#This Row],[Product_Cost]:[Other_Cost]])</f>
        <v>98513.720000000016</v>
      </c>
      <c r="T82" s="3">
        <f>Table1[[#This Row],[Net_Sales]]-Table1[[#This Row],[Product_Cost]]</f>
        <v>30973.839999999982</v>
      </c>
      <c r="U82" s="3">
        <f>Table1[[#This Row],[Net_Sales]]-Table1[[#This Row],[Total_Cost]]</f>
        <v>12574.419999999969</v>
      </c>
      <c r="V82" s="4">
        <f>Table1[[#This Row],[Net_Profit]]/Table1[[#This Row],[Net_Sales]]</f>
        <v>0.11319318155835512</v>
      </c>
      <c r="W82" t="s">
        <v>33</v>
      </c>
      <c r="X82" t="s">
        <v>34</v>
      </c>
      <c r="Y82">
        <v>1</v>
      </c>
      <c r="Z82" t="str">
        <f>IF(Table1[[#This Row],[Month_No]]&lt;=6, "H1","H2")</f>
        <v>H1</v>
      </c>
    </row>
    <row r="83" spans="1:26" x14ac:dyDescent="0.25">
      <c r="A83" s="2">
        <v>45678</v>
      </c>
      <c r="B83" t="s">
        <v>155</v>
      </c>
      <c r="C83" t="s">
        <v>107</v>
      </c>
      <c r="D83" t="s">
        <v>68</v>
      </c>
      <c r="E83" t="s">
        <v>29</v>
      </c>
      <c r="F83" t="s">
        <v>52</v>
      </c>
      <c r="G83" t="s">
        <v>40</v>
      </c>
      <c r="H83" t="s">
        <v>41</v>
      </c>
      <c r="I83">
        <v>124</v>
      </c>
      <c r="J83" s="3">
        <v>343.89</v>
      </c>
      <c r="K83" s="3">
        <f>Table1[[#This Row],[Quantity]]*Table1[[#This Row],[Unit_Price]]</f>
        <v>42642.36</v>
      </c>
      <c r="L83" s="3">
        <v>3239.95</v>
      </c>
      <c r="M83" s="3">
        <f>Table1[[#This Row],[Gross_Sales]]-Table1[[#This Row],[Discount]]</f>
        <v>39402.410000000003</v>
      </c>
      <c r="N83" s="3">
        <v>31165.7</v>
      </c>
      <c r="O83" s="3">
        <v>1006.72</v>
      </c>
      <c r="P83" s="3">
        <v>2271.85</v>
      </c>
      <c r="Q83" s="3">
        <v>1616.22</v>
      </c>
      <c r="R83" s="3">
        <v>1080.01</v>
      </c>
      <c r="S83" s="3">
        <f>SUM(Table1[[#This Row],[Product_Cost]:[Other_Cost]])</f>
        <v>37140.500000000007</v>
      </c>
      <c r="T83" s="3">
        <f>Table1[[#This Row],[Net_Sales]]-Table1[[#This Row],[Product_Cost]]</f>
        <v>8236.7100000000028</v>
      </c>
      <c r="U83" s="3">
        <f>Table1[[#This Row],[Net_Sales]]-Table1[[#This Row],[Total_Cost]]</f>
        <v>2261.9099999999962</v>
      </c>
      <c r="V83" s="4">
        <f>Table1[[#This Row],[Net_Profit]]/Table1[[#This Row],[Net_Sales]]</f>
        <v>5.7405371904916375E-2</v>
      </c>
      <c r="W83" t="s">
        <v>33</v>
      </c>
      <c r="X83" t="s">
        <v>34</v>
      </c>
      <c r="Y83">
        <v>1</v>
      </c>
      <c r="Z83" t="str">
        <f>IF(Table1[[#This Row],[Month_No]]&lt;=6, "H1","H2")</f>
        <v>H1</v>
      </c>
    </row>
    <row r="84" spans="1:26" x14ac:dyDescent="0.25">
      <c r="A84" s="2">
        <v>45679</v>
      </c>
      <c r="B84" t="s">
        <v>156</v>
      </c>
      <c r="C84" t="s">
        <v>63</v>
      </c>
      <c r="D84" t="s">
        <v>44</v>
      </c>
      <c r="E84" t="s">
        <v>45</v>
      </c>
      <c r="F84" t="s">
        <v>52</v>
      </c>
      <c r="G84" t="s">
        <v>86</v>
      </c>
      <c r="H84" t="s">
        <v>47</v>
      </c>
      <c r="I84">
        <v>64</v>
      </c>
      <c r="J84" s="3">
        <v>4288.5200000000004</v>
      </c>
      <c r="K84" s="3">
        <f>Table1[[#This Row],[Quantity]]*Table1[[#This Row],[Unit_Price]]</f>
        <v>274465.28000000003</v>
      </c>
      <c r="L84" s="3">
        <v>18841.11</v>
      </c>
      <c r="M84" s="3">
        <f>Table1[[#This Row],[Gross_Sales]]-Table1[[#This Row],[Discount]]</f>
        <v>255624.17000000004</v>
      </c>
      <c r="N84" s="3">
        <v>183244.65</v>
      </c>
      <c r="O84" s="3">
        <v>6944.73</v>
      </c>
      <c r="P84" s="3">
        <v>16403.87</v>
      </c>
      <c r="Q84" s="3">
        <v>10601.98</v>
      </c>
      <c r="R84" s="3">
        <v>7649.38</v>
      </c>
      <c r="S84" s="3">
        <f>SUM(Table1[[#This Row],[Product_Cost]:[Other_Cost]])</f>
        <v>224844.61000000002</v>
      </c>
      <c r="T84" s="3">
        <f>Table1[[#This Row],[Net_Sales]]-Table1[[#This Row],[Product_Cost]]</f>
        <v>72379.520000000048</v>
      </c>
      <c r="U84" s="3">
        <f>Table1[[#This Row],[Net_Sales]]-Table1[[#This Row],[Total_Cost]]</f>
        <v>30779.560000000027</v>
      </c>
      <c r="V84" s="4">
        <f>Table1[[#This Row],[Net_Profit]]/Table1[[#This Row],[Net_Sales]]</f>
        <v>0.12040942763745706</v>
      </c>
      <c r="W84" t="s">
        <v>72</v>
      </c>
      <c r="X84" t="s">
        <v>34</v>
      </c>
      <c r="Y84">
        <v>1</v>
      </c>
      <c r="Z84" t="str">
        <f>IF(Table1[[#This Row],[Month_No]]&lt;=6, "H1","H2")</f>
        <v>H1</v>
      </c>
    </row>
    <row r="85" spans="1:26" x14ac:dyDescent="0.25">
      <c r="A85" s="2">
        <v>45679</v>
      </c>
      <c r="B85" t="s">
        <v>157</v>
      </c>
      <c r="C85" t="s">
        <v>55</v>
      </c>
      <c r="D85" t="s">
        <v>56</v>
      </c>
      <c r="E85" t="s">
        <v>57</v>
      </c>
      <c r="F85" t="s">
        <v>52</v>
      </c>
      <c r="G85" t="s">
        <v>31</v>
      </c>
      <c r="H85" t="s">
        <v>32</v>
      </c>
      <c r="I85">
        <v>59</v>
      </c>
      <c r="J85" s="3">
        <v>2898.18</v>
      </c>
      <c r="K85" s="3">
        <f>Table1[[#This Row],[Quantity]]*Table1[[#This Row],[Unit_Price]]</f>
        <v>170992.62</v>
      </c>
      <c r="L85" s="3">
        <v>15797.72</v>
      </c>
      <c r="M85" s="3">
        <f>Table1[[#This Row],[Gross_Sales]]-Table1[[#This Row],[Discount]]</f>
        <v>155194.9</v>
      </c>
      <c r="N85" s="3">
        <v>90857.95</v>
      </c>
      <c r="O85" s="3">
        <v>4281.1099999999997</v>
      </c>
      <c r="P85" s="3">
        <v>10280.66</v>
      </c>
      <c r="Q85" s="3">
        <v>8131.14</v>
      </c>
      <c r="R85" s="3">
        <v>4362.96</v>
      </c>
      <c r="S85" s="3">
        <f>SUM(Table1[[#This Row],[Product_Cost]:[Other_Cost]])</f>
        <v>117913.82</v>
      </c>
      <c r="T85" s="3">
        <f>Table1[[#This Row],[Net_Sales]]-Table1[[#This Row],[Product_Cost]]</f>
        <v>64336.95</v>
      </c>
      <c r="U85" s="3">
        <f>Table1[[#This Row],[Net_Sales]]-Table1[[#This Row],[Total_Cost]]</f>
        <v>37281.079999999987</v>
      </c>
      <c r="V85" s="4">
        <f>Table1[[#This Row],[Net_Profit]]/Table1[[#This Row],[Net_Sales]]</f>
        <v>0.24022103819133225</v>
      </c>
      <c r="W85" t="s">
        <v>33</v>
      </c>
      <c r="X85" t="s">
        <v>34</v>
      </c>
      <c r="Y85">
        <v>1</v>
      </c>
      <c r="Z85" t="str">
        <f>IF(Table1[[#This Row],[Month_No]]&lt;=6, "H1","H2")</f>
        <v>H1</v>
      </c>
    </row>
    <row r="86" spans="1:26" x14ac:dyDescent="0.25">
      <c r="A86" s="2">
        <v>45679</v>
      </c>
      <c r="B86" t="s">
        <v>158</v>
      </c>
      <c r="C86" t="s">
        <v>70</v>
      </c>
      <c r="D86" t="s">
        <v>56</v>
      </c>
      <c r="E86" t="s">
        <v>57</v>
      </c>
      <c r="F86" t="s">
        <v>52</v>
      </c>
      <c r="G86" t="s">
        <v>31</v>
      </c>
      <c r="H86" t="s">
        <v>41</v>
      </c>
      <c r="I86">
        <v>41</v>
      </c>
      <c r="J86" s="3">
        <v>3128.29</v>
      </c>
      <c r="K86" s="3">
        <f>Table1[[#This Row],[Quantity]]*Table1[[#This Row],[Unit_Price]]</f>
        <v>128259.89</v>
      </c>
      <c r="L86" s="3">
        <v>10696.57</v>
      </c>
      <c r="M86" s="3">
        <f>Table1[[#This Row],[Gross_Sales]]-Table1[[#This Row],[Discount]]</f>
        <v>117563.32</v>
      </c>
      <c r="N86" s="3">
        <v>68942.490000000005</v>
      </c>
      <c r="O86" s="3">
        <v>3146.42</v>
      </c>
      <c r="P86" s="3">
        <v>8428.1200000000008</v>
      </c>
      <c r="Q86" s="3">
        <v>4573.12</v>
      </c>
      <c r="R86" s="3">
        <v>3146.07</v>
      </c>
      <c r="S86" s="3">
        <f>SUM(Table1[[#This Row],[Product_Cost]:[Other_Cost]])</f>
        <v>88236.22</v>
      </c>
      <c r="T86" s="3">
        <f>Table1[[#This Row],[Net_Sales]]-Table1[[#This Row],[Product_Cost]]</f>
        <v>48620.83</v>
      </c>
      <c r="U86" s="3">
        <f>Table1[[#This Row],[Net_Sales]]-Table1[[#This Row],[Total_Cost]]</f>
        <v>29327.100000000006</v>
      </c>
      <c r="V86" s="4">
        <f>Table1[[#This Row],[Net_Profit]]/Table1[[#This Row],[Net_Sales]]</f>
        <v>0.24945790915057522</v>
      </c>
      <c r="W86" t="s">
        <v>33</v>
      </c>
      <c r="X86" t="s">
        <v>34</v>
      </c>
      <c r="Y86">
        <v>1</v>
      </c>
      <c r="Z86" t="str">
        <f>IF(Table1[[#This Row],[Month_No]]&lt;=6, "H1","H2")</f>
        <v>H1</v>
      </c>
    </row>
    <row r="87" spans="1:26" x14ac:dyDescent="0.25">
      <c r="A87" s="2">
        <v>45679</v>
      </c>
      <c r="B87" t="s">
        <v>159</v>
      </c>
      <c r="C87" t="s">
        <v>83</v>
      </c>
      <c r="D87" t="s">
        <v>68</v>
      </c>
      <c r="E87" t="s">
        <v>29</v>
      </c>
      <c r="F87" t="s">
        <v>30</v>
      </c>
      <c r="G87" t="s">
        <v>86</v>
      </c>
      <c r="H87" t="s">
        <v>41</v>
      </c>
      <c r="I87">
        <v>160</v>
      </c>
      <c r="J87" s="3">
        <v>336.29</v>
      </c>
      <c r="K87" s="3">
        <f>Table1[[#This Row],[Quantity]]*Table1[[#This Row],[Unit_Price]]</f>
        <v>53806.400000000001</v>
      </c>
      <c r="L87" s="3">
        <v>4118.5</v>
      </c>
      <c r="M87" s="3">
        <f>Table1[[#This Row],[Gross_Sales]]-Table1[[#This Row],[Discount]]</f>
        <v>49687.9</v>
      </c>
      <c r="N87" s="3">
        <v>39939.360000000001</v>
      </c>
      <c r="O87" s="3">
        <v>1814.48</v>
      </c>
      <c r="P87" s="3">
        <v>3439.55</v>
      </c>
      <c r="Q87" s="3">
        <v>1943.49</v>
      </c>
      <c r="R87" s="3">
        <v>1124.31</v>
      </c>
      <c r="S87" s="3">
        <f>SUM(Table1[[#This Row],[Product_Cost]:[Other_Cost]])</f>
        <v>48261.19</v>
      </c>
      <c r="T87" s="3">
        <f>Table1[[#This Row],[Net_Sales]]-Table1[[#This Row],[Product_Cost]]</f>
        <v>9748.5400000000009</v>
      </c>
      <c r="U87" s="3">
        <f>Table1[[#This Row],[Net_Sales]]-Table1[[#This Row],[Total_Cost]]</f>
        <v>1426.7099999999991</v>
      </c>
      <c r="V87" s="4">
        <f>Table1[[#This Row],[Net_Profit]]/Table1[[#This Row],[Net_Sales]]</f>
        <v>2.8713429225223828E-2</v>
      </c>
      <c r="W87" t="s">
        <v>33</v>
      </c>
      <c r="X87" t="s">
        <v>34</v>
      </c>
      <c r="Y87">
        <v>1</v>
      </c>
      <c r="Z87" t="str">
        <f>IF(Table1[[#This Row],[Month_No]]&lt;=6, "H1","H2")</f>
        <v>H1</v>
      </c>
    </row>
    <row r="88" spans="1:26" x14ac:dyDescent="0.25">
      <c r="A88" s="2">
        <v>45680</v>
      </c>
      <c r="B88" t="s">
        <v>160</v>
      </c>
      <c r="C88" t="s">
        <v>70</v>
      </c>
      <c r="D88" t="s">
        <v>68</v>
      </c>
      <c r="E88" t="s">
        <v>29</v>
      </c>
      <c r="F88" t="s">
        <v>52</v>
      </c>
      <c r="G88" t="s">
        <v>86</v>
      </c>
      <c r="H88" t="s">
        <v>41</v>
      </c>
      <c r="I88">
        <v>115</v>
      </c>
      <c r="J88" s="3">
        <v>336.89</v>
      </c>
      <c r="K88" s="3">
        <f>Table1[[#This Row],[Quantity]]*Table1[[#This Row],[Unit_Price]]</f>
        <v>38742.35</v>
      </c>
      <c r="L88" s="3">
        <v>2721.49</v>
      </c>
      <c r="M88" s="3">
        <f>Table1[[#This Row],[Gross_Sales]]-Table1[[#This Row],[Discount]]</f>
        <v>36020.86</v>
      </c>
      <c r="N88" s="3">
        <v>27892.18</v>
      </c>
      <c r="O88" s="3">
        <v>887.07</v>
      </c>
      <c r="P88" s="3">
        <v>2642.14</v>
      </c>
      <c r="Q88" s="3">
        <v>1354.88</v>
      </c>
      <c r="R88" s="3">
        <v>1150.83</v>
      </c>
      <c r="S88" s="3">
        <f>SUM(Table1[[#This Row],[Product_Cost]:[Other_Cost]])</f>
        <v>33927.1</v>
      </c>
      <c r="T88" s="3">
        <f>Table1[[#This Row],[Net_Sales]]-Table1[[#This Row],[Product_Cost]]</f>
        <v>8128.68</v>
      </c>
      <c r="U88" s="3">
        <f>Table1[[#This Row],[Net_Sales]]-Table1[[#This Row],[Total_Cost]]</f>
        <v>2093.760000000002</v>
      </c>
      <c r="V88" s="4">
        <f>Table1[[#This Row],[Net_Profit]]/Table1[[#This Row],[Net_Sales]]</f>
        <v>5.8126319027363642E-2</v>
      </c>
      <c r="W88" t="s">
        <v>33</v>
      </c>
      <c r="X88" t="s">
        <v>34</v>
      </c>
      <c r="Y88">
        <v>1</v>
      </c>
      <c r="Z88" t="str">
        <f>IF(Table1[[#This Row],[Month_No]]&lt;=6, "H1","H2")</f>
        <v>H1</v>
      </c>
    </row>
    <row r="89" spans="1:26" x14ac:dyDescent="0.25">
      <c r="A89" s="2">
        <v>45681</v>
      </c>
      <c r="B89" t="s">
        <v>161</v>
      </c>
      <c r="C89" t="s">
        <v>117</v>
      </c>
      <c r="D89" t="s">
        <v>37</v>
      </c>
      <c r="E89" t="s">
        <v>38</v>
      </c>
      <c r="F89" t="s">
        <v>46</v>
      </c>
      <c r="G89" t="s">
        <v>64</v>
      </c>
      <c r="H89" t="s">
        <v>41</v>
      </c>
      <c r="I89">
        <v>82</v>
      </c>
      <c r="J89" s="3">
        <v>4362.18</v>
      </c>
      <c r="K89" s="3">
        <f>Table1[[#This Row],[Quantity]]*Table1[[#This Row],[Unit_Price]]</f>
        <v>357698.76</v>
      </c>
      <c r="L89" s="3">
        <v>32641.43</v>
      </c>
      <c r="M89" s="3">
        <f>Table1[[#This Row],[Gross_Sales]]-Table1[[#This Row],[Discount]]</f>
        <v>325057.33</v>
      </c>
      <c r="N89" s="3">
        <v>244049.42</v>
      </c>
      <c r="O89" s="3">
        <v>9760.14</v>
      </c>
      <c r="P89" s="3">
        <v>21053.3</v>
      </c>
      <c r="Q89" s="3">
        <v>15447.07</v>
      </c>
      <c r="R89" s="3">
        <v>6688.69</v>
      </c>
      <c r="S89" s="3">
        <f>SUM(Table1[[#This Row],[Product_Cost]:[Other_Cost]])</f>
        <v>296998.62</v>
      </c>
      <c r="T89" s="3">
        <f>Table1[[#This Row],[Net_Sales]]-Table1[[#This Row],[Product_Cost]]</f>
        <v>81007.91</v>
      </c>
      <c r="U89" s="3">
        <f>Table1[[#This Row],[Net_Sales]]-Table1[[#This Row],[Total_Cost]]</f>
        <v>28058.710000000021</v>
      </c>
      <c r="V89" s="4">
        <f>Table1[[#This Row],[Net_Profit]]/Table1[[#This Row],[Net_Sales]]</f>
        <v>8.6319265589242425E-2</v>
      </c>
      <c r="W89" t="s">
        <v>72</v>
      </c>
      <c r="X89" t="s">
        <v>34</v>
      </c>
      <c r="Y89">
        <v>1</v>
      </c>
      <c r="Z89" t="str">
        <f>IF(Table1[[#This Row],[Month_No]]&lt;=6, "H1","H2")</f>
        <v>H1</v>
      </c>
    </row>
    <row r="90" spans="1:26" x14ac:dyDescent="0.25">
      <c r="A90" s="2">
        <v>45681</v>
      </c>
      <c r="B90" t="s">
        <v>162</v>
      </c>
      <c r="C90" t="s">
        <v>49</v>
      </c>
      <c r="D90" t="s">
        <v>56</v>
      </c>
      <c r="E90" t="s">
        <v>57</v>
      </c>
      <c r="F90" t="s">
        <v>52</v>
      </c>
      <c r="G90" t="s">
        <v>64</v>
      </c>
      <c r="H90" t="s">
        <v>41</v>
      </c>
      <c r="I90">
        <v>77</v>
      </c>
      <c r="J90" s="3">
        <v>3068.16</v>
      </c>
      <c r="K90" s="3">
        <f>Table1[[#This Row],[Quantity]]*Table1[[#This Row],[Unit_Price]]</f>
        <v>236248.31999999998</v>
      </c>
      <c r="L90" s="3">
        <v>21299.11</v>
      </c>
      <c r="M90" s="3">
        <f>Table1[[#This Row],[Gross_Sales]]-Table1[[#This Row],[Discount]]</f>
        <v>214949.20999999996</v>
      </c>
      <c r="N90" s="3">
        <v>127079.61</v>
      </c>
      <c r="O90" s="3">
        <v>5713.83</v>
      </c>
      <c r="P90" s="3">
        <v>12238.41</v>
      </c>
      <c r="Q90" s="3">
        <v>8538.5300000000007</v>
      </c>
      <c r="R90" s="3">
        <v>5610.68</v>
      </c>
      <c r="S90" s="3">
        <f>SUM(Table1[[#This Row],[Product_Cost]:[Other_Cost]])</f>
        <v>159181.06</v>
      </c>
      <c r="T90" s="3">
        <f>Table1[[#This Row],[Net_Sales]]-Table1[[#This Row],[Product_Cost]]</f>
        <v>87869.599999999962</v>
      </c>
      <c r="U90" s="3">
        <f>Table1[[#This Row],[Net_Sales]]-Table1[[#This Row],[Total_Cost]]</f>
        <v>55768.149999999965</v>
      </c>
      <c r="V90" s="4">
        <f>Table1[[#This Row],[Net_Profit]]/Table1[[#This Row],[Net_Sales]]</f>
        <v>0.25944803425888363</v>
      </c>
      <c r="W90" t="s">
        <v>33</v>
      </c>
      <c r="X90" t="s">
        <v>34</v>
      </c>
      <c r="Y90">
        <v>1</v>
      </c>
      <c r="Z90" t="str">
        <f>IF(Table1[[#This Row],[Month_No]]&lt;=6, "H1","H2")</f>
        <v>H1</v>
      </c>
    </row>
    <row r="91" spans="1:26" x14ac:dyDescent="0.25">
      <c r="A91" s="2">
        <v>45681</v>
      </c>
      <c r="B91" t="s">
        <v>163</v>
      </c>
      <c r="C91" t="s">
        <v>117</v>
      </c>
      <c r="D91" t="s">
        <v>56</v>
      </c>
      <c r="E91" t="s">
        <v>57</v>
      </c>
      <c r="F91" t="s">
        <v>52</v>
      </c>
      <c r="G91" t="s">
        <v>40</v>
      </c>
      <c r="H91" t="s">
        <v>41</v>
      </c>
      <c r="I91">
        <v>83</v>
      </c>
      <c r="J91" s="3">
        <v>3099.97</v>
      </c>
      <c r="K91" s="3">
        <f>Table1[[#This Row],[Quantity]]*Table1[[#This Row],[Unit_Price]]</f>
        <v>257297.50999999998</v>
      </c>
      <c r="L91" s="3">
        <v>22664.92</v>
      </c>
      <c r="M91" s="3">
        <f>Table1[[#This Row],[Gross_Sales]]-Table1[[#This Row],[Discount]]</f>
        <v>234632.58999999997</v>
      </c>
      <c r="N91" s="3">
        <v>133324.98000000001</v>
      </c>
      <c r="O91" s="3">
        <v>6565.33</v>
      </c>
      <c r="P91" s="3">
        <v>14331.92</v>
      </c>
      <c r="Q91" s="3">
        <v>9969.5300000000007</v>
      </c>
      <c r="R91" s="3">
        <v>6971.95</v>
      </c>
      <c r="S91" s="3">
        <f>SUM(Table1[[#This Row],[Product_Cost]:[Other_Cost]])</f>
        <v>171163.71000000002</v>
      </c>
      <c r="T91" s="3">
        <f>Table1[[#This Row],[Net_Sales]]-Table1[[#This Row],[Product_Cost]]</f>
        <v>101307.60999999996</v>
      </c>
      <c r="U91" s="3">
        <f>Table1[[#This Row],[Net_Sales]]-Table1[[#This Row],[Total_Cost]]</f>
        <v>63468.879999999946</v>
      </c>
      <c r="V91" s="4">
        <f>Table1[[#This Row],[Net_Profit]]/Table1[[#This Row],[Net_Sales]]</f>
        <v>0.27050325788075713</v>
      </c>
      <c r="W91" t="s">
        <v>72</v>
      </c>
      <c r="X91" t="s">
        <v>34</v>
      </c>
      <c r="Y91">
        <v>1</v>
      </c>
      <c r="Z91" t="str">
        <f>IF(Table1[[#This Row],[Month_No]]&lt;=6, "H1","H2")</f>
        <v>H1</v>
      </c>
    </row>
    <row r="92" spans="1:26" x14ac:dyDescent="0.25">
      <c r="A92" s="2">
        <v>45681</v>
      </c>
      <c r="B92" t="s">
        <v>164</v>
      </c>
      <c r="C92" t="s">
        <v>117</v>
      </c>
      <c r="D92" t="s">
        <v>74</v>
      </c>
      <c r="E92" t="s">
        <v>75</v>
      </c>
      <c r="F92" t="s">
        <v>30</v>
      </c>
      <c r="G92" t="s">
        <v>71</v>
      </c>
      <c r="H92" t="s">
        <v>59</v>
      </c>
      <c r="I92">
        <v>63</v>
      </c>
      <c r="J92" s="3">
        <v>5209.09</v>
      </c>
      <c r="K92" s="3">
        <f>Table1[[#This Row],[Quantity]]*Table1[[#This Row],[Unit_Price]]</f>
        <v>328172.67</v>
      </c>
      <c r="L92" s="3">
        <v>26106.34</v>
      </c>
      <c r="M92" s="3">
        <f>Table1[[#This Row],[Gross_Sales]]-Table1[[#This Row],[Discount]]</f>
        <v>302066.32999999996</v>
      </c>
      <c r="N92" s="3">
        <v>234993.49</v>
      </c>
      <c r="O92" s="3">
        <v>10454.74</v>
      </c>
      <c r="P92" s="3">
        <v>17656.04</v>
      </c>
      <c r="Q92" s="3">
        <v>10811.21</v>
      </c>
      <c r="R92" s="3">
        <v>9662.0499999999993</v>
      </c>
      <c r="S92" s="3">
        <f>SUM(Table1[[#This Row],[Product_Cost]:[Other_Cost]])</f>
        <v>283577.52999999997</v>
      </c>
      <c r="T92" s="3">
        <f>Table1[[#This Row],[Net_Sales]]-Table1[[#This Row],[Product_Cost]]</f>
        <v>67072.839999999967</v>
      </c>
      <c r="U92" s="3">
        <f>Table1[[#This Row],[Net_Sales]]-Table1[[#This Row],[Total_Cost]]</f>
        <v>18488.799999999988</v>
      </c>
      <c r="V92" s="4">
        <f>Table1[[#This Row],[Net_Profit]]/Table1[[#This Row],[Net_Sales]]</f>
        <v>6.1207748642491837E-2</v>
      </c>
      <c r="W92" t="s">
        <v>72</v>
      </c>
      <c r="X92" t="s">
        <v>34</v>
      </c>
      <c r="Y92">
        <v>1</v>
      </c>
      <c r="Z92" t="str">
        <f>IF(Table1[[#This Row],[Month_No]]&lt;=6, "H1","H2")</f>
        <v>H1</v>
      </c>
    </row>
    <row r="93" spans="1:26" x14ac:dyDescent="0.25">
      <c r="A93" s="2">
        <v>45681</v>
      </c>
      <c r="B93" t="s">
        <v>165</v>
      </c>
      <c r="C93" t="s">
        <v>117</v>
      </c>
      <c r="D93" t="s">
        <v>74</v>
      </c>
      <c r="E93" t="s">
        <v>75</v>
      </c>
      <c r="F93" t="s">
        <v>39</v>
      </c>
      <c r="G93" t="s">
        <v>71</v>
      </c>
      <c r="H93" t="s">
        <v>47</v>
      </c>
      <c r="I93">
        <v>67</v>
      </c>
      <c r="J93" s="3">
        <v>5197.1400000000003</v>
      </c>
      <c r="K93" s="3">
        <f>Table1[[#This Row],[Quantity]]*Table1[[#This Row],[Unit_Price]]</f>
        <v>348208.38</v>
      </c>
      <c r="L93" s="3">
        <v>21048</v>
      </c>
      <c r="M93" s="3">
        <f>Table1[[#This Row],[Gross_Sales]]-Table1[[#This Row],[Discount]]</f>
        <v>327160.38</v>
      </c>
      <c r="N93" s="3">
        <v>254916.01</v>
      </c>
      <c r="O93" s="3">
        <v>13737.88</v>
      </c>
      <c r="P93" s="3">
        <v>19081.18</v>
      </c>
      <c r="Q93" s="3">
        <v>11711.1</v>
      </c>
      <c r="R93" s="3">
        <v>7773.16</v>
      </c>
      <c r="S93" s="3">
        <f>SUM(Table1[[#This Row],[Product_Cost]:[Other_Cost]])</f>
        <v>307219.32999999996</v>
      </c>
      <c r="T93" s="3">
        <f>Table1[[#This Row],[Net_Sales]]-Table1[[#This Row],[Product_Cost]]</f>
        <v>72244.37</v>
      </c>
      <c r="U93" s="3">
        <f>Table1[[#This Row],[Net_Sales]]-Table1[[#This Row],[Total_Cost]]</f>
        <v>19941.050000000047</v>
      </c>
      <c r="V93" s="4">
        <f>Table1[[#This Row],[Net_Profit]]/Table1[[#This Row],[Net_Sales]]</f>
        <v>6.095190988590992E-2</v>
      </c>
      <c r="W93" t="s">
        <v>33</v>
      </c>
      <c r="X93" t="s">
        <v>34</v>
      </c>
      <c r="Y93">
        <v>1</v>
      </c>
      <c r="Z93" t="str">
        <f>IF(Table1[[#This Row],[Month_No]]&lt;=6, "H1","H2")</f>
        <v>H1</v>
      </c>
    </row>
    <row r="94" spans="1:26" x14ac:dyDescent="0.25">
      <c r="A94" s="2">
        <v>45681</v>
      </c>
      <c r="B94" t="s">
        <v>166</v>
      </c>
      <c r="C94" t="s">
        <v>49</v>
      </c>
      <c r="D94" t="s">
        <v>74</v>
      </c>
      <c r="E94" t="s">
        <v>75</v>
      </c>
      <c r="F94" t="s">
        <v>52</v>
      </c>
      <c r="G94" t="s">
        <v>31</v>
      </c>
      <c r="H94" t="s">
        <v>41</v>
      </c>
      <c r="I94">
        <v>81</v>
      </c>
      <c r="J94" s="3">
        <v>5301.48</v>
      </c>
      <c r="K94" s="3">
        <f>Table1[[#This Row],[Quantity]]*Table1[[#This Row],[Unit_Price]]</f>
        <v>429419.87999999995</v>
      </c>
      <c r="L94" s="3">
        <v>36835.050000000003</v>
      </c>
      <c r="M94" s="3">
        <f>Table1[[#This Row],[Gross_Sales]]-Table1[[#This Row],[Discount]]</f>
        <v>392584.82999999996</v>
      </c>
      <c r="N94" s="3">
        <v>287209.39</v>
      </c>
      <c r="O94" s="3">
        <v>10573.11</v>
      </c>
      <c r="P94" s="3">
        <v>26464.97</v>
      </c>
      <c r="Q94" s="3">
        <v>19998.38</v>
      </c>
      <c r="R94" s="3">
        <v>8286.02</v>
      </c>
      <c r="S94" s="3">
        <f>SUM(Table1[[#This Row],[Product_Cost]:[Other_Cost]])</f>
        <v>352531.87</v>
      </c>
      <c r="T94" s="3">
        <f>Table1[[#This Row],[Net_Sales]]-Table1[[#This Row],[Product_Cost]]</f>
        <v>105375.43999999994</v>
      </c>
      <c r="U94" s="3">
        <f>Table1[[#This Row],[Net_Sales]]-Table1[[#This Row],[Total_Cost]]</f>
        <v>40052.959999999963</v>
      </c>
      <c r="V94" s="4">
        <f>Table1[[#This Row],[Net_Profit]]/Table1[[#This Row],[Net_Sales]]</f>
        <v>0.10202370784423832</v>
      </c>
      <c r="W94" t="s">
        <v>72</v>
      </c>
      <c r="X94" t="s">
        <v>34</v>
      </c>
      <c r="Y94">
        <v>1</v>
      </c>
      <c r="Z94" t="str">
        <f>IF(Table1[[#This Row],[Month_No]]&lt;=6, "H1","H2")</f>
        <v>H1</v>
      </c>
    </row>
    <row r="95" spans="1:26" x14ac:dyDescent="0.25">
      <c r="A95" s="2">
        <v>45682</v>
      </c>
      <c r="B95" t="s">
        <v>167</v>
      </c>
      <c r="C95" t="s">
        <v>78</v>
      </c>
      <c r="D95" t="s">
        <v>44</v>
      </c>
      <c r="E95" t="s">
        <v>45</v>
      </c>
      <c r="F95" t="s">
        <v>52</v>
      </c>
      <c r="G95" t="s">
        <v>71</v>
      </c>
      <c r="H95" t="s">
        <v>32</v>
      </c>
      <c r="I95">
        <v>58</v>
      </c>
      <c r="J95" s="3">
        <v>4366.87</v>
      </c>
      <c r="K95" s="3">
        <f>Table1[[#This Row],[Quantity]]*Table1[[#This Row],[Unit_Price]]</f>
        <v>253278.46</v>
      </c>
      <c r="L95" s="3">
        <v>19889.68</v>
      </c>
      <c r="M95" s="3">
        <f>Table1[[#This Row],[Gross_Sales]]-Table1[[#This Row],[Discount]]</f>
        <v>233388.78</v>
      </c>
      <c r="N95" s="3">
        <v>167205.20000000001</v>
      </c>
      <c r="O95" s="3">
        <v>6636.23</v>
      </c>
      <c r="P95" s="3">
        <v>16152.14</v>
      </c>
      <c r="Q95" s="3">
        <v>8518.1200000000008</v>
      </c>
      <c r="R95" s="3">
        <v>4740.25</v>
      </c>
      <c r="S95" s="3">
        <f>SUM(Table1[[#This Row],[Product_Cost]:[Other_Cost]])</f>
        <v>203251.94</v>
      </c>
      <c r="T95" s="3">
        <f>Table1[[#This Row],[Net_Sales]]-Table1[[#This Row],[Product_Cost]]</f>
        <v>66183.579999999987</v>
      </c>
      <c r="U95" s="3">
        <f>Table1[[#This Row],[Net_Sales]]-Table1[[#This Row],[Total_Cost]]</f>
        <v>30136.839999999997</v>
      </c>
      <c r="V95" s="4">
        <f>Table1[[#This Row],[Net_Profit]]/Table1[[#This Row],[Net_Sales]]</f>
        <v>0.129127201401884</v>
      </c>
      <c r="W95" t="s">
        <v>33</v>
      </c>
      <c r="X95" t="s">
        <v>34</v>
      </c>
      <c r="Y95">
        <v>1</v>
      </c>
      <c r="Z95" t="str">
        <f>IF(Table1[[#This Row],[Month_No]]&lt;=6, "H1","H2")</f>
        <v>H1</v>
      </c>
    </row>
    <row r="96" spans="1:26" x14ac:dyDescent="0.25">
      <c r="A96" s="2">
        <v>45682</v>
      </c>
      <c r="B96" t="s">
        <v>168</v>
      </c>
      <c r="C96" t="s">
        <v>43</v>
      </c>
      <c r="D96" t="s">
        <v>85</v>
      </c>
      <c r="E96" t="s">
        <v>57</v>
      </c>
      <c r="F96" t="s">
        <v>52</v>
      </c>
      <c r="G96" t="s">
        <v>61</v>
      </c>
      <c r="H96" t="s">
        <v>32</v>
      </c>
      <c r="I96">
        <v>106</v>
      </c>
      <c r="J96" s="3">
        <v>1764.9</v>
      </c>
      <c r="K96" s="3">
        <f>Table1[[#This Row],[Quantity]]*Table1[[#This Row],[Unit_Price]]</f>
        <v>187079.40000000002</v>
      </c>
      <c r="L96" s="3">
        <v>18450.55</v>
      </c>
      <c r="M96" s="3">
        <f>Table1[[#This Row],[Gross_Sales]]-Table1[[#This Row],[Discount]]</f>
        <v>168628.85000000003</v>
      </c>
      <c r="N96" s="3">
        <v>115140.05</v>
      </c>
      <c r="O96" s="3">
        <v>4380.22</v>
      </c>
      <c r="P96" s="3">
        <v>10485.51</v>
      </c>
      <c r="Q96" s="3">
        <v>6831.89</v>
      </c>
      <c r="R96" s="3">
        <v>4011.91</v>
      </c>
      <c r="S96" s="3">
        <f>SUM(Table1[[#This Row],[Product_Cost]:[Other_Cost]])</f>
        <v>140849.58000000002</v>
      </c>
      <c r="T96" s="3">
        <f>Table1[[#This Row],[Net_Sales]]-Table1[[#This Row],[Product_Cost]]</f>
        <v>53488.800000000032</v>
      </c>
      <c r="U96" s="3">
        <f>Table1[[#This Row],[Net_Sales]]-Table1[[#This Row],[Total_Cost]]</f>
        <v>27779.270000000019</v>
      </c>
      <c r="V96" s="4">
        <f>Table1[[#This Row],[Net_Profit]]/Table1[[#This Row],[Net_Sales]]</f>
        <v>0.16473616465984328</v>
      </c>
      <c r="W96" t="s">
        <v>33</v>
      </c>
      <c r="X96" t="s">
        <v>34</v>
      </c>
      <c r="Y96">
        <v>1</v>
      </c>
      <c r="Z96" t="str">
        <f>IF(Table1[[#This Row],[Month_No]]&lt;=6, "H1","H2")</f>
        <v>H1</v>
      </c>
    </row>
    <row r="97" spans="1:26" x14ac:dyDescent="0.25">
      <c r="A97" s="2">
        <v>45682</v>
      </c>
      <c r="B97" t="s">
        <v>169</v>
      </c>
      <c r="C97" t="s">
        <v>63</v>
      </c>
      <c r="D97" t="s">
        <v>68</v>
      </c>
      <c r="E97" t="s">
        <v>29</v>
      </c>
      <c r="F97" t="s">
        <v>52</v>
      </c>
      <c r="G97" t="s">
        <v>76</v>
      </c>
      <c r="H97" t="s">
        <v>59</v>
      </c>
      <c r="I97">
        <v>122</v>
      </c>
      <c r="J97" s="3">
        <v>360.36</v>
      </c>
      <c r="K97" s="3">
        <f>Table1[[#This Row],[Quantity]]*Table1[[#This Row],[Unit_Price]]</f>
        <v>43963.92</v>
      </c>
      <c r="L97" s="3">
        <v>3054.5</v>
      </c>
      <c r="M97" s="3">
        <f>Table1[[#This Row],[Gross_Sales]]-Table1[[#This Row],[Discount]]</f>
        <v>40909.42</v>
      </c>
      <c r="N97" s="3">
        <v>31270.6</v>
      </c>
      <c r="O97" s="3">
        <v>1130.0899999999999</v>
      </c>
      <c r="P97" s="3">
        <v>2803.17</v>
      </c>
      <c r="Q97" s="3">
        <v>2188.73</v>
      </c>
      <c r="R97" s="3">
        <v>985.5</v>
      </c>
      <c r="S97" s="3">
        <f>SUM(Table1[[#This Row],[Product_Cost]:[Other_Cost]])</f>
        <v>38378.090000000004</v>
      </c>
      <c r="T97" s="3">
        <f>Table1[[#This Row],[Net_Sales]]-Table1[[#This Row],[Product_Cost]]</f>
        <v>9638.82</v>
      </c>
      <c r="U97" s="3">
        <f>Table1[[#This Row],[Net_Sales]]-Table1[[#This Row],[Total_Cost]]</f>
        <v>2531.3299999999945</v>
      </c>
      <c r="V97" s="4">
        <f>Table1[[#This Row],[Net_Profit]]/Table1[[#This Row],[Net_Sales]]</f>
        <v>6.1876457793828284E-2</v>
      </c>
      <c r="W97" t="s">
        <v>33</v>
      </c>
      <c r="X97" t="s">
        <v>34</v>
      </c>
      <c r="Y97">
        <v>1</v>
      </c>
      <c r="Z97" t="str">
        <f>IF(Table1[[#This Row],[Month_No]]&lt;=6, "H1","H2")</f>
        <v>H1</v>
      </c>
    </row>
    <row r="98" spans="1:26" x14ac:dyDescent="0.25">
      <c r="A98" s="2">
        <v>45682</v>
      </c>
      <c r="B98" t="s">
        <v>170</v>
      </c>
      <c r="C98" t="s">
        <v>27</v>
      </c>
      <c r="D98" t="s">
        <v>66</v>
      </c>
      <c r="E98" t="s">
        <v>51</v>
      </c>
      <c r="F98" t="s">
        <v>52</v>
      </c>
      <c r="G98" t="s">
        <v>64</v>
      </c>
      <c r="H98" t="s">
        <v>41</v>
      </c>
      <c r="I98">
        <v>58</v>
      </c>
      <c r="J98" s="3">
        <v>1467.82</v>
      </c>
      <c r="K98" s="3">
        <f>Table1[[#This Row],[Quantity]]*Table1[[#This Row],[Unit_Price]]</f>
        <v>85133.56</v>
      </c>
      <c r="L98" s="3">
        <v>6382.78</v>
      </c>
      <c r="M98" s="3">
        <f>Table1[[#This Row],[Gross_Sales]]-Table1[[#This Row],[Discount]]</f>
        <v>78750.78</v>
      </c>
      <c r="N98" s="3">
        <v>41846.97</v>
      </c>
      <c r="O98" s="3">
        <v>2179.5300000000002</v>
      </c>
      <c r="P98" s="3">
        <v>4870.3999999999996</v>
      </c>
      <c r="Q98" s="3">
        <v>4069.93</v>
      </c>
      <c r="R98" s="3">
        <v>2076.1</v>
      </c>
      <c r="S98" s="3">
        <f>SUM(Table1[[#This Row],[Product_Cost]:[Other_Cost]])</f>
        <v>55042.93</v>
      </c>
      <c r="T98" s="3">
        <f>Table1[[#This Row],[Net_Sales]]-Table1[[#This Row],[Product_Cost]]</f>
        <v>36903.81</v>
      </c>
      <c r="U98" s="3">
        <f>Table1[[#This Row],[Net_Sales]]-Table1[[#This Row],[Total_Cost]]</f>
        <v>23707.85</v>
      </c>
      <c r="V98" s="4">
        <f>Table1[[#This Row],[Net_Profit]]/Table1[[#This Row],[Net_Sales]]</f>
        <v>0.30104908167258787</v>
      </c>
      <c r="W98" t="s">
        <v>72</v>
      </c>
      <c r="X98" t="s">
        <v>34</v>
      </c>
      <c r="Y98">
        <v>1</v>
      </c>
      <c r="Z98" t="str">
        <f>IF(Table1[[#This Row],[Month_No]]&lt;=6, "H1","H2")</f>
        <v>H1</v>
      </c>
    </row>
    <row r="99" spans="1:26" x14ac:dyDescent="0.25">
      <c r="A99" s="2">
        <v>45682</v>
      </c>
      <c r="B99" t="s">
        <v>171</v>
      </c>
      <c r="C99" t="s">
        <v>117</v>
      </c>
      <c r="D99" t="s">
        <v>85</v>
      </c>
      <c r="E99" t="s">
        <v>57</v>
      </c>
      <c r="F99" t="s">
        <v>52</v>
      </c>
      <c r="G99" t="s">
        <v>58</v>
      </c>
      <c r="H99" t="s">
        <v>59</v>
      </c>
      <c r="I99">
        <v>52</v>
      </c>
      <c r="J99" s="3">
        <v>1804.46</v>
      </c>
      <c r="K99" s="3">
        <f>Table1[[#This Row],[Quantity]]*Table1[[#This Row],[Unit_Price]]</f>
        <v>93831.92</v>
      </c>
      <c r="L99" s="3">
        <v>7551.76</v>
      </c>
      <c r="M99" s="3">
        <f>Table1[[#This Row],[Gross_Sales]]-Table1[[#This Row],[Discount]]</f>
        <v>86280.16</v>
      </c>
      <c r="N99" s="3">
        <v>59786.64</v>
      </c>
      <c r="O99" s="3">
        <v>2202.11</v>
      </c>
      <c r="P99" s="3">
        <v>5082.68</v>
      </c>
      <c r="Q99" s="3">
        <v>3541.3</v>
      </c>
      <c r="R99" s="3">
        <v>2242.2199999999998</v>
      </c>
      <c r="S99" s="3">
        <f>SUM(Table1[[#This Row],[Product_Cost]:[Other_Cost]])</f>
        <v>72854.95</v>
      </c>
      <c r="T99" s="3">
        <f>Table1[[#This Row],[Net_Sales]]-Table1[[#This Row],[Product_Cost]]</f>
        <v>26493.520000000004</v>
      </c>
      <c r="U99" s="3">
        <f>Table1[[#This Row],[Net_Sales]]-Table1[[#This Row],[Total_Cost]]</f>
        <v>13425.210000000006</v>
      </c>
      <c r="V99" s="4">
        <f>Table1[[#This Row],[Net_Profit]]/Table1[[#This Row],[Net_Sales]]</f>
        <v>0.15560019823792637</v>
      </c>
      <c r="W99" t="s">
        <v>33</v>
      </c>
      <c r="X99" t="s">
        <v>34</v>
      </c>
      <c r="Y99">
        <v>1</v>
      </c>
      <c r="Z99" t="str">
        <f>IF(Table1[[#This Row],[Month_No]]&lt;=6, "H1","H2")</f>
        <v>H1</v>
      </c>
    </row>
    <row r="100" spans="1:26" x14ac:dyDescent="0.25">
      <c r="A100" s="2">
        <v>45682</v>
      </c>
      <c r="B100" t="s">
        <v>172</v>
      </c>
      <c r="C100" t="s">
        <v>117</v>
      </c>
      <c r="D100" t="s">
        <v>56</v>
      </c>
      <c r="E100" t="s">
        <v>57</v>
      </c>
      <c r="F100" t="s">
        <v>52</v>
      </c>
      <c r="G100" t="s">
        <v>86</v>
      </c>
      <c r="H100" t="s">
        <v>32</v>
      </c>
      <c r="I100">
        <v>34</v>
      </c>
      <c r="J100" s="3">
        <v>3073.84</v>
      </c>
      <c r="K100" s="3">
        <f>Table1[[#This Row],[Quantity]]*Table1[[#This Row],[Unit_Price]]</f>
        <v>104510.56</v>
      </c>
      <c r="L100" s="3">
        <v>9895.17</v>
      </c>
      <c r="M100" s="3">
        <f>Table1[[#This Row],[Gross_Sales]]-Table1[[#This Row],[Discount]]</f>
        <v>94615.39</v>
      </c>
      <c r="N100" s="3">
        <v>53104.95</v>
      </c>
      <c r="O100" s="3">
        <v>2561.4499999999998</v>
      </c>
      <c r="P100" s="3">
        <v>5758.63</v>
      </c>
      <c r="Q100" s="3">
        <v>4039.27</v>
      </c>
      <c r="R100" s="3">
        <v>2167.89</v>
      </c>
      <c r="S100" s="3">
        <f>SUM(Table1[[#This Row],[Product_Cost]:[Other_Cost]])</f>
        <v>67632.189999999988</v>
      </c>
      <c r="T100" s="3">
        <f>Table1[[#This Row],[Net_Sales]]-Table1[[#This Row],[Product_Cost]]</f>
        <v>41510.44</v>
      </c>
      <c r="U100" s="3">
        <f>Table1[[#This Row],[Net_Sales]]-Table1[[#This Row],[Total_Cost]]</f>
        <v>26983.200000000012</v>
      </c>
      <c r="V100" s="4">
        <f>Table1[[#This Row],[Net_Profit]]/Table1[[#This Row],[Net_Sales]]</f>
        <v>0.28518827645269984</v>
      </c>
      <c r="W100" t="s">
        <v>33</v>
      </c>
      <c r="X100" t="s">
        <v>34</v>
      </c>
      <c r="Y100">
        <v>1</v>
      </c>
      <c r="Z100" t="str">
        <f>IF(Table1[[#This Row],[Month_No]]&lt;=6, "H1","H2")</f>
        <v>H1</v>
      </c>
    </row>
    <row r="101" spans="1:26" x14ac:dyDescent="0.25">
      <c r="A101" s="2">
        <v>45683</v>
      </c>
      <c r="B101" t="s">
        <v>173</v>
      </c>
      <c r="C101" t="s">
        <v>49</v>
      </c>
      <c r="D101" t="s">
        <v>68</v>
      </c>
      <c r="E101" t="s">
        <v>29</v>
      </c>
      <c r="F101" t="s">
        <v>52</v>
      </c>
      <c r="G101" t="s">
        <v>71</v>
      </c>
      <c r="H101" t="s">
        <v>59</v>
      </c>
      <c r="I101">
        <v>139</v>
      </c>
      <c r="J101" s="3">
        <v>337.06</v>
      </c>
      <c r="K101" s="3">
        <f>Table1[[#This Row],[Quantity]]*Table1[[#This Row],[Unit_Price]]</f>
        <v>46851.340000000004</v>
      </c>
      <c r="L101" s="3">
        <v>3661.09</v>
      </c>
      <c r="M101" s="3">
        <f>Table1[[#This Row],[Gross_Sales]]-Table1[[#This Row],[Discount]]</f>
        <v>43190.25</v>
      </c>
      <c r="N101" s="3">
        <v>34213.480000000003</v>
      </c>
      <c r="O101" s="3">
        <v>1031.1400000000001</v>
      </c>
      <c r="P101" s="3">
        <v>2794.66</v>
      </c>
      <c r="Q101" s="3">
        <v>1594.27</v>
      </c>
      <c r="R101" s="3">
        <v>920.35</v>
      </c>
      <c r="S101" s="3">
        <f>SUM(Table1[[#This Row],[Product_Cost]:[Other_Cost]])</f>
        <v>40553.899999999994</v>
      </c>
      <c r="T101" s="3">
        <f>Table1[[#This Row],[Net_Sales]]-Table1[[#This Row],[Product_Cost]]</f>
        <v>8976.7699999999968</v>
      </c>
      <c r="U101" s="3">
        <f>Table1[[#This Row],[Net_Sales]]-Table1[[#This Row],[Total_Cost]]</f>
        <v>2636.3500000000058</v>
      </c>
      <c r="V101" s="4">
        <f>Table1[[#This Row],[Net_Profit]]/Table1[[#This Row],[Net_Sales]]</f>
        <v>6.1040396848825972E-2</v>
      </c>
      <c r="W101" t="s">
        <v>33</v>
      </c>
      <c r="X101" t="s">
        <v>34</v>
      </c>
      <c r="Y101">
        <v>1</v>
      </c>
      <c r="Z101" t="str">
        <f>IF(Table1[[#This Row],[Month_No]]&lt;=6, "H1","H2")</f>
        <v>H1</v>
      </c>
    </row>
    <row r="102" spans="1:26" x14ac:dyDescent="0.25">
      <c r="A102" s="2">
        <v>45683</v>
      </c>
      <c r="B102" t="s">
        <v>174</v>
      </c>
      <c r="C102" t="s">
        <v>117</v>
      </c>
      <c r="D102" t="s">
        <v>44</v>
      </c>
      <c r="E102" t="s">
        <v>45</v>
      </c>
      <c r="F102" t="s">
        <v>52</v>
      </c>
      <c r="G102" t="s">
        <v>64</v>
      </c>
      <c r="H102" t="s">
        <v>41</v>
      </c>
      <c r="I102">
        <v>63</v>
      </c>
      <c r="J102" s="3">
        <v>4041.8</v>
      </c>
      <c r="K102" s="3">
        <f>Table1[[#This Row],[Quantity]]*Table1[[#This Row],[Unit_Price]]</f>
        <v>254633.40000000002</v>
      </c>
      <c r="L102" s="3">
        <v>23625.85</v>
      </c>
      <c r="M102" s="3">
        <f>Table1[[#This Row],[Gross_Sales]]-Table1[[#This Row],[Discount]]</f>
        <v>231007.55000000002</v>
      </c>
      <c r="N102" s="3">
        <v>172140.13</v>
      </c>
      <c r="O102" s="3">
        <v>6402.01</v>
      </c>
      <c r="P102" s="3">
        <v>16113.16</v>
      </c>
      <c r="Q102" s="3">
        <v>12406.44</v>
      </c>
      <c r="R102" s="3">
        <v>6390.32</v>
      </c>
      <c r="S102" s="3">
        <f>SUM(Table1[[#This Row],[Product_Cost]:[Other_Cost]])</f>
        <v>213452.06000000003</v>
      </c>
      <c r="T102" s="3">
        <f>Table1[[#This Row],[Net_Sales]]-Table1[[#This Row],[Product_Cost]]</f>
        <v>58867.420000000013</v>
      </c>
      <c r="U102" s="3">
        <f>Table1[[#This Row],[Net_Sales]]-Table1[[#This Row],[Total_Cost]]</f>
        <v>17555.489999999991</v>
      </c>
      <c r="V102" s="4">
        <f>Table1[[#This Row],[Net_Profit]]/Table1[[#This Row],[Net_Sales]]</f>
        <v>7.5995308378449061E-2</v>
      </c>
      <c r="W102" t="s">
        <v>33</v>
      </c>
      <c r="X102" t="s">
        <v>34</v>
      </c>
      <c r="Y102">
        <v>1</v>
      </c>
      <c r="Z102" t="str">
        <f>IF(Table1[[#This Row],[Month_No]]&lt;=6, "H1","H2")</f>
        <v>H1</v>
      </c>
    </row>
    <row r="103" spans="1:26" x14ac:dyDescent="0.25">
      <c r="A103" s="2">
        <v>45683</v>
      </c>
      <c r="B103" t="s">
        <v>175</v>
      </c>
      <c r="C103" t="s">
        <v>36</v>
      </c>
      <c r="D103" t="s">
        <v>44</v>
      </c>
      <c r="E103" t="s">
        <v>45</v>
      </c>
      <c r="F103" t="s">
        <v>30</v>
      </c>
      <c r="G103" t="s">
        <v>40</v>
      </c>
      <c r="H103" t="s">
        <v>59</v>
      </c>
      <c r="I103">
        <v>89</v>
      </c>
      <c r="J103" s="3">
        <v>4329.13</v>
      </c>
      <c r="K103" s="3">
        <f>Table1[[#This Row],[Quantity]]*Table1[[#This Row],[Unit_Price]]</f>
        <v>385292.57</v>
      </c>
      <c r="L103" s="3">
        <v>30091.279999999999</v>
      </c>
      <c r="M103" s="3">
        <f>Table1[[#This Row],[Gross_Sales]]-Table1[[#This Row],[Discount]]</f>
        <v>355201.29000000004</v>
      </c>
      <c r="N103" s="3">
        <v>265535.11</v>
      </c>
      <c r="O103" s="3">
        <v>11899.18</v>
      </c>
      <c r="P103" s="3">
        <v>21480.05</v>
      </c>
      <c r="Q103" s="3">
        <v>17456.400000000001</v>
      </c>
      <c r="R103" s="3">
        <v>10820.8</v>
      </c>
      <c r="S103" s="3">
        <f>SUM(Table1[[#This Row],[Product_Cost]:[Other_Cost]])</f>
        <v>327191.53999999998</v>
      </c>
      <c r="T103" s="3">
        <f>Table1[[#This Row],[Net_Sales]]-Table1[[#This Row],[Product_Cost]]</f>
        <v>89666.180000000051</v>
      </c>
      <c r="U103" s="3">
        <f>Table1[[#This Row],[Net_Sales]]-Table1[[#This Row],[Total_Cost]]</f>
        <v>28009.750000000058</v>
      </c>
      <c r="V103" s="4">
        <f>Table1[[#This Row],[Net_Profit]]/Table1[[#This Row],[Net_Sales]]</f>
        <v>7.8855991767372402E-2</v>
      </c>
      <c r="W103" t="s">
        <v>33</v>
      </c>
      <c r="X103" t="s">
        <v>34</v>
      </c>
      <c r="Y103">
        <v>1</v>
      </c>
      <c r="Z103" t="str">
        <f>IF(Table1[[#This Row],[Month_No]]&lt;=6, "H1","H2")</f>
        <v>H1</v>
      </c>
    </row>
    <row r="104" spans="1:26" x14ac:dyDescent="0.25">
      <c r="A104" s="2">
        <v>45683</v>
      </c>
      <c r="B104" t="s">
        <v>176</v>
      </c>
      <c r="C104" t="s">
        <v>78</v>
      </c>
      <c r="D104" t="s">
        <v>68</v>
      </c>
      <c r="E104" t="s">
        <v>29</v>
      </c>
      <c r="F104" t="s">
        <v>46</v>
      </c>
      <c r="G104" t="s">
        <v>64</v>
      </c>
      <c r="H104" t="s">
        <v>59</v>
      </c>
      <c r="I104">
        <v>105</v>
      </c>
      <c r="J104" s="3">
        <v>353.07</v>
      </c>
      <c r="K104" s="3">
        <f>Table1[[#This Row],[Quantity]]*Table1[[#This Row],[Unit_Price]]</f>
        <v>37072.35</v>
      </c>
      <c r="L104" s="3">
        <v>2259.17</v>
      </c>
      <c r="M104" s="3">
        <f>Table1[[#This Row],[Gross_Sales]]-Table1[[#This Row],[Discount]]</f>
        <v>34813.18</v>
      </c>
      <c r="N104" s="3">
        <v>27126.59</v>
      </c>
      <c r="O104" s="3">
        <v>1133.1600000000001</v>
      </c>
      <c r="P104" s="3">
        <v>1937.77</v>
      </c>
      <c r="Q104" s="3">
        <v>1308.1400000000001</v>
      </c>
      <c r="R104" s="3">
        <v>920.05</v>
      </c>
      <c r="S104" s="3">
        <f>SUM(Table1[[#This Row],[Product_Cost]:[Other_Cost]])</f>
        <v>32425.71</v>
      </c>
      <c r="T104" s="3">
        <f>Table1[[#This Row],[Net_Sales]]-Table1[[#This Row],[Product_Cost]]</f>
        <v>7686.59</v>
      </c>
      <c r="U104" s="3">
        <f>Table1[[#This Row],[Net_Sales]]-Table1[[#This Row],[Total_Cost]]</f>
        <v>2387.4700000000012</v>
      </c>
      <c r="V104" s="4">
        <f>Table1[[#This Row],[Net_Profit]]/Table1[[#This Row],[Net_Sales]]</f>
        <v>6.8579486275025761E-2</v>
      </c>
      <c r="W104" t="s">
        <v>72</v>
      </c>
      <c r="X104" t="s">
        <v>34</v>
      </c>
      <c r="Y104">
        <v>1</v>
      </c>
      <c r="Z104" t="str">
        <f>IF(Table1[[#This Row],[Month_No]]&lt;=6, "H1","H2")</f>
        <v>H1</v>
      </c>
    </row>
    <row r="105" spans="1:26" x14ac:dyDescent="0.25">
      <c r="A105" s="2">
        <v>45684</v>
      </c>
      <c r="B105" t="s">
        <v>177</v>
      </c>
      <c r="C105" t="s">
        <v>49</v>
      </c>
      <c r="D105" t="s">
        <v>100</v>
      </c>
      <c r="E105" t="s">
        <v>75</v>
      </c>
      <c r="F105" t="s">
        <v>52</v>
      </c>
      <c r="G105" t="s">
        <v>58</v>
      </c>
      <c r="H105" t="s">
        <v>41</v>
      </c>
      <c r="I105">
        <v>91</v>
      </c>
      <c r="J105" s="3">
        <v>6401.41</v>
      </c>
      <c r="K105" s="3">
        <f>Table1[[#This Row],[Quantity]]*Table1[[#This Row],[Unit_Price]]</f>
        <v>582528.30999999994</v>
      </c>
      <c r="L105" s="3">
        <v>48100.01</v>
      </c>
      <c r="M105" s="3">
        <f>Table1[[#This Row],[Gross_Sales]]-Table1[[#This Row],[Discount]]</f>
        <v>534428.29999999993</v>
      </c>
      <c r="N105" s="3">
        <v>313960.36</v>
      </c>
      <c r="O105" s="3">
        <v>13213.73</v>
      </c>
      <c r="P105" s="3">
        <v>30893.13</v>
      </c>
      <c r="Q105" s="3">
        <v>21813.46</v>
      </c>
      <c r="R105" s="3">
        <v>10719.29</v>
      </c>
      <c r="S105" s="3">
        <f>SUM(Table1[[#This Row],[Product_Cost]:[Other_Cost]])</f>
        <v>390599.97</v>
      </c>
      <c r="T105" s="3">
        <f>Table1[[#This Row],[Net_Sales]]-Table1[[#This Row],[Product_Cost]]</f>
        <v>220467.93999999994</v>
      </c>
      <c r="U105" s="3">
        <f>Table1[[#This Row],[Net_Sales]]-Table1[[#This Row],[Total_Cost]]</f>
        <v>143828.32999999996</v>
      </c>
      <c r="V105" s="4">
        <f>Table1[[#This Row],[Net_Profit]]/Table1[[#This Row],[Net_Sales]]</f>
        <v>0.26912558709933582</v>
      </c>
      <c r="W105" t="s">
        <v>33</v>
      </c>
      <c r="X105" t="s">
        <v>34</v>
      </c>
      <c r="Y105">
        <v>1</v>
      </c>
      <c r="Z105" t="str">
        <f>IF(Table1[[#This Row],[Month_No]]&lt;=6, "H1","H2")</f>
        <v>H1</v>
      </c>
    </row>
    <row r="106" spans="1:26" x14ac:dyDescent="0.25">
      <c r="A106" s="2">
        <v>45684</v>
      </c>
      <c r="B106" t="s">
        <v>178</v>
      </c>
      <c r="C106" t="s">
        <v>70</v>
      </c>
      <c r="D106" t="s">
        <v>85</v>
      </c>
      <c r="E106" t="s">
        <v>57</v>
      </c>
      <c r="F106" t="s">
        <v>39</v>
      </c>
      <c r="G106" t="s">
        <v>76</v>
      </c>
      <c r="H106" t="s">
        <v>41</v>
      </c>
      <c r="I106">
        <v>36</v>
      </c>
      <c r="J106" s="3">
        <v>1858.14</v>
      </c>
      <c r="K106" s="3">
        <f>Table1[[#This Row],[Quantity]]*Table1[[#This Row],[Unit_Price]]</f>
        <v>66893.040000000008</v>
      </c>
      <c r="L106" s="3">
        <v>5850.55</v>
      </c>
      <c r="M106" s="3">
        <f>Table1[[#This Row],[Gross_Sales]]-Table1[[#This Row],[Discount]]</f>
        <v>61042.490000000005</v>
      </c>
      <c r="N106" s="3">
        <v>41554.639999999999</v>
      </c>
      <c r="O106" s="3">
        <v>2766.02</v>
      </c>
      <c r="P106" s="3">
        <v>4372.45</v>
      </c>
      <c r="Q106" s="3">
        <v>2286.11</v>
      </c>
      <c r="R106" s="3">
        <v>1265.81</v>
      </c>
      <c r="S106" s="3">
        <f>SUM(Table1[[#This Row],[Product_Cost]:[Other_Cost]])</f>
        <v>52245.029999999992</v>
      </c>
      <c r="T106" s="3">
        <f>Table1[[#This Row],[Net_Sales]]-Table1[[#This Row],[Product_Cost]]</f>
        <v>19487.850000000006</v>
      </c>
      <c r="U106" s="3">
        <f>Table1[[#This Row],[Net_Sales]]-Table1[[#This Row],[Total_Cost]]</f>
        <v>8797.4600000000137</v>
      </c>
      <c r="V106" s="4">
        <f>Table1[[#This Row],[Net_Profit]]/Table1[[#This Row],[Net_Sales]]</f>
        <v>0.14412026770205497</v>
      </c>
      <c r="W106" t="s">
        <v>33</v>
      </c>
      <c r="X106" t="s">
        <v>34</v>
      </c>
      <c r="Y106">
        <v>1</v>
      </c>
      <c r="Z106" t="str">
        <f>IF(Table1[[#This Row],[Month_No]]&lt;=6, "H1","H2")</f>
        <v>H1</v>
      </c>
    </row>
    <row r="107" spans="1:26" x14ac:dyDescent="0.25">
      <c r="A107" s="2">
        <v>45684</v>
      </c>
      <c r="B107" t="s">
        <v>179</v>
      </c>
      <c r="C107" t="s">
        <v>98</v>
      </c>
      <c r="D107" t="s">
        <v>50</v>
      </c>
      <c r="E107" t="s">
        <v>51</v>
      </c>
      <c r="F107" t="s">
        <v>39</v>
      </c>
      <c r="G107" t="s">
        <v>61</v>
      </c>
      <c r="H107" t="s">
        <v>47</v>
      </c>
      <c r="I107">
        <v>71</v>
      </c>
      <c r="J107" s="3">
        <v>810.74</v>
      </c>
      <c r="K107" s="3">
        <f>Table1[[#This Row],[Quantity]]*Table1[[#This Row],[Unit_Price]]</f>
        <v>57562.54</v>
      </c>
      <c r="L107" s="3">
        <v>4575.3</v>
      </c>
      <c r="M107" s="3">
        <f>Table1[[#This Row],[Gross_Sales]]-Table1[[#This Row],[Discount]]</f>
        <v>52987.24</v>
      </c>
      <c r="N107" s="3">
        <v>34335.279999999999</v>
      </c>
      <c r="O107" s="3">
        <v>2065.6</v>
      </c>
      <c r="P107" s="3">
        <v>3244.9</v>
      </c>
      <c r="Q107" s="3">
        <v>1906.85</v>
      </c>
      <c r="R107" s="3">
        <v>1554.54</v>
      </c>
      <c r="S107" s="3">
        <f>SUM(Table1[[#This Row],[Product_Cost]:[Other_Cost]])</f>
        <v>43107.17</v>
      </c>
      <c r="T107" s="3">
        <f>Table1[[#This Row],[Net_Sales]]-Table1[[#This Row],[Product_Cost]]</f>
        <v>18651.96</v>
      </c>
      <c r="U107" s="3">
        <f>Table1[[#This Row],[Net_Sales]]-Table1[[#This Row],[Total_Cost]]</f>
        <v>9880.07</v>
      </c>
      <c r="V107" s="4">
        <f>Table1[[#This Row],[Net_Profit]]/Table1[[#This Row],[Net_Sales]]</f>
        <v>0.18646130653342202</v>
      </c>
      <c r="W107" t="s">
        <v>33</v>
      </c>
      <c r="X107" t="s">
        <v>34</v>
      </c>
      <c r="Y107">
        <v>1</v>
      </c>
      <c r="Z107" t="str">
        <f>IF(Table1[[#This Row],[Month_No]]&lt;=6, "H1","H2")</f>
        <v>H1</v>
      </c>
    </row>
    <row r="108" spans="1:26" x14ac:dyDescent="0.25">
      <c r="A108" s="2">
        <v>45684</v>
      </c>
      <c r="B108" t="s">
        <v>180</v>
      </c>
      <c r="C108" t="s">
        <v>107</v>
      </c>
      <c r="D108" t="s">
        <v>68</v>
      </c>
      <c r="E108" t="s">
        <v>29</v>
      </c>
      <c r="F108" t="s">
        <v>52</v>
      </c>
      <c r="G108" t="s">
        <v>64</v>
      </c>
      <c r="H108" t="s">
        <v>32</v>
      </c>
      <c r="I108">
        <v>88</v>
      </c>
      <c r="J108" s="3">
        <v>340.74</v>
      </c>
      <c r="K108" s="3">
        <f>Table1[[#This Row],[Quantity]]*Table1[[#This Row],[Unit_Price]]</f>
        <v>29985.120000000003</v>
      </c>
      <c r="L108" s="3">
        <v>2990.76</v>
      </c>
      <c r="M108" s="3">
        <f>Table1[[#This Row],[Gross_Sales]]-Table1[[#This Row],[Discount]]</f>
        <v>26994.36</v>
      </c>
      <c r="N108" s="3">
        <v>21225.45</v>
      </c>
      <c r="O108" s="3">
        <v>631.95000000000005</v>
      </c>
      <c r="P108" s="3">
        <v>1971.94</v>
      </c>
      <c r="Q108" s="3">
        <v>1396.48</v>
      </c>
      <c r="R108" s="3">
        <v>791.38</v>
      </c>
      <c r="S108" s="3">
        <f>SUM(Table1[[#This Row],[Product_Cost]:[Other_Cost]])</f>
        <v>26017.200000000001</v>
      </c>
      <c r="T108" s="3">
        <f>Table1[[#This Row],[Net_Sales]]-Table1[[#This Row],[Product_Cost]]</f>
        <v>5768.91</v>
      </c>
      <c r="U108" s="3">
        <f>Table1[[#This Row],[Net_Sales]]-Table1[[#This Row],[Total_Cost]]</f>
        <v>977.15999999999985</v>
      </c>
      <c r="V108" s="4">
        <f>Table1[[#This Row],[Net_Profit]]/Table1[[#This Row],[Net_Sales]]</f>
        <v>3.61986726116122E-2</v>
      </c>
      <c r="W108" t="s">
        <v>33</v>
      </c>
      <c r="X108" t="s">
        <v>34</v>
      </c>
      <c r="Y108">
        <v>1</v>
      </c>
      <c r="Z108" t="str">
        <f>IF(Table1[[#This Row],[Month_No]]&lt;=6, "H1","H2")</f>
        <v>H1</v>
      </c>
    </row>
    <row r="109" spans="1:26" x14ac:dyDescent="0.25">
      <c r="A109" s="2">
        <v>45684</v>
      </c>
      <c r="B109" t="s">
        <v>181</v>
      </c>
      <c r="C109" t="s">
        <v>107</v>
      </c>
      <c r="D109" t="s">
        <v>81</v>
      </c>
      <c r="E109" t="s">
        <v>45</v>
      </c>
      <c r="F109" t="s">
        <v>46</v>
      </c>
      <c r="G109" t="s">
        <v>58</v>
      </c>
      <c r="H109" t="s">
        <v>41</v>
      </c>
      <c r="I109">
        <v>88</v>
      </c>
      <c r="J109" s="3">
        <v>6219.65</v>
      </c>
      <c r="K109" s="3">
        <f>Table1[[#This Row],[Quantity]]*Table1[[#This Row],[Unit_Price]]</f>
        <v>547329.19999999995</v>
      </c>
      <c r="L109" s="3">
        <v>38659.35</v>
      </c>
      <c r="M109" s="3">
        <f>Table1[[#This Row],[Gross_Sales]]-Table1[[#This Row],[Discount]]</f>
        <v>508669.85</v>
      </c>
      <c r="N109" s="3">
        <v>292422.31</v>
      </c>
      <c r="O109" s="3">
        <v>16212.56</v>
      </c>
      <c r="P109" s="3">
        <v>31598.799999999999</v>
      </c>
      <c r="Q109" s="3">
        <v>23771.29</v>
      </c>
      <c r="R109" s="3">
        <v>15666.26</v>
      </c>
      <c r="S109" s="3">
        <f>SUM(Table1[[#This Row],[Product_Cost]:[Other_Cost]])</f>
        <v>379671.22</v>
      </c>
      <c r="T109" s="3">
        <f>Table1[[#This Row],[Net_Sales]]-Table1[[#This Row],[Product_Cost]]</f>
        <v>216247.53999999998</v>
      </c>
      <c r="U109" s="3">
        <f>Table1[[#This Row],[Net_Sales]]-Table1[[#This Row],[Total_Cost]]</f>
        <v>128998.63</v>
      </c>
      <c r="V109" s="4">
        <f>Table1[[#This Row],[Net_Profit]]/Table1[[#This Row],[Net_Sales]]</f>
        <v>0.25359991357852252</v>
      </c>
      <c r="W109" t="s">
        <v>33</v>
      </c>
      <c r="X109" t="s">
        <v>34</v>
      </c>
      <c r="Y109">
        <v>1</v>
      </c>
      <c r="Z109" t="str">
        <f>IF(Table1[[#This Row],[Month_No]]&lt;=6, "H1","H2")</f>
        <v>H1</v>
      </c>
    </row>
    <row r="110" spans="1:26" x14ac:dyDescent="0.25">
      <c r="A110" s="2">
        <v>45684</v>
      </c>
      <c r="B110" t="s">
        <v>182</v>
      </c>
      <c r="C110" t="s">
        <v>117</v>
      </c>
      <c r="D110" t="s">
        <v>183</v>
      </c>
      <c r="E110" t="s">
        <v>38</v>
      </c>
      <c r="F110" t="s">
        <v>52</v>
      </c>
      <c r="G110" t="s">
        <v>40</v>
      </c>
      <c r="H110" t="s">
        <v>47</v>
      </c>
      <c r="I110">
        <v>27</v>
      </c>
      <c r="J110" s="3">
        <v>6485.53</v>
      </c>
      <c r="K110" s="3">
        <f>Table1[[#This Row],[Quantity]]*Table1[[#This Row],[Unit_Price]]</f>
        <v>175109.31</v>
      </c>
      <c r="L110" s="3">
        <v>12298.89</v>
      </c>
      <c r="M110" s="3">
        <f>Table1[[#This Row],[Gross_Sales]]-Table1[[#This Row],[Discount]]</f>
        <v>162810.41999999998</v>
      </c>
      <c r="N110" s="3">
        <v>99045.03</v>
      </c>
      <c r="O110" s="3">
        <v>3872.27</v>
      </c>
      <c r="P110" s="3">
        <v>11154.25</v>
      </c>
      <c r="Q110" s="3">
        <v>7983.5</v>
      </c>
      <c r="R110" s="3">
        <v>4433.08</v>
      </c>
      <c r="S110" s="3">
        <f>SUM(Table1[[#This Row],[Product_Cost]:[Other_Cost]])</f>
        <v>126488.13</v>
      </c>
      <c r="T110" s="3">
        <f>Table1[[#This Row],[Net_Sales]]-Table1[[#This Row],[Product_Cost]]</f>
        <v>63765.389999999985</v>
      </c>
      <c r="U110" s="3">
        <f>Table1[[#This Row],[Net_Sales]]-Table1[[#This Row],[Total_Cost]]</f>
        <v>36322.289999999979</v>
      </c>
      <c r="V110" s="4">
        <f>Table1[[#This Row],[Net_Profit]]/Table1[[#This Row],[Net_Sales]]</f>
        <v>0.22309561021954236</v>
      </c>
      <c r="W110" t="s">
        <v>33</v>
      </c>
      <c r="X110" t="s">
        <v>34</v>
      </c>
      <c r="Y110">
        <v>1</v>
      </c>
      <c r="Z110" t="str">
        <f>IF(Table1[[#This Row],[Month_No]]&lt;=6, "H1","H2")</f>
        <v>H1</v>
      </c>
    </row>
    <row r="111" spans="1:26" x14ac:dyDescent="0.25">
      <c r="A111" s="2">
        <v>45685</v>
      </c>
      <c r="B111" t="s">
        <v>184</v>
      </c>
      <c r="C111" t="s">
        <v>55</v>
      </c>
      <c r="D111" t="s">
        <v>68</v>
      </c>
      <c r="E111" t="s">
        <v>29</v>
      </c>
      <c r="F111" t="s">
        <v>46</v>
      </c>
      <c r="G111" t="s">
        <v>31</v>
      </c>
      <c r="H111" t="s">
        <v>47</v>
      </c>
      <c r="I111">
        <v>143</v>
      </c>
      <c r="J111" s="3">
        <v>344.59</v>
      </c>
      <c r="K111" s="3">
        <f>Table1[[#This Row],[Quantity]]*Table1[[#This Row],[Unit_Price]]</f>
        <v>49276.369999999995</v>
      </c>
      <c r="L111" s="3">
        <v>3883.58</v>
      </c>
      <c r="M111" s="3">
        <f>Table1[[#This Row],[Gross_Sales]]-Table1[[#This Row],[Discount]]</f>
        <v>45392.789999999994</v>
      </c>
      <c r="N111" s="3">
        <v>34081.99</v>
      </c>
      <c r="O111" s="3">
        <v>1404.26</v>
      </c>
      <c r="P111" s="3">
        <v>3198.46</v>
      </c>
      <c r="Q111" s="3">
        <v>1855.28</v>
      </c>
      <c r="R111" s="3">
        <v>1019.78</v>
      </c>
      <c r="S111" s="3">
        <f>SUM(Table1[[#This Row],[Product_Cost]:[Other_Cost]])</f>
        <v>41559.769999999997</v>
      </c>
      <c r="T111" s="3">
        <f>Table1[[#This Row],[Net_Sales]]-Table1[[#This Row],[Product_Cost]]</f>
        <v>11310.799999999996</v>
      </c>
      <c r="U111" s="3">
        <f>Table1[[#This Row],[Net_Sales]]-Table1[[#This Row],[Total_Cost]]</f>
        <v>3833.0199999999968</v>
      </c>
      <c r="V111" s="4">
        <f>Table1[[#This Row],[Net_Profit]]/Table1[[#This Row],[Net_Sales]]</f>
        <v>8.4441163453491119E-2</v>
      </c>
      <c r="W111" t="s">
        <v>33</v>
      </c>
      <c r="X111" t="s">
        <v>34</v>
      </c>
      <c r="Y111">
        <v>1</v>
      </c>
      <c r="Z111" t="str">
        <f>IF(Table1[[#This Row],[Month_No]]&lt;=6, "H1","H2")</f>
        <v>H1</v>
      </c>
    </row>
    <row r="112" spans="1:26" x14ac:dyDescent="0.25">
      <c r="A112" s="2">
        <v>45685</v>
      </c>
      <c r="B112" t="s">
        <v>185</v>
      </c>
      <c r="C112" t="s">
        <v>36</v>
      </c>
      <c r="D112" t="s">
        <v>81</v>
      </c>
      <c r="E112" t="s">
        <v>45</v>
      </c>
      <c r="F112" t="s">
        <v>52</v>
      </c>
      <c r="G112" t="s">
        <v>31</v>
      </c>
      <c r="H112" t="s">
        <v>41</v>
      </c>
      <c r="I112">
        <v>51</v>
      </c>
      <c r="J112" s="3">
        <v>6161.38</v>
      </c>
      <c r="K112" s="3">
        <f>Table1[[#This Row],[Quantity]]*Table1[[#This Row],[Unit_Price]]</f>
        <v>314230.38</v>
      </c>
      <c r="L112" s="3">
        <v>27728.61</v>
      </c>
      <c r="M112" s="3">
        <f>Table1[[#This Row],[Gross_Sales]]-Table1[[#This Row],[Discount]]</f>
        <v>286501.77</v>
      </c>
      <c r="N112" s="3">
        <v>170356.75</v>
      </c>
      <c r="O112" s="3">
        <v>6801.46</v>
      </c>
      <c r="P112" s="3">
        <v>18156.919999999998</v>
      </c>
      <c r="Q112" s="3">
        <v>15423.32</v>
      </c>
      <c r="R112" s="3">
        <v>5946.56</v>
      </c>
      <c r="S112" s="3">
        <f>SUM(Table1[[#This Row],[Product_Cost]:[Other_Cost]])</f>
        <v>216685.01</v>
      </c>
      <c r="T112" s="3">
        <f>Table1[[#This Row],[Net_Sales]]-Table1[[#This Row],[Product_Cost]]</f>
        <v>116145.02000000002</v>
      </c>
      <c r="U112" s="3">
        <f>Table1[[#This Row],[Net_Sales]]-Table1[[#This Row],[Total_Cost]]</f>
        <v>69816.760000000009</v>
      </c>
      <c r="V112" s="4">
        <f>Table1[[#This Row],[Net_Profit]]/Table1[[#This Row],[Net_Sales]]</f>
        <v>0.24368701107850052</v>
      </c>
      <c r="W112" t="s">
        <v>33</v>
      </c>
      <c r="X112" t="s">
        <v>34</v>
      </c>
      <c r="Y112">
        <v>1</v>
      </c>
      <c r="Z112" t="str">
        <f>IF(Table1[[#This Row],[Month_No]]&lt;=6, "H1","H2")</f>
        <v>H1</v>
      </c>
    </row>
    <row r="113" spans="1:26" x14ac:dyDescent="0.25">
      <c r="A113" s="2">
        <v>45685</v>
      </c>
      <c r="B113" t="s">
        <v>186</v>
      </c>
      <c r="C113" t="s">
        <v>98</v>
      </c>
      <c r="D113" t="s">
        <v>28</v>
      </c>
      <c r="E113" t="s">
        <v>29</v>
      </c>
      <c r="F113" t="s">
        <v>46</v>
      </c>
      <c r="G113" t="s">
        <v>86</v>
      </c>
      <c r="H113" t="s">
        <v>47</v>
      </c>
      <c r="I113">
        <v>122</v>
      </c>
      <c r="J113" s="3">
        <v>1115.18</v>
      </c>
      <c r="K113" s="3">
        <f>Table1[[#This Row],[Quantity]]*Table1[[#This Row],[Unit_Price]]</f>
        <v>136051.96000000002</v>
      </c>
      <c r="L113" s="3">
        <v>11954.32</v>
      </c>
      <c r="M113" s="3">
        <f>Table1[[#This Row],[Gross_Sales]]-Table1[[#This Row],[Discount]]</f>
        <v>124097.64000000001</v>
      </c>
      <c r="N113" s="3">
        <v>75179.61</v>
      </c>
      <c r="O113" s="3">
        <v>3661.21</v>
      </c>
      <c r="P113" s="3">
        <v>8640.15</v>
      </c>
      <c r="Q113" s="3">
        <v>4609.8900000000003</v>
      </c>
      <c r="R113" s="3">
        <v>3485.3</v>
      </c>
      <c r="S113" s="3">
        <f>SUM(Table1[[#This Row],[Product_Cost]:[Other_Cost]])</f>
        <v>95576.16</v>
      </c>
      <c r="T113" s="3">
        <f>Table1[[#This Row],[Net_Sales]]-Table1[[#This Row],[Product_Cost]]</f>
        <v>48918.030000000013</v>
      </c>
      <c r="U113" s="3">
        <f>Table1[[#This Row],[Net_Sales]]-Table1[[#This Row],[Total_Cost]]</f>
        <v>28521.48000000001</v>
      </c>
      <c r="V113" s="4">
        <f>Table1[[#This Row],[Net_Profit]]/Table1[[#This Row],[Net_Sales]]</f>
        <v>0.22983096213594398</v>
      </c>
      <c r="W113" t="s">
        <v>33</v>
      </c>
      <c r="X113" t="s">
        <v>34</v>
      </c>
      <c r="Y113">
        <v>1</v>
      </c>
      <c r="Z113" t="str">
        <f>IF(Table1[[#This Row],[Month_No]]&lt;=6, "H1","H2")</f>
        <v>H1</v>
      </c>
    </row>
    <row r="114" spans="1:26" x14ac:dyDescent="0.25">
      <c r="A114" s="2">
        <v>45685</v>
      </c>
      <c r="B114" t="s">
        <v>187</v>
      </c>
      <c r="C114" t="s">
        <v>43</v>
      </c>
      <c r="D114" t="s">
        <v>100</v>
      </c>
      <c r="E114" t="s">
        <v>75</v>
      </c>
      <c r="F114" t="s">
        <v>52</v>
      </c>
      <c r="G114" t="s">
        <v>40</v>
      </c>
      <c r="H114" t="s">
        <v>32</v>
      </c>
      <c r="I114">
        <v>31</v>
      </c>
      <c r="J114" s="3">
        <v>6561.89</v>
      </c>
      <c r="K114" s="3">
        <f>Table1[[#This Row],[Quantity]]*Table1[[#This Row],[Unit_Price]]</f>
        <v>203418.59</v>
      </c>
      <c r="L114" s="3">
        <v>16022.77</v>
      </c>
      <c r="M114" s="3">
        <f>Table1[[#This Row],[Gross_Sales]]-Table1[[#This Row],[Discount]]</f>
        <v>187395.82</v>
      </c>
      <c r="N114" s="3">
        <v>118335.08</v>
      </c>
      <c r="O114" s="3">
        <v>4695.2</v>
      </c>
      <c r="P114" s="3">
        <v>13477.55</v>
      </c>
      <c r="Q114" s="3">
        <v>8226.4599999999991</v>
      </c>
      <c r="R114" s="3">
        <v>4558.97</v>
      </c>
      <c r="S114" s="3">
        <f>SUM(Table1[[#This Row],[Product_Cost]:[Other_Cost]])</f>
        <v>149293.25999999998</v>
      </c>
      <c r="T114" s="3">
        <f>Table1[[#This Row],[Net_Sales]]-Table1[[#This Row],[Product_Cost]]</f>
        <v>69060.740000000005</v>
      </c>
      <c r="U114" s="3">
        <f>Table1[[#This Row],[Net_Sales]]-Table1[[#This Row],[Total_Cost]]</f>
        <v>38102.560000000027</v>
      </c>
      <c r="V114" s="4">
        <f>Table1[[#This Row],[Net_Profit]]/Table1[[#This Row],[Net_Sales]]</f>
        <v>0.20332662702935436</v>
      </c>
      <c r="W114" t="s">
        <v>33</v>
      </c>
      <c r="X114" t="s">
        <v>34</v>
      </c>
      <c r="Y114">
        <v>1</v>
      </c>
      <c r="Z114" t="str">
        <f>IF(Table1[[#This Row],[Month_No]]&lt;=6, "H1","H2")</f>
        <v>H1</v>
      </c>
    </row>
    <row r="115" spans="1:26" x14ac:dyDescent="0.25">
      <c r="A115" s="2">
        <v>45685</v>
      </c>
      <c r="B115" t="s">
        <v>188</v>
      </c>
      <c r="C115" t="s">
        <v>107</v>
      </c>
      <c r="D115" t="s">
        <v>50</v>
      </c>
      <c r="E115" t="s">
        <v>51</v>
      </c>
      <c r="F115" t="s">
        <v>30</v>
      </c>
      <c r="G115" t="s">
        <v>31</v>
      </c>
      <c r="H115" t="s">
        <v>41</v>
      </c>
      <c r="I115">
        <v>75</v>
      </c>
      <c r="J115" s="3">
        <v>773.51</v>
      </c>
      <c r="K115" s="3">
        <f>Table1[[#This Row],[Quantity]]*Table1[[#This Row],[Unit_Price]]</f>
        <v>58013.25</v>
      </c>
      <c r="L115" s="3">
        <v>4125.43</v>
      </c>
      <c r="M115" s="3">
        <f>Table1[[#This Row],[Gross_Sales]]-Table1[[#This Row],[Discount]]</f>
        <v>53887.82</v>
      </c>
      <c r="N115" s="3">
        <v>37430.629999999997</v>
      </c>
      <c r="O115" s="3">
        <v>1872.86</v>
      </c>
      <c r="P115" s="3">
        <v>3496.42</v>
      </c>
      <c r="Q115" s="3">
        <v>1993.37</v>
      </c>
      <c r="R115" s="3">
        <v>1467.2</v>
      </c>
      <c r="S115" s="3">
        <f>SUM(Table1[[#This Row],[Product_Cost]:[Other_Cost]])</f>
        <v>46260.479999999996</v>
      </c>
      <c r="T115" s="3">
        <f>Table1[[#This Row],[Net_Sales]]-Table1[[#This Row],[Product_Cost]]</f>
        <v>16457.190000000002</v>
      </c>
      <c r="U115" s="3">
        <f>Table1[[#This Row],[Net_Sales]]-Table1[[#This Row],[Total_Cost]]</f>
        <v>7627.3400000000038</v>
      </c>
      <c r="V115" s="4">
        <f>Table1[[#This Row],[Net_Profit]]/Table1[[#This Row],[Net_Sales]]</f>
        <v>0.14154107551576597</v>
      </c>
      <c r="W115" t="s">
        <v>33</v>
      </c>
      <c r="X115" t="s">
        <v>34</v>
      </c>
      <c r="Y115">
        <v>1</v>
      </c>
      <c r="Z115" t="str">
        <f>IF(Table1[[#This Row],[Month_No]]&lt;=6, "H1","H2")</f>
        <v>H1</v>
      </c>
    </row>
    <row r="116" spans="1:26" x14ac:dyDescent="0.25">
      <c r="A116" s="2">
        <v>45685</v>
      </c>
      <c r="B116" t="s">
        <v>189</v>
      </c>
      <c r="C116" t="s">
        <v>43</v>
      </c>
      <c r="D116" t="s">
        <v>50</v>
      </c>
      <c r="E116" t="s">
        <v>51</v>
      </c>
      <c r="F116" t="s">
        <v>52</v>
      </c>
      <c r="G116" t="s">
        <v>64</v>
      </c>
      <c r="H116" t="s">
        <v>41</v>
      </c>
      <c r="I116">
        <v>61</v>
      </c>
      <c r="J116" s="3">
        <v>839.43</v>
      </c>
      <c r="K116" s="3">
        <f>Table1[[#This Row],[Quantity]]*Table1[[#This Row],[Unit_Price]]</f>
        <v>51205.229999999996</v>
      </c>
      <c r="L116" s="3">
        <v>3654.42</v>
      </c>
      <c r="M116" s="3">
        <f>Table1[[#This Row],[Gross_Sales]]-Table1[[#This Row],[Discount]]</f>
        <v>47550.81</v>
      </c>
      <c r="N116" s="3">
        <v>32968.86</v>
      </c>
      <c r="O116" s="3">
        <v>1359.87</v>
      </c>
      <c r="P116" s="3">
        <v>2784.91</v>
      </c>
      <c r="Q116" s="3">
        <v>2349.6999999999998</v>
      </c>
      <c r="R116" s="3">
        <v>1395.78</v>
      </c>
      <c r="S116" s="3">
        <f>SUM(Table1[[#This Row],[Product_Cost]:[Other_Cost]])</f>
        <v>40859.119999999995</v>
      </c>
      <c r="T116" s="3">
        <f>Table1[[#This Row],[Net_Sales]]-Table1[[#This Row],[Product_Cost]]</f>
        <v>14581.949999999997</v>
      </c>
      <c r="U116" s="3">
        <f>Table1[[#This Row],[Net_Sales]]-Table1[[#This Row],[Total_Cost]]</f>
        <v>6691.6900000000023</v>
      </c>
      <c r="V116" s="4">
        <f>Table1[[#This Row],[Net_Profit]]/Table1[[#This Row],[Net_Sales]]</f>
        <v>0.14072715059953769</v>
      </c>
      <c r="W116" t="s">
        <v>33</v>
      </c>
      <c r="X116" t="s">
        <v>34</v>
      </c>
      <c r="Y116">
        <v>1</v>
      </c>
      <c r="Z116" t="str">
        <f>IF(Table1[[#This Row],[Month_No]]&lt;=6, "H1","H2")</f>
        <v>H1</v>
      </c>
    </row>
    <row r="117" spans="1:26" x14ac:dyDescent="0.25">
      <c r="A117" s="2">
        <v>45685</v>
      </c>
      <c r="B117" t="s">
        <v>190</v>
      </c>
      <c r="C117" t="s">
        <v>70</v>
      </c>
      <c r="D117" t="s">
        <v>37</v>
      </c>
      <c r="E117" t="s">
        <v>38</v>
      </c>
      <c r="F117" t="s">
        <v>52</v>
      </c>
      <c r="G117" t="s">
        <v>40</v>
      </c>
      <c r="H117" t="s">
        <v>32</v>
      </c>
      <c r="I117">
        <v>41</v>
      </c>
      <c r="J117" s="3">
        <v>4035.64</v>
      </c>
      <c r="K117" s="3">
        <f>Table1[[#This Row],[Quantity]]*Table1[[#This Row],[Unit_Price]]</f>
        <v>165461.24</v>
      </c>
      <c r="L117" s="3">
        <v>12490.01</v>
      </c>
      <c r="M117" s="3">
        <f>Table1[[#This Row],[Gross_Sales]]-Table1[[#This Row],[Discount]]</f>
        <v>152971.22999999998</v>
      </c>
      <c r="N117" s="3">
        <v>113627.27</v>
      </c>
      <c r="O117" s="3">
        <v>3750.07</v>
      </c>
      <c r="P117" s="3">
        <v>8499.2800000000007</v>
      </c>
      <c r="Q117" s="3">
        <v>5591.72</v>
      </c>
      <c r="R117" s="3">
        <v>3431.71</v>
      </c>
      <c r="S117" s="3">
        <f>SUM(Table1[[#This Row],[Product_Cost]:[Other_Cost]])</f>
        <v>134900.04999999999</v>
      </c>
      <c r="T117" s="3">
        <f>Table1[[#This Row],[Net_Sales]]-Table1[[#This Row],[Product_Cost]]</f>
        <v>39343.959999999977</v>
      </c>
      <c r="U117" s="3">
        <f>Table1[[#This Row],[Net_Sales]]-Table1[[#This Row],[Total_Cost]]</f>
        <v>18071.179999999993</v>
      </c>
      <c r="V117" s="4">
        <f>Table1[[#This Row],[Net_Profit]]/Table1[[#This Row],[Net_Sales]]</f>
        <v>0.11813450150070699</v>
      </c>
      <c r="W117" t="s">
        <v>33</v>
      </c>
      <c r="X117" t="s">
        <v>34</v>
      </c>
      <c r="Y117">
        <v>1</v>
      </c>
      <c r="Z117" t="str">
        <f>IF(Table1[[#This Row],[Month_No]]&lt;=6, "H1","H2")</f>
        <v>H1</v>
      </c>
    </row>
    <row r="118" spans="1:26" x14ac:dyDescent="0.25">
      <c r="A118" s="2">
        <v>45685</v>
      </c>
      <c r="B118" t="s">
        <v>191</v>
      </c>
      <c r="C118" t="s">
        <v>83</v>
      </c>
      <c r="D118" t="s">
        <v>50</v>
      </c>
      <c r="E118" t="s">
        <v>51</v>
      </c>
      <c r="F118" t="s">
        <v>52</v>
      </c>
      <c r="G118" t="s">
        <v>40</v>
      </c>
      <c r="H118" t="s">
        <v>41</v>
      </c>
      <c r="I118">
        <v>106</v>
      </c>
      <c r="J118" s="3">
        <v>789.47</v>
      </c>
      <c r="K118" s="3">
        <f>Table1[[#This Row],[Quantity]]*Table1[[#This Row],[Unit_Price]]</f>
        <v>83683.820000000007</v>
      </c>
      <c r="L118" s="3">
        <v>7650</v>
      </c>
      <c r="M118" s="3">
        <f>Table1[[#This Row],[Gross_Sales]]-Table1[[#This Row],[Discount]]</f>
        <v>76033.820000000007</v>
      </c>
      <c r="N118" s="3">
        <v>52152.37</v>
      </c>
      <c r="O118" s="3">
        <v>1958.16</v>
      </c>
      <c r="P118" s="3">
        <v>5405.39</v>
      </c>
      <c r="Q118" s="3">
        <v>3189.84</v>
      </c>
      <c r="R118" s="3">
        <v>1902.83</v>
      </c>
      <c r="S118" s="3">
        <f>SUM(Table1[[#This Row],[Product_Cost]:[Other_Cost]])</f>
        <v>64608.590000000011</v>
      </c>
      <c r="T118" s="3">
        <f>Table1[[#This Row],[Net_Sales]]-Table1[[#This Row],[Product_Cost]]</f>
        <v>23881.450000000004</v>
      </c>
      <c r="U118" s="3">
        <f>Table1[[#This Row],[Net_Sales]]-Table1[[#This Row],[Total_Cost]]</f>
        <v>11425.229999999996</v>
      </c>
      <c r="V118" s="4">
        <f>Table1[[#This Row],[Net_Profit]]/Table1[[#This Row],[Net_Sales]]</f>
        <v>0.15026510571216856</v>
      </c>
      <c r="W118" t="s">
        <v>72</v>
      </c>
      <c r="X118" t="s">
        <v>34</v>
      </c>
      <c r="Y118">
        <v>1</v>
      </c>
      <c r="Z118" t="str">
        <f>IF(Table1[[#This Row],[Month_No]]&lt;=6, "H1","H2")</f>
        <v>H1</v>
      </c>
    </row>
    <row r="119" spans="1:26" x14ac:dyDescent="0.25">
      <c r="A119" s="2">
        <v>45685</v>
      </c>
      <c r="B119" t="s">
        <v>192</v>
      </c>
      <c r="C119" t="s">
        <v>43</v>
      </c>
      <c r="D119" t="s">
        <v>74</v>
      </c>
      <c r="E119" t="s">
        <v>75</v>
      </c>
      <c r="F119" t="s">
        <v>52</v>
      </c>
      <c r="G119" t="s">
        <v>40</v>
      </c>
      <c r="H119" t="s">
        <v>47</v>
      </c>
      <c r="I119">
        <v>56</v>
      </c>
      <c r="J119" s="3">
        <v>5399.88</v>
      </c>
      <c r="K119" s="3">
        <f>Table1[[#This Row],[Quantity]]*Table1[[#This Row],[Unit_Price]]</f>
        <v>302393.28000000003</v>
      </c>
      <c r="L119" s="3">
        <v>19910.46</v>
      </c>
      <c r="M119" s="3">
        <f>Table1[[#This Row],[Gross_Sales]]-Table1[[#This Row],[Discount]]</f>
        <v>282482.82</v>
      </c>
      <c r="N119" s="3">
        <v>216353.77</v>
      </c>
      <c r="O119" s="3">
        <v>6865.65</v>
      </c>
      <c r="P119" s="3">
        <v>16916.71</v>
      </c>
      <c r="Q119" s="3">
        <v>11756.3</v>
      </c>
      <c r="R119" s="3">
        <v>6297.06</v>
      </c>
      <c r="S119" s="3">
        <f>SUM(Table1[[#This Row],[Product_Cost]:[Other_Cost]])</f>
        <v>258189.48999999996</v>
      </c>
      <c r="T119" s="3">
        <f>Table1[[#This Row],[Net_Sales]]-Table1[[#This Row],[Product_Cost]]</f>
        <v>66129.050000000017</v>
      </c>
      <c r="U119" s="3">
        <f>Table1[[#This Row],[Net_Sales]]-Table1[[#This Row],[Total_Cost]]</f>
        <v>24293.330000000045</v>
      </c>
      <c r="V119" s="4">
        <f>Table1[[#This Row],[Net_Profit]]/Table1[[#This Row],[Net_Sales]]</f>
        <v>8.5999318471827929E-2</v>
      </c>
      <c r="W119" t="s">
        <v>33</v>
      </c>
      <c r="X119" t="s">
        <v>34</v>
      </c>
      <c r="Y119">
        <v>1</v>
      </c>
      <c r="Z119" t="str">
        <f>IF(Table1[[#This Row],[Month_No]]&lt;=6, "H1","H2")</f>
        <v>H1</v>
      </c>
    </row>
    <row r="120" spans="1:26" x14ac:dyDescent="0.25">
      <c r="A120" s="2">
        <v>45686</v>
      </c>
      <c r="B120" t="s">
        <v>193</v>
      </c>
      <c r="C120" t="s">
        <v>49</v>
      </c>
      <c r="D120" t="s">
        <v>100</v>
      </c>
      <c r="E120" t="s">
        <v>75</v>
      </c>
      <c r="F120" t="s">
        <v>30</v>
      </c>
      <c r="G120" t="s">
        <v>76</v>
      </c>
      <c r="H120" t="s">
        <v>59</v>
      </c>
      <c r="I120">
        <v>54</v>
      </c>
      <c r="J120" s="3">
        <v>6531.47</v>
      </c>
      <c r="K120" s="3">
        <f>Table1[[#This Row],[Quantity]]*Table1[[#This Row],[Unit_Price]]</f>
        <v>352699.38</v>
      </c>
      <c r="L120" s="3">
        <v>23555.51</v>
      </c>
      <c r="M120" s="3">
        <f>Table1[[#This Row],[Gross_Sales]]-Table1[[#This Row],[Discount]]</f>
        <v>329143.87</v>
      </c>
      <c r="N120" s="3">
        <v>205490.86</v>
      </c>
      <c r="O120" s="3">
        <v>11766.03</v>
      </c>
      <c r="P120" s="3">
        <v>23515.82</v>
      </c>
      <c r="Q120" s="3">
        <v>16871.46</v>
      </c>
      <c r="R120" s="3">
        <v>9770.1299999999992</v>
      </c>
      <c r="S120" s="3">
        <f>SUM(Table1[[#This Row],[Product_Cost]:[Other_Cost]])</f>
        <v>267414.3</v>
      </c>
      <c r="T120" s="3">
        <f>Table1[[#This Row],[Net_Sales]]-Table1[[#This Row],[Product_Cost]]</f>
        <v>123653.01000000001</v>
      </c>
      <c r="U120" s="3">
        <f>Table1[[#This Row],[Net_Sales]]-Table1[[#This Row],[Total_Cost]]</f>
        <v>61729.570000000007</v>
      </c>
      <c r="V120" s="4">
        <f>Table1[[#This Row],[Net_Profit]]/Table1[[#This Row],[Net_Sales]]</f>
        <v>0.18754585950514591</v>
      </c>
      <c r="W120" t="s">
        <v>72</v>
      </c>
      <c r="X120" t="s">
        <v>34</v>
      </c>
      <c r="Y120">
        <v>1</v>
      </c>
      <c r="Z120" t="str">
        <f>IF(Table1[[#This Row],[Month_No]]&lt;=6, "H1","H2")</f>
        <v>H1</v>
      </c>
    </row>
    <row r="121" spans="1:26" x14ac:dyDescent="0.25">
      <c r="A121" s="2">
        <v>45686</v>
      </c>
      <c r="B121" t="s">
        <v>194</v>
      </c>
      <c r="C121" t="s">
        <v>55</v>
      </c>
      <c r="D121" t="s">
        <v>68</v>
      </c>
      <c r="E121" t="s">
        <v>29</v>
      </c>
      <c r="F121" t="s">
        <v>30</v>
      </c>
      <c r="G121" t="s">
        <v>71</v>
      </c>
      <c r="H121" t="s">
        <v>41</v>
      </c>
      <c r="I121">
        <v>148</v>
      </c>
      <c r="J121" s="3">
        <v>341.57</v>
      </c>
      <c r="K121" s="3">
        <f>Table1[[#This Row],[Quantity]]*Table1[[#This Row],[Unit_Price]]</f>
        <v>50552.36</v>
      </c>
      <c r="L121" s="3">
        <v>3699.65</v>
      </c>
      <c r="M121" s="3">
        <f>Table1[[#This Row],[Gross_Sales]]-Table1[[#This Row],[Discount]]</f>
        <v>46852.71</v>
      </c>
      <c r="N121" s="3">
        <v>37456.19</v>
      </c>
      <c r="O121" s="3">
        <v>1667.81</v>
      </c>
      <c r="P121" s="3">
        <v>3071.92</v>
      </c>
      <c r="Q121" s="3">
        <v>2173.9699999999998</v>
      </c>
      <c r="R121" s="3">
        <v>1448.47</v>
      </c>
      <c r="S121" s="3">
        <f>SUM(Table1[[#This Row],[Product_Cost]:[Other_Cost]])</f>
        <v>45818.36</v>
      </c>
      <c r="T121" s="3">
        <f>Table1[[#This Row],[Net_Sales]]-Table1[[#This Row],[Product_Cost]]</f>
        <v>9396.5199999999968</v>
      </c>
      <c r="U121" s="3">
        <f>Table1[[#This Row],[Net_Sales]]-Table1[[#This Row],[Total_Cost]]</f>
        <v>1034.3499999999985</v>
      </c>
      <c r="V121" s="4">
        <f>Table1[[#This Row],[Net_Profit]]/Table1[[#This Row],[Net_Sales]]</f>
        <v>2.2076631213007712E-2</v>
      </c>
      <c r="W121" t="s">
        <v>33</v>
      </c>
      <c r="X121" t="s">
        <v>34</v>
      </c>
      <c r="Y121">
        <v>1</v>
      </c>
      <c r="Z121" t="str">
        <f>IF(Table1[[#This Row],[Month_No]]&lt;=6, "H1","H2")</f>
        <v>H1</v>
      </c>
    </row>
    <row r="122" spans="1:26" x14ac:dyDescent="0.25">
      <c r="A122" s="2">
        <v>45686</v>
      </c>
      <c r="B122" t="s">
        <v>195</v>
      </c>
      <c r="C122" t="s">
        <v>78</v>
      </c>
      <c r="D122" t="s">
        <v>37</v>
      </c>
      <c r="E122" t="s">
        <v>38</v>
      </c>
      <c r="F122" t="s">
        <v>52</v>
      </c>
      <c r="G122" t="s">
        <v>58</v>
      </c>
      <c r="H122" t="s">
        <v>41</v>
      </c>
      <c r="I122">
        <v>75</v>
      </c>
      <c r="J122" s="3">
        <v>4079.34</v>
      </c>
      <c r="K122" s="3">
        <f>Table1[[#This Row],[Quantity]]*Table1[[#This Row],[Unit_Price]]</f>
        <v>305950.5</v>
      </c>
      <c r="L122" s="3">
        <v>25556.6</v>
      </c>
      <c r="M122" s="3">
        <f>Table1[[#This Row],[Gross_Sales]]-Table1[[#This Row],[Discount]]</f>
        <v>280393.90000000002</v>
      </c>
      <c r="N122" s="3">
        <v>197088.52</v>
      </c>
      <c r="O122" s="3">
        <v>6774.31</v>
      </c>
      <c r="P122" s="3">
        <v>18709.650000000001</v>
      </c>
      <c r="Q122" s="3">
        <v>12180.26</v>
      </c>
      <c r="R122" s="3">
        <v>6417.31</v>
      </c>
      <c r="S122" s="3">
        <f>SUM(Table1[[#This Row],[Product_Cost]:[Other_Cost]])</f>
        <v>241170.05</v>
      </c>
      <c r="T122" s="3">
        <f>Table1[[#This Row],[Net_Sales]]-Table1[[#This Row],[Product_Cost]]</f>
        <v>83305.380000000034</v>
      </c>
      <c r="U122" s="3">
        <f>Table1[[#This Row],[Net_Sales]]-Table1[[#This Row],[Total_Cost]]</f>
        <v>39223.850000000035</v>
      </c>
      <c r="V122" s="4">
        <f>Table1[[#This Row],[Net_Profit]]/Table1[[#This Row],[Net_Sales]]</f>
        <v>0.13988838558898761</v>
      </c>
      <c r="W122" t="s">
        <v>33</v>
      </c>
      <c r="X122" t="s">
        <v>34</v>
      </c>
      <c r="Y122">
        <v>1</v>
      </c>
      <c r="Z122" t="str">
        <f>IF(Table1[[#This Row],[Month_No]]&lt;=6, "H1","H2")</f>
        <v>H1</v>
      </c>
    </row>
    <row r="123" spans="1:26" x14ac:dyDescent="0.25">
      <c r="A123" s="2">
        <v>45686</v>
      </c>
      <c r="B123" t="s">
        <v>196</v>
      </c>
      <c r="C123" t="s">
        <v>70</v>
      </c>
      <c r="D123" t="s">
        <v>68</v>
      </c>
      <c r="E123" t="s">
        <v>29</v>
      </c>
      <c r="F123" t="s">
        <v>30</v>
      </c>
      <c r="G123" t="s">
        <v>64</v>
      </c>
      <c r="H123" t="s">
        <v>41</v>
      </c>
      <c r="I123">
        <v>133</v>
      </c>
      <c r="J123" s="3">
        <v>352.42</v>
      </c>
      <c r="K123" s="3">
        <f>Table1[[#This Row],[Quantity]]*Table1[[#This Row],[Unit_Price]]</f>
        <v>46871.86</v>
      </c>
      <c r="L123" s="3">
        <v>4303.45</v>
      </c>
      <c r="M123" s="3">
        <f>Table1[[#This Row],[Gross_Sales]]-Table1[[#This Row],[Discount]]</f>
        <v>42568.41</v>
      </c>
      <c r="N123" s="3">
        <v>32905.910000000003</v>
      </c>
      <c r="O123" s="3">
        <v>1454.83</v>
      </c>
      <c r="P123" s="3">
        <v>2545.2800000000002</v>
      </c>
      <c r="Q123" s="3">
        <v>2075.7199999999998</v>
      </c>
      <c r="R123" s="3">
        <v>1360.15</v>
      </c>
      <c r="S123" s="3">
        <f>SUM(Table1[[#This Row],[Product_Cost]:[Other_Cost]])</f>
        <v>40341.890000000007</v>
      </c>
      <c r="T123" s="3">
        <f>Table1[[#This Row],[Net_Sales]]-Table1[[#This Row],[Product_Cost]]</f>
        <v>9662.5</v>
      </c>
      <c r="U123" s="3">
        <f>Table1[[#This Row],[Net_Sales]]-Table1[[#This Row],[Total_Cost]]</f>
        <v>2226.5199999999968</v>
      </c>
      <c r="V123" s="4">
        <f>Table1[[#This Row],[Net_Profit]]/Table1[[#This Row],[Net_Sales]]</f>
        <v>5.2304514075108666E-2</v>
      </c>
      <c r="W123" t="s">
        <v>33</v>
      </c>
      <c r="X123" t="s">
        <v>34</v>
      </c>
      <c r="Y123">
        <v>1</v>
      </c>
      <c r="Z123" t="str">
        <f>IF(Table1[[#This Row],[Month_No]]&lt;=6, "H1","H2")</f>
        <v>H1</v>
      </c>
    </row>
    <row r="124" spans="1:26" x14ac:dyDescent="0.25">
      <c r="A124" s="2">
        <v>45686</v>
      </c>
      <c r="B124" t="s">
        <v>197</v>
      </c>
      <c r="C124" t="s">
        <v>49</v>
      </c>
      <c r="D124" t="s">
        <v>44</v>
      </c>
      <c r="E124" t="s">
        <v>45</v>
      </c>
      <c r="F124" t="s">
        <v>52</v>
      </c>
      <c r="G124" t="s">
        <v>76</v>
      </c>
      <c r="H124" t="s">
        <v>41</v>
      </c>
      <c r="I124">
        <v>84</v>
      </c>
      <c r="J124" s="3">
        <v>4251.3500000000004</v>
      </c>
      <c r="K124" s="3">
        <f>Table1[[#This Row],[Quantity]]*Table1[[#This Row],[Unit_Price]]</f>
        <v>357113.4</v>
      </c>
      <c r="L124" s="3">
        <v>24074.77</v>
      </c>
      <c r="M124" s="3">
        <f>Table1[[#This Row],[Gross_Sales]]-Table1[[#This Row],[Discount]]</f>
        <v>333038.63</v>
      </c>
      <c r="N124" s="3">
        <v>238037.76000000001</v>
      </c>
      <c r="O124" s="3">
        <v>8708.08</v>
      </c>
      <c r="P124" s="3">
        <v>19134.830000000002</v>
      </c>
      <c r="Q124" s="3">
        <v>16579.759999999998</v>
      </c>
      <c r="R124" s="3">
        <v>7396.01</v>
      </c>
      <c r="S124" s="3">
        <f>SUM(Table1[[#This Row],[Product_Cost]:[Other_Cost]])</f>
        <v>289856.44</v>
      </c>
      <c r="T124" s="3">
        <f>Table1[[#This Row],[Net_Sales]]-Table1[[#This Row],[Product_Cost]]</f>
        <v>95000.87</v>
      </c>
      <c r="U124" s="3">
        <f>Table1[[#This Row],[Net_Sales]]-Table1[[#This Row],[Total_Cost]]</f>
        <v>43182.19</v>
      </c>
      <c r="V124" s="4">
        <f>Table1[[#This Row],[Net_Profit]]/Table1[[#This Row],[Net_Sales]]</f>
        <v>0.12966120476774723</v>
      </c>
      <c r="W124" t="s">
        <v>33</v>
      </c>
      <c r="X124" t="s">
        <v>34</v>
      </c>
      <c r="Y124">
        <v>1</v>
      </c>
      <c r="Z124" t="str">
        <f>IF(Table1[[#This Row],[Month_No]]&lt;=6, "H1","H2")</f>
        <v>H1</v>
      </c>
    </row>
    <row r="125" spans="1:26" x14ac:dyDescent="0.25">
      <c r="A125" s="2">
        <v>45687</v>
      </c>
      <c r="B125" t="s">
        <v>198</v>
      </c>
      <c r="C125" t="s">
        <v>70</v>
      </c>
      <c r="D125" t="s">
        <v>37</v>
      </c>
      <c r="E125" t="s">
        <v>38</v>
      </c>
      <c r="F125" t="s">
        <v>52</v>
      </c>
      <c r="G125" t="s">
        <v>40</v>
      </c>
      <c r="H125" t="s">
        <v>47</v>
      </c>
      <c r="I125">
        <v>89</v>
      </c>
      <c r="J125" s="3">
        <v>4383.76</v>
      </c>
      <c r="K125" s="3">
        <f>Table1[[#This Row],[Quantity]]*Table1[[#This Row],[Unit_Price]]</f>
        <v>390154.64</v>
      </c>
      <c r="L125" s="3">
        <v>28606.93</v>
      </c>
      <c r="M125" s="3">
        <f>Table1[[#This Row],[Gross_Sales]]-Table1[[#This Row],[Discount]]</f>
        <v>361547.71</v>
      </c>
      <c r="N125" s="3">
        <v>263450</v>
      </c>
      <c r="O125" s="3">
        <v>8548.0400000000009</v>
      </c>
      <c r="P125" s="3">
        <v>25386.89</v>
      </c>
      <c r="Q125" s="3">
        <v>18061.05</v>
      </c>
      <c r="R125" s="3">
        <v>7305.25</v>
      </c>
      <c r="S125" s="3">
        <f>SUM(Table1[[#This Row],[Product_Cost]:[Other_Cost]])</f>
        <v>322751.23</v>
      </c>
      <c r="T125" s="3">
        <f>Table1[[#This Row],[Net_Sales]]-Table1[[#This Row],[Product_Cost]]</f>
        <v>98097.710000000021</v>
      </c>
      <c r="U125" s="3">
        <f>Table1[[#This Row],[Net_Sales]]-Table1[[#This Row],[Total_Cost]]</f>
        <v>38796.48000000004</v>
      </c>
      <c r="V125" s="4">
        <f>Table1[[#This Row],[Net_Profit]]/Table1[[#This Row],[Net_Sales]]</f>
        <v>0.10730666777007117</v>
      </c>
      <c r="W125" t="s">
        <v>33</v>
      </c>
      <c r="X125" t="s">
        <v>34</v>
      </c>
      <c r="Y125">
        <v>1</v>
      </c>
      <c r="Z125" t="str">
        <f>IF(Table1[[#This Row],[Month_No]]&lt;=6, "H1","H2")</f>
        <v>H1</v>
      </c>
    </row>
    <row r="126" spans="1:26" x14ac:dyDescent="0.25">
      <c r="A126" s="2">
        <v>45687</v>
      </c>
      <c r="B126" t="s">
        <v>199</v>
      </c>
      <c r="C126" t="s">
        <v>98</v>
      </c>
      <c r="D126" t="s">
        <v>100</v>
      </c>
      <c r="E126" t="s">
        <v>75</v>
      </c>
      <c r="F126" t="s">
        <v>52</v>
      </c>
      <c r="G126" t="s">
        <v>40</v>
      </c>
      <c r="H126" t="s">
        <v>47</v>
      </c>
      <c r="I126">
        <v>30</v>
      </c>
      <c r="J126" s="3">
        <v>6776.14</v>
      </c>
      <c r="K126" s="3">
        <f>Table1[[#This Row],[Quantity]]*Table1[[#This Row],[Unit_Price]]</f>
        <v>203284.2</v>
      </c>
      <c r="L126" s="3">
        <v>17163.77</v>
      </c>
      <c r="M126" s="3">
        <f>Table1[[#This Row],[Gross_Sales]]-Table1[[#This Row],[Discount]]</f>
        <v>186120.43000000002</v>
      </c>
      <c r="N126" s="3">
        <v>110066.78</v>
      </c>
      <c r="O126" s="3">
        <v>4630.82</v>
      </c>
      <c r="P126" s="3">
        <v>12589.28</v>
      </c>
      <c r="Q126" s="3">
        <v>9868.2999999999993</v>
      </c>
      <c r="R126" s="3">
        <v>4406.4799999999996</v>
      </c>
      <c r="S126" s="3">
        <f>SUM(Table1[[#This Row],[Product_Cost]:[Other_Cost]])</f>
        <v>141561.66</v>
      </c>
      <c r="T126" s="3">
        <f>Table1[[#This Row],[Net_Sales]]-Table1[[#This Row],[Product_Cost]]</f>
        <v>76053.650000000023</v>
      </c>
      <c r="U126" s="3">
        <f>Table1[[#This Row],[Net_Sales]]-Table1[[#This Row],[Total_Cost]]</f>
        <v>44558.770000000019</v>
      </c>
      <c r="V126" s="4">
        <f>Table1[[#This Row],[Net_Profit]]/Table1[[#This Row],[Net_Sales]]</f>
        <v>0.23940826915132321</v>
      </c>
      <c r="W126" t="s">
        <v>33</v>
      </c>
      <c r="X126" t="s">
        <v>34</v>
      </c>
      <c r="Y126">
        <v>1</v>
      </c>
      <c r="Z126" t="str">
        <f>IF(Table1[[#This Row],[Month_No]]&lt;=6, "H1","H2")</f>
        <v>H1</v>
      </c>
    </row>
    <row r="127" spans="1:26" x14ac:dyDescent="0.25">
      <c r="A127" s="2">
        <v>45687</v>
      </c>
      <c r="B127" t="s">
        <v>200</v>
      </c>
      <c r="C127" t="s">
        <v>117</v>
      </c>
      <c r="D127" t="s">
        <v>85</v>
      </c>
      <c r="E127" t="s">
        <v>57</v>
      </c>
      <c r="F127" t="s">
        <v>52</v>
      </c>
      <c r="G127" t="s">
        <v>86</v>
      </c>
      <c r="H127" t="s">
        <v>47</v>
      </c>
      <c r="I127">
        <v>72</v>
      </c>
      <c r="J127" s="3">
        <v>1769.22</v>
      </c>
      <c r="K127" s="3">
        <f>Table1[[#This Row],[Quantity]]*Table1[[#This Row],[Unit_Price]]</f>
        <v>127383.84</v>
      </c>
      <c r="L127" s="3">
        <v>8064.17</v>
      </c>
      <c r="M127" s="3">
        <f>Table1[[#This Row],[Gross_Sales]]-Table1[[#This Row],[Discount]]</f>
        <v>119319.67</v>
      </c>
      <c r="N127" s="3">
        <v>83003.03</v>
      </c>
      <c r="O127" s="3">
        <v>3301.55</v>
      </c>
      <c r="P127" s="3">
        <v>7507.09</v>
      </c>
      <c r="Q127" s="3">
        <v>5995.44</v>
      </c>
      <c r="R127" s="3">
        <v>2656.13</v>
      </c>
      <c r="S127" s="3">
        <f>SUM(Table1[[#This Row],[Product_Cost]:[Other_Cost]])</f>
        <v>102463.24</v>
      </c>
      <c r="T127" s="3">
        <f>Table1[[#This Row],[Net_Sales]]-Table1[[#This Row],[Product_Cost]]</f>
        <v>36316.639999999999</v>
      </c>
      <c r="U127" s="3">
        <f>Table1[[#This Row],[Net_Sales]]-Table1[[#This Row],[Total_Cost]]</f>
        <v>16856.429999999993</v>
      </c>
      <c r="V127" s="4">
        <f>Table1[[#This Row],[Net_Profit]]/Table1[[#This Row],[Net_Sales]]</f>
        <v>0.14127117515494297</v>
      </c>
      <c r="W127" t="s">
        <v>33</v>
      </c>
      <c r="X127" t="s">
        <v>34</v>
      </c>
      <c r="Y127">
        <v>1</v>
      </c>
      <c r="Z127" t="str">
        <f>IF(Table1[[#This Row],[Month_No]]&lt;=6, "H1","H2")</f>
        <v>H1</v>
      </c>
    </row>
    <row r="128" spans="1:26" x14ac:dyDescent="0.25">
      <c r="A128" s="2">
        <v>45687</v>
      </c>
      <c r="B128" t="s">
        <v>201</v>
      </c>
      <c r="C128" t="s">
        <v>27</v>
      </c>
      <c r="D128" t="s">
        <v>44</v>
      </c>
      <c r="E128" t="s">
        <v>45</v>
      </c>
      <c r="F128" t="s">
        <v>52</v>
      </c>
      <c r="G128" t="s">
        <v>31</v>
      </c>
      <c r="H128" t="s">
        <v>41</v>
      </c>
      <c r="I128">
        <v>69</v>
      </c>
      <c r="J128" s="3">
        <v>4196.33</v>
      </c>
      <c r="K128" s="3">
        <f>Table1[[#This Row],[Quantity]]*Table1[[#This Row],[Unit_Price]]</f>
        <v>289546.77</v>
      </c>
      <c r="L128" s="3">
        <v>23159.13</v>
      </c>
      <c r="M128" s="3">
        <f>Table1[[#This Row],[Gross_Sales]]-Table1[[#This Row],[Discount]]</f>
        <v>266387.64</v>
      </c>
      <c r="N128" s="3">
        <v>184177.91</v>
      </c>
      <c r="O128" s="3">
        <v>6669.89</v>
      </c>
      <c r="P128" s="3">
        <v>17334.810000000001</v>
      </c>
      <c r="Q128" s="3">
        <v>13980.55</v>
      </c>
      <c r="R128" s="3">
        <v>7287.46</v>
      </c>
      <c r="S128" s="3">
        <f>SUM(Table1[[#This Row],[Product_Cost]:[Other_Cost]])</f>
        <v>229450.62</v>
      </c>
      <c r="T128" s="3">
        <f>Table1[[#This Row],[Net_Sales]]-Table1[[#This Row],[Product_Cost]]</f>
        <v>82209.73000000001</v>
      </c>
      <c r="U128" s="3">
        <f>Table1[[#This Row],[Net_Sales]]-Table1[[#This Row],[Total_Cost]]</f>
        <v>36937.020000000019</v>
      </c>
      <c r="V128" s="4">
        <f>Table1[[#This Row],[Net_Profit]]/Table1[[#This Row],[Net_Sales]]</f>
        <v>0.13865891075126466</v>
      </c>
      <c r="W128" t="s">
        <v>33</v>
      </c>
      <c r="X128" t="s">
        <v>34</v>
      </c>
      <c r="Y128">
        <v>1</v>
      </c>
      <c r="Z128" t="str">
        <f>IF(Table1[[#This Row],[Month_No]]&lt;=6, "H1","H2")</f>
        <v>H1</v>
      </c>
    </row>
    <row r="129" spans="1:26" x14ac:dyDescent="0.25">
      <c r="A129" s="2">
        <v>45688</v>
      </c>
      <c r="B129" t="s">
        <v>202</v>
      </c>
      <c r="C129" t="s">
        <v>70</v>
      </c>
      <c r="D129" t="s">
        <v>44</v>
      </c>
      <c r="E129" t="s">
        <v>45</v>
      </c>
      <c r="F129" t="s">
        <v>52</v>
      </c>
      <c r="G129" t="s">
        <v>86</v>
      </c>
      <c r="H129" t="s">
        <v>32</v>
      </c>
      <c r="I129">
        <v>104</v>
      </c>
      <c r="J129" s="3">
        <v>4401.75</v>
      </c>
      <c r="K129" s="3">
        <f>Table1[[#This Row],[Quantity]]*Table1[[#This Row],[Unit_Price]]</f>
        <v>457782</v>
      </c>
      <c r="L129" s="3">
        <v>41379.980000000003</v>
      </c>
      <c r="M129" s="3">
        <f>Table1[[#This Row],[Gross_Sales]]-Table1[[#This Row],[Discount]]</f>
        <v>416402.02</v>
      </c>
      <c r="N129" s="3">
        <v>297882.14</v>
      </c>
      <c r="O129" s="3">
        <v>10308.73</v>
      </c>
      <c r="P129" s="3">
        <v>28131.49</v>
      </c>
      <c r="Q129" s="3">
        <v>16761.38</v>
      </c>
      <c r="R129" s="3">
        <v>10824.97</v>
      </c>
      <c r="S129" s="3">
        <f>SUM(Table1[[#This Row],[Product_Cost]:[Other_Cost]])</f>
        <v>363908.70999999996</v>
      </c>
      <c r="T129" s="3">
        <f>Table1[[#This Row],[Net_Sales]]-Table1[[#This Row],[Product_Cost]]</f>
        <v>118519.88</v>
      </c>
      <c r="U129" s="3">
        <f>Table1[[#This Row],[Net_Sales]]-Table1[[#This Row],[Total_Cost]]</f>
        <v>52493.310000000056</v>
      </c>
      <c r="V129" s="4">
        <f>Table1[[#This Row],[Net_Profit]]/Table1[[#This Row],[Net_Sales]]</f>
        <v>0.12606401381049989</v>
      </c>
      <c r="W129" t="s">
        <v>33</v>
      </c>
      <c r="X129" t="s">
        <v>34</v>
      </c>
      <c r="Y129">
        <v>1</v>
      </c>
      <c r="Z129" t="str">
        <f>IF(Table1[[#This Row],[Month_No]]&lt;=6, "H1","H2")</f>
        <v>H1</v>
      </c>
    </row>
    <row r="130" spans="1:26" x14ac:dyDescent="0.25">
      <c r="A130" s="2">
        <v>45688</v>
      </c>
      <c r="B130" t="s">
        <v>203</v>
      </c>
      <c r="C130" t="s">
        <v>78</v>
      </c>
      <c r="D130" t="s">
        <v>66</v>
      </c>
      <c r="E130" t="s">
        <v>51</v>
      </c>
      <c r="F130" t="s">
        <v>52</v>
      </c>
      <c r="G130" t="s">
        <v>61</v>
      </c>
      <c r="H130" t="s">
        <v>59</v>
      </c>
      <c r="I130">
        <v>53</v>
      </c>
      <c r="J130" s="3">
        <v>1460.98</v>
      </c>
      <c r="K130" s="3">
        <f>Table1[[#This Row],[Quantity]]*Table1[[#This Row],[Unit_Price]]</f>
        <v>77431.94</v>
      </c>
      <c r="L130" s="3">
        <v>4457.51</v>
      </c>
      <c r="M130" s="3">
        <f>Table1[[#This Row],[Gross_Sales]]-Table1[[#This Row],[Discount]]</f>
        <v>72974.430000000008</v>
      </c>
      <c r="N130" s="3">
        <v>40781.42</v>
      </c>
      <c r="O130" s="3">
        <v>1993.16</v>
      </c>
      <c r="P130" s="3">
        <v>4525.46</v>
      </c>
      <c r="Q130" s="3">
        <v>3981.26</v>
      </c>
      <c r="R130" s="3">
        <v>2118.56</v>
      </c>
      <c r="S130" s="3">
        <f>SUM(Table1[[#This Row],[Product_Cost]:[Other_Cost]])</f>
        <v>53399.86</v>
      </c>
      <c r="T130" s="3">
        <f>Table1[[#This Row],[Net_Sales]]-Table1[[#This Row],[Product_Cost]]</f>
        <v>32193.010000000009</v>
      </c>
      <c r="U130" s="3">
        <f>Table1[[#This Row],[Net_Sales]]-Table1[[#This Row],[Total_Cost]]</f>
        <v>19574.570000000007</v>
      </c>
      <c r="V130" s="4">
        <f>Table1[[#This Row],[Net_Profit]]/Table1[[#This Row],[Net_Sales]]</f>
        <v>0.26823875157366772</v>
      </c>
      <c r="W130" t="s">
        <v>33</v>
      </c>
      <c r="X130" t="s">
        <v>34</v>
      </c>
      <c r="Y130">
        <v>1</v>
      </c>
      <c r="Z130" t="str">
        <f>IF(Table1[[#This Row],[Month_No]]&lt;=6, "H1","H2")</f>
        <v>H1</v>
      </c>
    </row>
    <row r="131" spans="1:26" x14ac:dyDescent="0.25">
      <c r="A131" s="2">
        <v>45688</v>
      </c>
      <c r="B131" t="s">
        <v>204</v>
      </c>
      <c r="C131" t="s">
        <v>83</v>
      </c>
      <c r="D131" t="s">
        <v>28</v>
      </c>
      <c r="E131" t="s">
        <v>29</v>
      </c>
      <c r="F131" t="s">
        <v>52</v>
      </c>
      <c r="G131" t="s">
        <v>31</v>
      </c>
      <c r="H131" t="s">
        <v>41</v>
      </c>
      <c r="I131">
        <v>124</v>
      </c>
      <c r="J131" s="3">
        <v>1145.1099999999999</v>
      </c>
      <c r="K131" s="3">
        <f>Table1[[#This Row],[Quantity]]*Table1[[#This Row],[Unit_Price]]</f>
        <v>141993.63999999998</v>
      </c>
      <c r="L131" s="3">
        <v>11191.16</v>
      </c>
      <c r="M131" s="3">
        <f>Table1[[#This Row],[Gross_Sales]]-Table1[[#This Row],[Discount]]</f>
        <v>130802.47999999998</v>
      </c>
      <c r="N131" s="3">
        <v>80760.31</v>
      </c>
      <c r="O131" s="3">
        <v>3527.68</v>
      </c>
      <c r="P131" s="3">
        <v>7328.32</v>
      </c>
      <c r="Q131" s="3">
        <v>7021.04</v>
      </c>
      <c r="R131" s="3">
        <v>3015.87</v>
      </c>
      <c r="S131" s="3">
        <f>SUM(Table1[[#This Row],[Product_Cost]:[Other_Cost]])</f>
        <v>101653.21999999999</v>
      </c>
      <c r="T131" s="3">
        <f>Table1[[#This Row],[Net_Sales]]-Table1[[#This Row],[Product_Cost]]</f>
        <v>50042.169999999984</v>
      </c>
      <c r="U131" s="3">
        <f>Table1[[#This Row],[Net_Sales]]-Table1[[#This Row],[Total_Cost]]</f>
        <v>29149.259999999995</v>
      </c>
      <c r="V131" s="4">
        <f>Table1[[#This Row],[Net_Profit]]/Table1[[#This Row],[Net_Sales]]</f>
        <v>0.22284944444478422</v>
      </c>
      <c r="W131" t="s">
        <v>72</v>
      </c>
      <c r="X131" t="s">
        <v>34</v>
      </c>
      <c r="Y131">
        <v>1</v>
      </c>
      <c r="Z131" t="str">
        <f>IF(Table1[[#This Row],[Month_No]]&lt;=6, "H1","H2")</f>
        <v>H1</v>
      </c>
    </row>
    <row r="132" spans="1:26" x14ac:dyDescent="0.25">
      <c r="A132" s="2">
        <v>45688</v>
      </c>
      <c r="B132" t="s">
        <v>205</v>
      </c>
      <c r="C132" t="s">
        <v>36</v>
      </c>
      <c r="D132" t="s">
        <v>28</v>
      </c>
      <c r="E132" t="s">
        <v>29</v>
      </c>
      <c r="F132" t="s">
        <v>30</v>
      </c>
      <c r="G132" t="s">
        <v>31</v>
      </c>
      <c r="H132" t="s">
        <v>59</v>
      </c>
      <c r="I132">
        <v>86</v>
      </c>
      <c r="J132" s="3">
        <v>1058.92</v>
      </c>
      <c r="K132" s="3">
        <f>Table1[[#This Row],[Quantity]]*Table1[[#This Row],[Unit_Price]]</f>
        <v>91067.12000000001</v>
      </c>
      <c r="L132" s="3">
        <v>5375.15</v>
      </c>
      <c r="M132" s="3">
        <f>Table1[[#This Row],[Gross_Sales]]-Table1[[#This Row],[Discount]]</f>
        <v>85691.970000000016</v>
      </c>
      <c r="N132" s="3">
        <v>49911.44</v>
      </c>
      <c r="O132" s="3">
        <v>3373.59</v>
      </c>
      <c r="P132" s="3">
        <v>5257.52</v>
      </c>
      <c r="Q132" s="3">
        <v>3539.57</v>
      </c>
      <c r="R132" s="3">
        <v>2410.6999999999998</v>
      </c>
      <c r="S132" s="3">
        <f>SUM(Table1[[#This Row],[Product_Cost]:[Other_Cost]])</f>
        <v>64492.82</v>
      </c>
      <c r="T132" s="3">
        <f>Table1[[#This Row],[Net_Sales]]-Table1[[#This Row],[Product_Cost]]</f>
        <v>35780.530000000013</v>
      </c>
      <c r="U132" s="3">
        <f>Table1[[#This Row],[Net_Sales]]-Table1[[#This Row],[Total_Cost]]</f>
        <v>21199.150000000016</v>
      </c>
      <c r="V132" s="4">
        <f>Table1[[#This Row],[Net_Profit]]/Table1[[#This Row],[Net_Sales]]</f>
        <v>0.24738782408666776</v>
      </c>
      <c r="W132" t="s">
        <v>72</v>
      </c>
      <c r="X132" t="s">
        <v>34</v>
      </c>
      <c r="Y132">
        <v>1</v>
      </c>
      <c r="Z132" t="str">
        <f>IF(Table1[[#This Row],[Month_No]]&lt;=6, "H1","H2")</f>
        <v>H1</v>
      </c>
    </row>
    <row r="133" spans="1:26" x14ac:dyDescent="0.25">
      <c r="A133" s="2">
        <v>45688</v>
      </c>
      <c r="B133" t="s">
        <v>206</v>
      </c>
      <c r="C133" t="s">
        <v>43</v>
      </c>
      <c r="D133" t="s">
        <v>74</v>
      </c>
      <c r="E133" t="s">
        <v>75</v>
      </c>
      <c r="F133" t="s">
        <v>30</v>
      </c>
      <c r="G133" t="s">
        <v>71</v>
      </c>
      <c r="H133" t="s">
        <v>59</v>
      </c>
      <c r="I133">
        <v>109</v>
      </c>
      <c r="J133" s="3">
        <v>5000.3999999999996</v>
      </c>
      <c r="K133" s="3">
        <f>Table1[[#This Row],[Quantity]]*Table1[[#This Row],[Unit_Price]]</f>
        <v>545043.6</v>
      </c>
      <c r="L133" s="3">
        <v>31675.040000000001</v>
      </c>
      <c r="M133" s="3">
        <f>Table1[[#This Row],[Gross_Sales]]-Table1[[#This Row],[Discount]]</f>
        <v>513368.56</v>
      </c>
      <c r="N133" s="3">
        <v>388267.68</v>
      </c>
      <c r="O133" s="3">
        <v>17717.490000000002</v>
      </c>
      <c r="P133" s="3">
        <v>28581.66</v>
      </c>
      <c r="Q133" s="3">
        <v>18945.89</v>
      </c>
      <c r="R133" s="3">
        <v>13362.86</v>
      </c>
      <c r="S133" s="3">
        <f>SUM(Table1[[#This Row],[Product_Cost]:[Other_Cost]])</f>
        <v>466875.57999999996</v>
      </c>
      <c r="T133" s="3">
        <f>Table1[[#This Row],[Net_Sales]]-Table1[[#This Row],[Product_Cost]]</f>
        <v>125100.88</v>
      </c>
      <c r="U133" s="3">
        <f>Table1[[#This Row],[Net_Sales]]-Table1[[#This Row],[Total_Cost]]</f>
        <v>46492.98000000004</v>
      </c>
      <c r="V133" s="4">
        <f>Table1[[#This Row],[Net_Profit]]/Table1[[#This Row],[Net_Sales]]</f>
        <v>9.0564525416203981E-2</v>
      </c>
      <c r="W133" t="s">
        <v>33</v>
      </c>
      <c r="X133" t="s">
        <v>34</v>
      </c>
      <c r="Y133">
        <v>1</v>
      </c>
      <c r="Z133" t="str">
        <f>IF(Table1[[#This Row],[Month_No]]&lt;=6, "H1","H2")</f>
        <v>H1</v>
      </c>
    </row>
    <row r="134" spans="1:26" x14ac:dyDescent="0.25">
      <c r="A134" s="2">
        <v>45688</v>
      </c>
      <c r="B134" t="s">
        <v>207</v>
      </c>
      <c r="C134" t="s">
        <v>49</v>
      </c>
      <c r="D134" t="s">
        <v>50</v>
      </c>
      <c r="E134" t="s">
        <v>51</v>
      </c>
      <c r="F134" t="s">
        <v>52</v>
      </c>
      <c r="G134" t="s">
        <v>76</v>
      </c>
      <c r="H134" t="s">
        <v>41</v>
      </c>
      <c r="I134">
        <v>72</v>
      </c>
      <c r="J134" s="3">
        <v>770.15</v>
      </c>
      <c r="K134" s="3">
        <f>Table1[[#This Row],[Quantity]]*Table1[[#This Row],[Unit_Price]]</f>
        <v>55450.799999999996</v>
      </c>
      <c r="L134" s="3">
        <v>4996.38</v>
      </c>
      <c r="M134" s="3">
        <f>Table1[[#This Row],[Gross_Sales]]-Table1[[#This Row],[Discount]]</f>
        <v>50454.42</v>
      </c>
      <c r="N134" s="3">
        <v>32644.37</v>
      </c>
      <c r="O134" s="3">
        <v>1231.1600000000001</v>
      </c>
      <c r="P134" s="3">
        <v>3340.68</v>
      </c>
      <c r="Q134" s="3">
        <v>2501.88</v>
      </c>
      <c r="R134" s="3">
        <v>1512.74</v>
      </c>
      <c r="S134" s="3">
        <f>SUM(Table1[[#This Row],[Product_Cost]:[Other_Cost]])</f>
        <v>41230.829999999994</v>
      </c>
      <c r="T134" s="3">
        <f>Table1[[#This Row],[Net_Sales]]-Table1[[#This Row],[Product_Cost]]</f>
        <v>17810.05</v>
      </c>
      <c r="U134" s="3">
        <f>Table1[[#This Row],[Net_Sales]]-Table1[[#This Row],[Total_Cost]]</f>
        <v>9223.5900000000038</v>
      </c>
      <c r="V134" s="4">
        <f>Table1[[#This Row],[Net_Profit]]/Table1[[#This Row],[Net_Sales]]</f>
        <v>0.182810346447348</v>
      </c>
      <c r="W134" t="s">
        <v>33</v>
      </c>
      <c r="X134" t="s">
        <v>34</v>
      </c>
      <c r="Y134">
        <v>1</v>
      </c>
      <c r="Z134" t="str">
        <f>IF(Table1[[#This Row],[Month_No]]&lt;=6, "H1","H2")</f>
        <v>H1</v>
      </c>
    </row>
    <row r="135" spans="1:26" x14ac:dyDescent="0.25">
      <c r="A135" s="2">
        <v>45689</v>
      </c>
      <c r="B135" t="s">
        <v>208</v>
      </c>
      <c r="C135" t="s">
        <v>107</v>
      </c>
      <c r="D135" t="s">
        <v>68</v>
      </c>
      <c r="E135" t="s">
        <v>29</v>
      </c>
      <c r="F135" t="s">
        <v>52</v>
      </c>
      <c r="G135" t="s">
        <v>86</v>
      </c>
      <c r="H135" t="s">
        <v>47</v>
      </c>
      <c r="I135">
        <v>157</v>
      </c>
      <c r="J135" s="3">
        <v>372.6</v>
      </c>
      <c r="K135" s="3">
        <f>Table1[[#This Row],[Quantity]]*Table1[[#This Row],[Unit_Price]]</f>
        <v>58498.200000000004</v>
      </c>
      <c r="L135" s="3">
        <v>4230.76</v>
      </c>
      <c r="M135" s="3">
        <f>Table1[[#This Row],[Gross_Sales]]-Table1[[#This Row],[Discount]]</f>
        <v>54267.44</v>
      </c>
      <c r="N135" s="3">
        <v>42440.3</v>
      </c>
      <c r="O135" s="3">
        <v>1534.41</v>
      </c>
      <c r="P135" s="3">
        <v>3375.94</v>
      </c>
      <c r="Q135" s="3">
        <v>2584.16</v>
      </c>
      <c r="R135" s="3">
        <v>1494.82</v>
      </c>
      <c r="S135" s="3">
        <f>SUM(Table1[[#This Row],[Product_Cost]:[Other_Cost]])</f>
        <v>51429.630000000012</v>
      </c>
      <c r="T135" s="3">
        <f>Table1[[#This Row],[Net_Sales]]-Table1[[#This Row],[Product_Cost]]</f>
        <v>11827.14</v>
      </c>
      <c r="U135" s="3">
        <f>Table1[[#This Row],[Net_Sales]]-Table1[[#This Row],[Total_Cost]]</f>
        <v>2837.8099999999904</v>
      </c>
      <c r="V135" s="4">
        <f>Table1[[#This Row],[Net_Profit]]/Table1[[#This Row],[Net_Sales]]</f>
        <v>5.2293050860700088E-2</v>
      </c>
      <c r="W135" t="s">
        <v>72</v>
      </c>
      <c r="X135" t="s">
        <v>209</v>
      </c>
      <c r="Y135">
        <v>2</v>
      </c>
      <c r="Z135" t="str">
        <f>IF(Table1[[#This Row],[Month_No]]&lt;=6, "H1","H2")</f>
        <v>H1</v>
      </c>
    </row>
    <row r="136" spans="1:26" x14ac:dyDescent="0.25">
      <c r="A136" s="2">
        <v>45689</v>
      </c>
      <c r="B136" t="s">
        <v>210</v>
      </c>
      <c r="C136" t="s">
        <v>36</v>
      </c>
      <c r="D136" t="s">
        <v>74</v>
      </c>
      <c r="E136" t="s">
        <v>75</v>
      </c>
      <c r="F136" t="s">
        <v>39</v>
      </c>
      <c r="G136" t="s">
        <v>58</v>
      </c>
      <c r="H136" t="s">
        <v>59</v>
      </c>
      <c r="I136">
        <v>42</v>
      </c>
      <c r="J136" s="3">
        <v>5303.37</v>
      </c>
      <c r="K136" s="3">
        <f>Table1[[#This Row],[Quantity]]*Table1[[#This Row],[Unit_Price]]</f>
        <v>222741.54</v>
      </c>
      <c r="L136" s="3">
        <v>15940.06</v>
      </c>
      <c r="M136" s="3">
        <f>Table1[[#This Row],[Gross_Sales]]-Table1[[#This Row],[Discount]]</f>
        <v>206801.48</v>
      </c>
      <c r="N136" s="3">
        <v>155273.43</v>
      </c>
      <c r="O136" s="3">
        <v>9406.31</v>
      </c>
      <c r="P136" s="3">
        <v>15472.27</v>
      </c>
      <c r="Q136" s="3">
        <v>9726</v>
      </c>
      <c r="R136" s="3">
        <v>4893.49</v>
      </c>
      <c r="S136" s="3">
        <f>SUM(Table1[[#This Row],[Product_Cost]:[Other_Cost]])</f>
        <v>194771.49999999997</v>
      </c>
      <c r="T136" s="3">
        <f>Table1[[#This Row],[Net_Sales]]-Table1[[#This Row],[Product_Cost]]</f>
        <v>51528.050000000017</v>
      </c>
      <c r="U136" s="3">
        <f>Table1[[#This Row],[Net_Sales]]-Table1[[#This Row],[Total_Cost]]</f>
        <v>12029.98000000004</v>
      </c>
      <c r="V136" s="4">
        <f>Table1[[#This Row],[Net_Profit]]/Table1[[#This Row],[Net_Sales]]</f>
        <v>5.8171633974766712E-2</v>
      </c>
      <c r="W136" t="s">
        <v>33</v>
      </c>
      <c r="X136" t="s">
        <v>209</v>
      </c>
      <c r="Y136">
        <v>2</v>
      </c>
      <c r="Z136" t="str">
        <f>IF(Table1[[#This Row],[Month_No]]&lt;=6, "H1","H2")</f>
        <v>H1</v>
      </c>
    </row>
    <row r="137" spans="1:26" x14ac:dyDescent="0.25">
      <c r="A137" s="2">
        <v>45690</v>
      </c>
      <c r="B137" t="s">
        <v>211</v>
      </c>
      <c r="C137" t="s">
        <v>70</v>
      </c>
      <c r="D137" t="s">
        <v>74</v>
      </c>
      <c r="E137" t="s">
        <v>75</v>
      </c>
      <c r="F137" t="s">
        <v>52</v>
      </c>
      <c r="G137" t="s">
        <v>61</v>
      </c>
      <c r="H137" t="s">
        <v>47</v>
      </c>
      <c r="I137">
        <v>66</v>
      </c>
      <c r="J137" s="3">
        <v>5296.82</v>
      </c>
      <c r="K137" s="3">
        <f>Table1[[#This Row],[Quantity]]*Table1[[#This Row],[Unit_Price]]</f>
        <v>349590.12</v>
      </c>
      <c r="L137" s="3">
        <v>30427.33</v>
      </c>
      <c r="M137" s="3">
        <f>Table1[[#This Row],[Gross_Sales]]-Table1[[#This Row],[Discount]]</f>
        <v>319162.78999999998</v>
      </c>
      <c r="N137" s="3">
        <v>235390.99</v>
      </c>
      <c r="O137" s="3">
        <v>7848.21</v>
      </c>
      <c r="P137" s="3">
        <v>21008.39</v>
      </c>
      <c r="Q137" s="3">
        <v>14609.64</v>
      </c>
      <c r="R137" s="3">
        <v>9853.32</v>
      </c>
      <c r="S137" s="3">
        <f>SUM(Table1[[#This Row],[Product_Cost]:[Other_Cost]])</f>
        <v>288710.55</v>
      </c>
      <c r="T137" s="3">
        <f>Table1[[#This Row],[Net_Sales]]-Table1[[#This Row],[Product_Cost]]</f>
        <v>83771.799999999988</v>
      </c>
      <c r="U137" s="3">
        <f>Table1[[#This Row],[Net_Sales]]-Table1[[#This Row],[Total_Cost]]</f>
        <v>30452.239999999991</v>
      </c>
      <c r="V137" s="4">
        <f>Table1[[#This Row],[Net_Profit]]/Table1[[#This Row],[Net_Sales]]</f>
        <v>9.5412876920896672E-2</v>
      </c>
      <c r="W137" t="s">
        <v>72</v>
      </c>
      <c r="X137" t="s">
        <v>209</v>
      </c>
      <c r="Y137">
        <v>2</v>
      </c>
      <c r="Z137" t="str">
        <f>IF(Table1[[#This Row],[Month_No]]&lt;=6, "H1","H2")</f>
        <v>H1</v>
      </c>
    </row>
    <row r="138" spans="1:26" x14ac:dyDescent="0.25">
      <c r="A138" s="2">
        <v>45690</v>
      </c>
      <c r="B138" t="s">
        <v>212</v>
      </c>
      <c r="C138" t="s">
        <v>98</v>
      </c>
      <c r="D138" t="s">
        <v>28</v>
      </c>
      <c r="E138" t="s">
        <v>29</v>
      </c>
      <c r="F138" t="s">
        <v>52</v>
      </c>
      <c r="G138" t="s">
        <v>61</v>
      </c>
      <c r="H138" t="s">
        <v>59</v>
      </c>
      <c r="I138">
        <v>118</v>
      </c>
      <c r="J138" s="3">
        <v>1148.1500000000001</v>
      </c>
      <c r="K138" s="3">
        <f>Table1[[#This Row],[Quantity]]*Table1[[#This Row],[Unit_Price]]</f>
        <v>135481.70000000001</v>
      </c>
      <c r="L138" s="3">
        <v>8547.7199999999993</v>
      </c>
      <c r="M138" s="3">
        <f>Table1[[#This Row],[Gross_Sales]]-Table1[[#This Row],[Discount]]</f>
        <v>126933.98000000001</v>
      </c>
      <c r="N138" s="3">
        <v>75924.25</v>
      </c>
      <c r="O138" s="3">
        <v>3445.55</v>
      </c>
      <c r="P138" s="3">
        <v>9337.76</v>
      </c>
      <c r="Q138" s="3">
        <v>4455.8999999999996</v>
      </c>
      <c r="R138" s="3">
        <v>2903.09</v>
      </c>
      <c r="S138" s="3">
        <f>SUM(Table1[[#This Row],[Product_Cost]:[Other_Cost]])</f>
        <v>96066.549999999988</v>
      </c>
      <c r="T138" s="3">
        <f>Table1[[#This Row],[Net_Sales]]-Table1[[#This Row],[Product_Cost]]</f>
        <v>51009.73000000001</v>
      </c>
      <c r="U138" s="3">
        <f>Table1[[#This Row],[Net_Sales]]-Table1[[#This Row],[Total_Cost]]</f>
        <v>30867.430000000022</v>
      </c>
      <c r="V138" s="4">
        <f>Table1[[#This Row],[Net_Profit]]/Table1[[#This Row],[Net_Sales]]</f>
        <v>0.24317704368838053</v>
      </c>
      <c r="W138" t="s">
        <v>33</v>
      </c>
      <c r="X138" t="s">
        <v>209</v>
      </c>
      <c r="Y138">
        <v>2</v>
      </c>
      <c r="Z138" t="str">
        <f>IF(Table1[[#This Row],[Month_No]]&lt;=6, "H1","H2")</f>
        <v>H1</v>
      </c>
    </row>
    <row r="139" spans="1:26" x14ac:dyDescent="0.25">
      <c r="A139" s="2">
        <v>45690</v>
      </c>
      <c r="B139" t="s">
        <v>213</v>
      </c>
      <c r="C139" t="s">
        <v>27</v>
      </c>
      <c r="D139" t="s">
        <v>28</v>
      </c>
      <c r="E139" t="s">
        <v>29</v>
      </c>
      <c r="F139" t="s">
        <v>52</v>
      </c>
      <c r="G139" t="s">
        <v>58</v>
      </c>
      <c r="H139" t="s">
        <v>59</v>
      </c>
      <c r="I139">
        <v>69</v>
      </c>
      <c r="J139" s="3">
        <v>1134.3599999999999</v>
      </c>
      <c r="K139" s="3">
        <f>Table1[[#This Row],[Quantity]]*Table1[[#This Row],[Unit_Price]]</f>
        <v>78270.84</v>
      </c>
      <c r="L139" s="3">
        <v>4677.22</v>
      </c>
      <c r="M139" s="3">
        <f>Table1[[#This Row],[Gross_Sales]]-Table1[[#This Row],[Discount]]</f>
        <v>73593.62</v>
      </c>
      <c r="N139" s="3">
        <v>45173.67</v>
      </c>
      <c r="O139" s="3">
        <v>1836.52</v>
      </c>
      <c r="P139" s="3">
        <v>4477.3500000000004</v>
      </c>
      <c r="Q139" s="3">
        <v>3076.55</v>
      </c>
      <c r="R139" s="3">
        <v>2006.43</v>
      </c>
      <c r="S139" s="3">
        <f>SUM(Table1[[#This Row],[Product_Cost]:[Other_Cost]])</f>
        <v>56570.52</v>
      </c>
      <c r="T139" s="3">
        <f>Table1[[#This Row],[Net_Sales]]-Table1[[#This Row],[Product_Cost]]</f>
        <v>28419.949999999997</v>
      </c>
      <c r="U139" s="3">
        <f>Table1[[#This Row],[Net_Sales]]-Table1[[#This Row],[Total_Cost]]</f>
        <v>17023.099999999999</v>
      </c>
      <c r="V139" s="4">
        <f>Table1[[#This Row],[Net_Profit]]/Table1[[#This Row],[Net_Sales]]</f>
        <v>0.23131217081045882</v>
      </c>
      <c r="W139" t="s">
        <v>33</v>
      </c>
      <c r="X139" t="s">
        <v>209</v>
      </c>
      <c r="Y139">
        <v>2</v>
      </c>
      <c r="Z139" t="str">
        <f>IF(Table1[[#This Row],[Month_No]]&lt;=6, "H1","H2")</f>
        <v>H1</v>
      </c>
    </row>
    <row r="140" spans="1:26" x14ac:dyDescent="0.25">
      <c r="A140" s="2">
        <v>45690</v>
      </c>
      <c r="B140" t="s">
        <v>214</v>
      </c>
      <c r="C140" t="s">
        <v>107</v>
      </c>
      <c r="D140" t="s">
        <v>56</v>
      </c>
      <c r="E140" t="s">
        <v>57</v>
      </c>
      <c r="F140" t="s">
        <v>39</v>
      </c>
      <c r="G140" t="s">
        <v>76</v>
      </c>
      <c r="H140" t="s">
        <v>32</v>
      </c>
      <c r="I140">
        <v>25</v>
      </c>
      <c r="J140" s="3">
        <v>3160.96</v>
      </c>
      <c r="K140" s="3">
        <f>Table1[[#This Row],[Quantity]]*Table1[[#This Row],[Unit_Price]]</f>
        <v>79024</v>
      </c>
      <c r="L140" s="3">
        <v>6737.13</v>
      </c>
      <c r="M140" s="3">
        <f>Table1[[#This Row],[Gross_Sales]]-Table1[[#This Row],[Discount]]</f>
        <v>72286.87</v>
      </c>
      <c r="N140" s="3">
        <v>40766.519999999997</v>
      </c>
      <c r="O140" s="3">
        <v>3069.82</v>
      </c>
      <c r="P140" s="3">
        <v>5226.79</v>
      </c>
      <c r="Q140" s="3">
        <v>3576.53</v>
      </c>
      <c r="R140" s="3">
        <v>1579.94</v>
      </c>
      <c r="S140" s="3">
        <f>SUM(Table1[[#This Row],[Product_Cost]:[Other_Cost]])</f>
        <v>54219.6</v>
      </c>
      <c r="T140" s="3">
        <f>Table1[[#This Row],[Net_Sales]]-Table1[[#This Row],[Product_Cost]]</f>
        <v>31520.35</v>
      </c>
      <c r="U140" s="3">
        <f>Table1[[#This Row],[Net_Sales]]-Table1[[#This Row],[Total_Cost]]</f>
        <v>18067.269999999997</v>
      </c>
      <c r="V140" s="4">
        <f>Table1[[#This Row],[Net_Profit]]/Table1[[#This Row],[Net_Sales]]</f>
        <v>0.24993847430383967</v>
      </c>
      <c r="W140" t="s">
        <v>33</v>
      </c>
      <c r="X140" t="s">
        <v>209</v>
      </c>
      <c r="Y140">
        <v>2</v>
      </c>
      <c r="Z140" t="str">
        <f>IF(Table1[[#This Row],[Month_No]]&lt;=6, "H1","H2")</f>
        <v>H1</v>
      </c>
    </row>
    <row r="141" spans="1:26" x14ac:dyDescent="0.25">
      <c r="A141" s="2">
        <v>45690</v>
      </c>
      <c r="B141" t="s">
        <v>215</v>
      </c>
      <c r="C141" t="s">
        <v>49</v>
      </c>
      <c r="D141" t="s">
        <v>44</v>
      </c>
      <c r="E141" t="s">
        <v>45</v>
      </c>
      <c r="F141" t="s">
        <v>52</v>
      </c>
      <c r="G141" t="s">
        <v>64</v>
      </c>
      <c r="H141" t="s">
        <v>41</v>
      </c>
      <c r="I141">
        <v>77</v>
      </c>
      <c r="J141" s="3">
        <v>4342.6099999999997</v>
      </c>
      <c r="K141" s="3">
        <f>Table1[[#This Row],[Quantity]]*Table1[[#This Row],[Unit_Price]]</f>
        <v>334380.96999999997</v>
      </c>
      <c r="L141" s="3">
        <v>28887.68</v>
      </c>
      <c r="M141" s="3">
        <f>Table1[[#This Row],[Gross_Sales]]-Table1[[#This Row],[Discount]]</f>
        <v>305493.28999999998</v>
      </c>
      <c r="N141" s="3">
        <v>219766.58</v>
      </c>
      <c r="O141" s="3">
        <v>7951.91</v>
      </c>
      <c r="P141" s="3">
        <v>18403.03</v>
      </c>
      <c r="Q141" s="3">
        <v>14522.5</v>
      </c>
      <c r="R141" s="3">
        <v>7451.68</v>
      </c>
      <c r="S141" s="3">
        <f>SUM(Table1[[#This Row],[Product_Cost]:[Other_Cost]])</f>
        <v>268095.7</v>
      </c>
      <c r="T141" s="3">
        <f>Table1[[#This Row],[Net_Sales]]-Table1[[#This Row],[Product_Cost]]</f>
        <v>85726.709999999992</v>
      </c>
      <c r="U141" s="3">
        <f>Table1[[#This Row],[Net_Sales]]-Table1[[#This Row],[Total_Cost]]</f>
        <v>37397.589999999967</v>
      </c>
      <c r="V141" s="4">
        <f>Table1[[#This Row],[Net_Profit]]/Table1[[#This Row],[Net_Sales]]</f>
        <v>0.12241705865290844</v>
      </c>
      <c r="W141" t="s">
        <v>72</v>
      </c>
      <c r="X141" t="s">
        <v>209</v>
      </c>
      <c r="Y141">
        <v>2</v>
      </c>
      <c r="Z141" t="str">
        <f>IF(Table1[[#This Row],[Month_No]]&lt;=6, "H1","H2")</f>
        <v>H1</v>
      </c>
    </row>
    <row r="142" spans="1:26" x14ac:dyDescent="0.25">
      <c r="A142" s="2">
        <v>45690</v>
      </c>
      <c r="B142" t="s">
        <v>216</v>
      </c>
      <c r="C142" t="s">
        <v>43</v>
      </c>
      <c r="D142" t="s">
        <v>68</v>
      </c>
      <c r="E142" t="s">
        <v>29</v>
      </c>
      <c r="F142" t="s">
        <v>52</v>
      </c>
      <c r="G142" t="s">
        <v>86</v>
      </c>
      <c r="H142" t="s">
        <v>32</v>
      </c>
      <c r="I142">
        <v>125</v>
      </c>
      <c r="J142" s="3">
        <v>357.23</v>
      </c>
      <c r="K142" s="3">
        <f>Table1[[#This Row],[Quantity]]*Table1[[#This Row],[Unit_Price]]</f>
        <v>44653.75</v>
      </c>
      <c r="L142" s="3">
        <v>3955.1</v>
      </c>
      <c r="M142" s="3">
        <f>Table1[[#This Row],[Gross_Sales]]-Table1[[#This Row],[Discount]]</f>
        <v>40698.65</v>
      </c>
      <c r="N142" s="3">
        <v>32589.58</v>
      </c>
      <c r="O142" s="3">
        <v>1108.52</v>
      </c>
      <c r="P142" s="3">
        <v>2606.02</v>
      </c>
      <c r="Q142" s="3">
        <v>2129.4</v>
      </c>
      <c r="R142" s="3">
        <v>1266.1199999999999</v>
      </c>
      <c r="S142" s="3">
        <f>SUM(Table1[[#This Row],[Product_Cost]:[Other_Cost]])</f>
        <v>39699.64</v>
      </c>
      <c r="T142" s="3">
        <f>Table1[[#This Row],[Net_Sales]]-Table1[[#This Row],[Product_Cost]]</f>
        <v>8109.07</v>
      </c>
      <c r="U142" s="3">
        <f>Table1[[#This Row],[Net_Sales]]-Table1[[#This Row],[Total_Cost]]</f>
        <v>999.01000000000204</v>
      </c>
      <c r="V142" s="4">
        <f>Table1[[#This Row],[Net_Profit]]/Table1[[#This Row],[Net_Sales]]</f>
        <v>2.4546514442125279E-2</v>
      </c>
      <c r="W142" t="s">
        <v>33</v>
      </c>
      <c r="X142" t="s">
        <v>209</v>
      </c>
      <c r="Y142">
        <v>2</v>
      </c>
      <c r="Z142" t="str">
        <f>IF(Table1[[#This Row],[Month_No]]&lt;=6, "H1","H2")</f>
        <v>H1</v>
      </c>
    </row>
    <row r="143" spans="1:26" x14ac:dyDescent="0.25">
      <c r="A143" s="2">
        <v>45691</v>
      </c>
      <c r="B143" t="s">
        <v>217</v>
      </c>
      <c r="C143" t="s">
        <v>43</v>
      </c>
      <c r="D143" t="s">
        <v>37</v>
      </c>
      <c r="E143" t="s">
        <v>38</v>
      </c>
      <c r="F143" t="s">
        <v>52</v>
      </c>
      <c r="G143" t="s">
        <v>86</v>
      </c>
      <c r="H143" t="s">
        <v>41</v>
      </c>
      <c r="I143">
        <v>73</v>
      </c>
      <c r="J143" s="3">
        <v>4226.5600000000004</v>
      </c>
      <c r="K143" s="3">
        <f>Table1[[#This Row],[Quantity]]*Table1[[#This Row],[Unit_Price]]</f>
        <v>308538.88</v>
      </c>
      <c r="L143" s="3">
        <v>26514.400000000001</v>
      </c>
      <c r="M143" s="3">
        <f>Table1[[#This Row],[Gross_Sales]]-Table1[[#This Row],[Discount]]</f>
        <v>282024.48</v>
      </c>
      <c r="N143" s="3">
        <v>198300.53</v>
      </c>
      <c r="O143" s="3">
        <v>7024.72</v>
      </c>
      <c r="P143" s="3">
        <v>16644.759999999998</v>
      </c>
      <c r="Q143" s="3">
        <v>13082.47</v>
      </c>
      <c r="R143" s="3">
        <v>7209.82</v>
      </c>
      <c r="S143" s="3">
        <f>SUM(Table1[[#This Row],[Product_Cost]:[Other_Cost]])</f>
        <v>242262.30000000002</v>
      </c>
      <c r="T143" s="3">
        <f>Table1[[#This Row],[Net_Sales]]-Table1[[#This Row],[Product_Cost]]</f>
        <v>83723.949999999983</v>
      </c>
      <c r="U143" s="3">
        <f>Table1[[#This Row],[Net_Sales]]-Table1[[#This Row],[Total_Cost]]</f>
        <v>39762.179999999964</v>
      </c>
      <c r="V143" s="4">
        <f>Table1[[#This Row],[Net_Profit]]/Table1[[#This Row],[Net_Sales]]</f>
        <v>0.14098839930491128</v>
      </c>
      <c r="W143" t="s">
        <v>33</v>
      </c>
      <c r="X143" t="s">
        <v>209</v>
      </c>
      <c r="Y143">
        <v>2</v>
      </c>
      <c r="Z143" t="str">
        <f>IF(Table1[[#This Row],[Month_No]]&lt;=6, "H1","H2")</f>
        <v>H1</v>
      </c>
    </row>
    <row r="144" spans="1:26" x14ac:dyDescent="0.25">
      <c r="A144" s="2">
        <v>45691</v>
      </c>
      <c r="B144" t="s">
        <v>218</v>
      </c>
      <c r="C144" t="s">
        <v>98</v>
      </c>
      <c r="D144" t="s">
        <v>68</v>
      </c>
      <c r="E144" t="s">
        <v>29</v>
      </c>
      <c r="F144" t="s">
        <v>52</v>
      </c>
      <c r="G144" t="s">
        <v>58</v>
      </c>
      <c r="H144" t="s">
        <v>41</v>
      </c>
      <c r="I144">
        <v>91</v>
      </c>
      <c r="J144" s="3">
        <v>360.22</v>
      </c>
      <c r="K144" s="3">
        <f>Table1[[#This Row],[Quantity]]*Table1[[#This Row],[Unit_Price]]</f>
        <v>32780.020000000004</v>
      </c>
      <c r="L144" s="3">
        <v>2995.4</v>
      </c>
      <c r="M144" s="3">
        <f>Table1[[#This Row],[Gross_Sales]]-Table1[[#This Row],[Discount]]</f>
        <v>29784.620000000003</v>
      </c>
      <c r="N144" s="3">
        <v>22304.17</v>
      </c>
      <c r="O144" s="3">
        <v>704.74</v>
      </c>
      <c r="P144" s="3">
        <v>2058.8000000000002</v>
      </c>
      <c r="Q144" s="3">
        <v>1476.76</v>
      </c>
      <c r="R144" s="3">
        <v>787.5</v>
      </c>
      <c r="S144" s="3">
        <f>SUM(Table1[[#This Row],[Product_Cost]:[Other_Cost]])</f>
        <v>27331.969999999998</v>
      </c>
      <c r="T144" s="3">
        <f>Table1[[#This Row],[Net_Sales]]-Table1[[#This Row],[Product_Cost]]</f>
        <v>7480.4500000000044</v>
      </c>
      <c r="U144" s="3">
        <f>Table1[[#This Row],[Net_Sales]]-Table1[[#This Row],[Total_Cost]]</f>
        <v>2452.6500000000051</v>
      </c>
      <c r="V144" s="4">
        <f>Table1[[#This Row],[Net_Profit]]/Table1[[#This Row],[Net_Sales]]</f>
        <v>8.234619075214003E-2</v>
      </c>
      <c r="W144" t="s">
        <v>33</v>
      </c>
      <c r="X144" t="s">
        <v>209</v>
      </c>
      <c r="Y144">
        <v>2</v>
      </c>
      <c r="Z144" t="str">
        <f>IF(Table1[[#This Row],[Month_No]]&lt;=6, "H1","H2")</f>
        <v>H1</v>
      </c>
    </row>
    <row r="145" spans="1:26" x14ac:dyDescent="0.25">
      <c r="A145" s="2">
        <v>45691</v>
      </c>
      <c r="B145" t="s">
        <v>219</v>
      </c>
      <c r="C145" t="s">
        <v>49</v>
      </c>
      <c r="D145" t="s">
        <v>81</v>
      </c>
      <c r="E145" t="s">
        <v>45</v>
      </c>
      <c r="F145" t="s">
        <v>46</v>
      </c>
      <c r="G145" t="s">
        <v>40</v>
      </c>
      <c r="H145" t="s">
        <v>47</v>
      </c>
      <c r="I145">
        <v>59</v>
      </c>
      <c r="J145" s="3">
        <v>6512.26</v>
      </c>
      <c r="K145" s="3">
        <f>Table1[[#This Row],[Quantity]]*Table1[[#This Row],[Unit_Price]]</f>
        <v>384223.34</v>
      </c>
      <c r="L145" s="3">
        <v>24015.200000000001</v>
      </c>
      <c r="M145" s="3">
        <f>Table1[[#This Row],[Gross_Sales]]-Table1[[#This Row],[Discount]]</f>
        <v>360208.14</v>
      </c>
      <c r="N145" s="3">
        <v>217207.88</v>
      </c>
      <c r="O145" s="3">
        <v>11646.92</v>
      </c>
      <c r="P145" s="3">
        <v>24129.54</v>
      </c>
      <c r="Q145" s="3">
        <v>16034.04</v>
      </c>
      <c r="R145" s="3">
        <v>7612.43</v>
      </c>
      <c r="S145" s="3">
        <f>SUM(Table1[[#This Row],[Product_Cost]:[Other_Cost]])</f>
        <v>276630.81</v>
      </c>
      <c r="T145" s="3">
        <f>Table1[[#This Row],[Net_Sales]]-Table1[[#This Row],[Product_Cost]]</f>
        <v>143000.26</v>
      </c>
      <c r="U145" s="3">
        <f>Table1[[#This Row],[Net_Sales]]-Table1[[#This Row],[Total_Cost]]</f>
        <v>83577.330000000016</v>
      </c>
      <c r="V145" s="4">
        <f>Table1[[#This Row],[Net_Profit]]/Table1[[#This Row],[Net_Sales]]</f>
        <v>0.23202510082087544</v>
      </c>
      <c r="W145" t="s">
        <v>33</v>
      </c>
      <c r="X145" t="s">
        <v>209</v>
      </c>
      <c r="Y145">
        <v>2</v>
      </c>
      <c r="Z145" t="str">
        <f>IF(Table1[[#This Row],[Month_No]]&lt;=6, "H1","H2")</f>
        <v>H1</v>
      </c>
    </row>
    <row r="146" spans="1:26" x14ac:dyDescent="0.25">
      <c r="A146" s="2">
        <v>45691</v>
      </c>
      <c r="B146" t="s">
        <v>220</v>
      </c>
      <c r="C146" t="s">
        <v>70</v>
      </c>
      <c r="D146" t="s">
        <v>44</v>
      </c>
      <c r="E146" t="s">
        <v>45</v>
      </c>
      <c r="F146" t="s">
        <v>52</v>
      </c>
      <c r="G146" t="s">
        <v>40</v>
      </c>
      <c r="H146" t="s">
        <v>41</v>
      </c>
      <c r="I146">
        <v>67</v>
      </c>
      <c r="J146" s="3">
        <v>4228.22</v>
      </c>
      <c r="K146" s="3">
        <f>Table1[[#This Row],[Quantity]]*Table1[[#This Row],[Unit_Price]]</f>
        <v>283290.74</v>
      </c>
      <c r="L146" s="3">
        <v>25121.18</v>
      </c>
      <c r="M146" s="3">
        <f>Table1[[#This Row],[Gross_Sales]]-Table1[[#This Row],[Discount]]</f>
        <v>258169.56</v>
      </c>
      <c r="N146" s="3">
        <v>181541.76000000001</v>
      </c>
      <c r="O146" s="3">
        <v>6298.77</v>
      </c>
      <c r="P146" s="3">
        <v>18356.7</v>
      </c>
      <c r="Q146" s="3">
        <v>13457.86</v>
      </c>
      <c r="R146" s="3">
        <v>5981.83</v>
      </c>
      <c r="S146" s="3">
        <f>SUM(Table1[[#This Row],[Product_Cost]:[Other_Cost]])</f>
        <v>225636.92</v>
      </c>
      <c r="T146" s="3">
        <f>Table1[[#This Row],[Net_Sales]]-Table1[[#This Row],[Product_Cost]]</f>
        <v>76627.799999999988</v>
      </c>
      <c r="U146" s="3">
        <f>Table1[[#This Row],[Net_Sales]]-Table1[[#This Row],[Total_Cost]]</f>
        <v>32532.639999999985</v>
      </c>
      <c r="V146" s="4">
        <f>Table1[[#This Row],[Net_Profit]]/Table1[[#This Row],[Net_Sales]]</f>
        <v>0.12601268716575256</v>
      </c>
      <c r="W146" t="s">
        <v>33</v>
      </c>
      <c r="X146" t="s">
        <v>209</v>
      </c>
      <c r="Y146">
        <v>2</v>
      </c>
      <c r="Z146" t="str">
        <f>IF(Table1[[#This Row],[Month_No]]&lt;=6, "H1","H2")</f>
        <v>H1</v>
      </c>
    </row>
    <row r="147" spans="1:26" x14ac:dyDescent="0.25">
      <c r="A147" s="2">
        <v>45692</v>
      </c>
      <c r="B147" t="s">
        <v>221</v>
      </c>
      <c r="C147" t="s">
        <v>70</v>
      </c>
      <c r="D147" t="s">
        <v>37</v>
      </c>
      <c r="E147" t="s">
        <v>38</v>
      </c>
      <c r="F147" t="s">
        <v>30</v>
      </c>
      <c r="G147" t="s">
        <v>64</v>
      </c>
      <c r="H147" t="s">
        <v>41</v>
      </c>
      <c r="I147">
        <v>104</v>
      </c>
      <c r="J147" s="3">
        <v>4219.16</v>
      </c>
      <c r="K147" s="3">
        <f>Table1[[#This Row],[Quantity]]*Table1[[#This Row],[Unit_Price]]</f>
        <v>438792.64</v>
      </c>
      <c r="L147" s="3">
        <v>38540.76</v>
      </c>
      <c r="M147" s="3">
        <f>Table1[[#This Row],[Gross_Sales]]-Table1[[#This Row],[Discount]]</f>
        <v>400251.88</v>
      </c>
      <c r="N147" s="3">
        <v>285469.07</v>
      </c>
      <c r="O147" s="3">
        <v>13865.23</v>
      </c>
      <c r="P147" s="3">
        <v>26686.880000000001</v>
      </c>
      <c r="Q147" s="3">
        <v>14432.56</v>
      </c>
      <c r="R147" s="3">
        <v>8008.75</v>
      </c>
      <c r="S147" s="3">
        <f>SUM(Table1[[#This Row],[Product_Cost]:[Other_Cost]])</f>
        <v>348462.49</v>
      </c>
      <c r="T147" s="3">
        <f>Table1[[#This Row],[Net_Sales]]-Table1[[#This Row],[Product_Cost]]</f>
        <v>114782.81</v>
      </c>
      <c r="U147" s="3">
        <f>Table1[[#This Row],[Net_Sales]]-Table1[[#This Row],[Total_Cost]]</f>
        <v>51789.390000000014</v>
      </c>
      <c r="V147" s="4">
        <f>Table1[[#This Row],[Net_Profit]]/Table1[[#This Row],[Net_Sales]]</f>
        <v>0.12939199685957756</v>
      </c>
      <c r="W147" t="s">
        <v>33</v>
      </c>
      <c r="X147" t="s">
        <v>209</v>
      </c>
      <c r="Y147">
        <v>2</v>
      </c>
      <c r="Z147" t="str">
        <f>IF(Table1[[#This Row],[Month_No]]&lt;=6, "H1","H2")</f>
        <v>H1</v>
      </c>
    </row>
    <row r="148" spans="1:26" x14ac:dyDescent="0.25">
      <c r="A148" s="2">
        <v>45692</v>
      </c>
      <c r="B148" t="s">
        <v>222</v>
      </c>
      <c r="C148" t="s">
        <v>43</v>
      </c>
      <c r="D148" t="s">
        <v>68</v>
      </c>
      <c r="E148" t="s">
        <v>29</v>
      </c>
      <c r="F148" t="s">
        <v>52</v>
      </c>
      <c r="G148" t="s">
        <v>76</v>
      </c>
      <c r="H148" t="s">
        <v>32</v>
      </c>
      <c r="I148">
        <v>125</v>
      </c>
      <c r="J148" s="3">
        <v>361.52</v>
      </c>
      <c r="K148" s="3">
        <f>Table1[[#This Row],[Quantity]]*Table1[[#This Row],[Unit_Price]]</f>
        <v>45190</v>
      </c>
      <c r="L148" s="3">
        <v>3517.51</v>
      </c>
      <c r="M148" s="3">
        <f>Table1[[#This Row],[Gross_Sales]]-Table1[[#This Row],[Discount]]</f>
        <v>41672.49</v>
      </c>
      <c r="N148" s="3">
        <v>33630.04</v>
      </c>
      <c r="O148" s="3">
        <v>986.26</v>
      </c>
      <c r="P148" s="3">
        <v>2840.94</v>
      </c>
      <c r="Q148" s="3">
        <v>2039.14</v>
      </c>
      <c r="R148" s="3">
        <v>1302.78</v>
      </c>
      <c r="S148" s="3">
        <f>SUM(Table1[[#This Row],[Product_Cost]:[Other_Cost]])</f>
        <v>40799.160000000003</v>
      </c>
      <c r="T148" s="3">
        <f>Table1[[#This Row],[Net_Sales]]-Table1[[#This Row],[Product_Cost]]</f>
        <v>8042.4499999999971</v>
      </c>
      <c r="U148" s="3">
        <f>Table1[[#This Row],[Net_Sales]]-Table1[[#This Row],[Total_Cost]]</f>
        <v>873.32999999999447</v>
      </c>
      <c r="V148" s="4">
        <f>Table1[[#This Row],[Net_Profit]]/Table1[[#This Row],[Net_Sales]]</f>
        <v>2.0956991050930591E-2</v>
      </c>
      <c r="W148" t="s">
        <v>33</v>
      </c>
      <c r="X148" t="s">
        <v>209</v>
      </c>
      <c r="Y148">
        <v>2</v>
      </c>
      <c r="Z148" t="str">
        <f>IF(Table1[[#This Row],[Month_No]]&lt;=6, "H1","H2")</f>
        <v>H1</v>
      </c>
    </row>
    <row r="149" spans="1:26" x14ac:dyDescent="0.25">
      <c r="A149" s="2">
        <v>45692</v>
      </c>
      <c r="B149" t="s">
        <v>223</v>
      </c>
      <c r="C149" t="s">
        <v>27</v>
      </c>
      <c r="D149" t="s">
        <v>74</v>
      </c>
      <c r="E149" t="s">
        <v>75</v>
      </c>
      <c r="F149" t="s">
        <v>30</v>
      </c>
      <c r="G149" t="s">
        <v>76</v>
      </c>
      <c r="H149" t="s">
        <v>41</v>
      </c>
      <c r="I149">
        <v>90</v>
      </c>
      <c r="J149" s="3">
        <v>5451.56</v>
      </c>
      <c r="K149" s="3">
        <f>Table1[[#This Row],[Quantity]]*Table1[[#This Row],[Unit_Price]]</f>
        <v>490640.4</v>
      </c>
      <c r="L149" s="3">
        <v>43288.71</v>
      </c>
      <c r="M149" s="3">
        <f>Table1[[#This Row],[Gross_Sales]]-Table1[[#This Row],[Discount]]</f>
        <v>447351.69</v>
      </c>
      <c r="N149" s="3">
        <v>338864.11</v>
      </c>
      <c r="O149" s="3">
        <v>17159.28</v>
      </c>
      <c r="P149" s="3">
        <v>25007.35</v>
      </c>
      <c r="Q149" s="3">
        <v>18335.12</v>
      </c>
      <c r="R149" s="3">
        <v>11916.29</v>
      </c>
      <c r="S149" s="3">
        <f>SUM(Table1[[#This Row],[Product_Cost]:[Other_Cost]])</f>
        <v>411282.14999999997</v>
      </c>
      <c r="T149" s="3">
        <f>Table1[[#This Row],[Net_Sales]]-Table1[[#This Row],[Product_Cost]]</f>
        <v>108487.58000000002</v>
      </c>
      <c r="U149" s="3">
        <f>Table1[[#This Row],[Net_Sales]]-Table1[[#This Row],[Total_Cost]]</f>
        <v>36069.540000000037</v>
      </c>
      <c r="V149" s="4">
        <f>Table1[[#This Row],[Net_Profit]]/Table1[[#This Row],[Net_Sales]]</f>
        <v>8.0629046019698808E-2</v>
      </c>
      <c r="W149" t="s">
        <v>33</v>
      </c>
      <c r="X149" t="s">
        <v>209</v>
      </c>
      <c r="Y149">
        <v>2</v>
      </c>
      <c r="Z149" t="str">
        <f>IF(Table1[[#This Row],[Month_No]]&lt;=6, "H1","H2")</f>
        <v>H1</v>
      </c>
    </row>
    <row r="150" spans="1:26" x14ac:dyDescent="0.25">
      <c r="A150" s="2">
        <v>45692</v>
      </c>
      <c r="B150" t="s">
        <v>224</v>
      </c>
      <c r="C150" t="s">
        <v>107</v>
      </c>
      <c r="D150" t="s">
        <v>44</v>
      </c>
      <c r="E150" t="s">
        <v>45</v>
      </c>
      <c r="F150" t="s">
        <v>46</v>
      </c>
      <c r="G150" t="s">
        <v>86</v>
      </c>
      <c r="H150" t="s">
        <v>47</v>
      </c>
      <c r="I150">
        <v>76</v>
      </c>
      <c r="J150" s="3">
        <v>4267.6400000000003</v>
      </c>
      <c r="K150" s="3">
        <f>Table1[[#This Row],[Quantity]]*Table1[[#This Row],[Unit_Price]]</f>
        <v>324340.64</v>
      </c>
      <c r="L150" s="3">
        <v>27493.86</v>
      </c>
      <c r="M150" s="3">
        <f>Table1[[#This Row],[Gross_Sales]]-Table1[[#This Row],[Discount]]</f>
        <v>296846.78000000003</v>
      </c>
      <c r="N150" s="3">
        <v>208876.83</v>
      </c>
      <c r="O150" s="3">
        <v>8046.28</v>
      </c>
      <c r="P150" s="3">
        <v>17350.89</v>
      </c>
      <c r="Q150" s="3">
        <v>14275.39</v>
      </c>
      <c r="R150" s="3">
        <v>7684.84</v>
      </c>
      <c r="S150" s="3">
        <f>SUM(Table1[[#This Row],[Product_Cost]:[Other_Cost]])</f>
        <v>256234.23</v>
      </c>
      <c r="T150" s="3">
        <f>Table1[[#This Row],[Net_Sales]]-Table1[[#This Row],[Product_Cost]]</f>
        <v>87969.950000000041</v>
      </c>
      <c r="U150" s="3">
        <f>Table1[[#This Row],[Net_Sales]]-Table1[[#This Row],[Total_Cost]]</f>
        <v>40612.550000000017</v>
      </c>
      <c r="V150" s="4">
        <f>Table1[[#This Row],[Net_Profit]]/Table1[[#This Row],[Net_Sales]]</f>
        <v>0.13681317344927915</v>
      </c>
      <c r="W150" t="s">
        <v>33</v>
      </c>
      <c r="X150" t="s">
        <v>209</v>
      </c>
      <c r="Y150">
        <v>2</v>
      </c>
      <c r="Z150" t="str">
        <f>IF(Table1[[#This Row],[Month_No]]&lt;=6, "H1","H2")</f>
        <v>H1</v>
      </c>
    </row>
    <row r="151" spans="1:26" x14ac:dyDescent="0.25">
      <c r="A151" s="2">
        <v>45693</v>
      </c>
      <c r="B151" t="s">
        <v>225</v>
      </c>
      <c r="C151" t="s">
        <v>83</v>
      </c>
      <c r="D151" t="s">
        <v>44</v>
      </c>
      <c r="E151" t="s">
        <v>45</v>
      </c>
      <c r="F151" t="s">
        <v>52</v>
      </c>
      <c r="G151" t="s">
        <v>61</v>
      </c>
      <c r="H151" t="s">
        <v>59</v>
      </c>
      <c r="I151">
        <v>82</v>
      </c>
      <c r="J151" s="3">
        <v>4219.1000000000004</v>
      </c>
      <c r="K151" s="3">
        <f>Table1[[#This Row],[Quantity]]*Table1[[#This Row],[Unit_Price]]</f>
        <v>345966.2</v>
      </c>
      <c r="L151" s="3">
        <v>19057.62</v>
      </c>
      <c r="M151" s="3">
        <f>Table1[[#This Row],[Gross_Sales]]-Table1[[#This Row],[Discount]]</f>
        <v>326908.58</v>
      </c>
      <c r="N151" s="3">
        <v>231518.23</v>
      </c>
      <c r="O151" s="3">
        <v>7785.23</v>
      </c>
      <c r="P151" s="3">
        <v>18357.37</v>
      </c>
      <c r="Q151" s="3">
        <v>15677.78</v>
      </c>
      <c r="R151" s="3">
        <v>9033.8700000000008</v>
      </c>
      <c r="S151" s="3">
        <f>SUM(Table1[[#This Row],[Product_Cost]:[Other_Cost]])</f>
        <v>282372.48000000004</v>
      </c>
      <c r="T151" s="3">
        <f>Table1[[#This Row],[Net_Sales]]-Table1[[#This Row],[Product_Cost]]</f>
        <v>95390.35</v>
      </c>
      <c r="U151" s="3">
        <f>Table1[[#This Row],[Net_Sales]]-Table1[[#This Row],[Total_Cost]]</f>
        <v>44536.099999999977</v>
      </c>
      <c r="V151" s="4">
        <f>Table1[[#This Row],[Net_Profit]]/Table1[[#This Row],[Net_Sales]]</f>
        <v>0.13623411168957381</v>
      </c>
      <c r="W151" t="s">
        <v>33</v>
      </c>
      <c r="X151" t="s">
        <v>209</v>
      </c>
      <c r="Y151">
        <v>2</v>
      </c>
      <c r="Z151" t="str">
        <f>IF(Table1[[#This Row],[Month_No]]&lt;=6, "H1","H2")</f>
        <v>H1</v>
      </c>
    </row>
    <row r="152" spans="1:26" x14ac:dyDescent="0.25">
      <c r="A152" s="2">
        <v>45693</v>
      </c>
      <c r="B152" t="s">
        <v>226</v>
      </c>
      <c r="C152" t="s">
        <v>107</v>
      </c>
      <c r="D152" t="s">
        <v>68</v>
      </c>
      <c r="E152" t="s">
        <v>29</v>
      </c>
      <c r="F152" t="s">
        <v>52</v>
      </c>
      <c r="G152" t="s">
        <v>76</v>
      </c>
      <c r="H152" t="s">
        <v>47</v>
      </c>
      <c r="I152">
        <v>152</v>
      </c>
      <c r="J152" s="3">
        <v>370.17</v>
      </c>
      <c r="K152" s="3">
        <f>Table1[[#This Row],[Quantity]]*Table1[[#This Row],[Unit_Price]]</f>
        <v>56265.840000000004</v>
      </c>
      <c r="L152" s="3">
        <v>4547.87</v>
      </c>
      <c r="M152" s="3">
        <f>Table1[[#This Row],[Gross_Sales]]-Table1[[#This Row],[Discount]]</f>
        <v>51717.97</v>
      </c>
      <c r="N152" s="3">
        <v>40307.93</v>
      </c>
      <c r="O152" s="3">
        <v>1475.63</v>
      </c>
      <c r="P152" s="3">
        <v>3713.62</v>
      </c>
      <c r="Q152" s="3">
        <v>2253.54</v>
      </c>
      <c r="R152" s="3">
        <v>1334.49</v>
      </c>
      <c r="S152" s="3">
        <f>SUM(Table1[[#This Row],[Product_Cost]:[Other_Cost]])</f>
        <v>49085.21</v>
      </c>
      <c r="T152" s="3">
        <f>Table1[[#This Row],[Net_Sales]]-Table1[[#This Row],[Product_Cost]]</f>
        <v>11410.04</v>
      </c>
      <c r="U152" s="3">
        <f>Table1[[#This Row],[Net_Sales]]-Table1[[#This Row],[Total_Cost]]</f>
        <v>2632.760000000002</v>
      </c>
      <c r="V152" s="4">
        <f>Table1[[#This Row],[Net_Profit]]/Table1[[#This Row],[Net_Sales]]</f>
        <v>5.0906097049052815E-2</v>
      </c>
      <c r="W152" t="s">
        <v>33</v>
      </c>
      <c r="X152" t="s">
        <v>209</v>
      </c>
      <c r="Y152">
        <v>2</v>
      </c>
      <c r="Z152" t="str">
        <f>IF(Table1[[#This Row],[Month_No]]&lt;=6, "H1","H2")</f>
        <v>H1</v>
      </c>
    </row>
    <row r="153" spans="1:26" x14ac:dyDescent="0.25">
      <c r="A153" s="2">
        <v>45693</v>
      </c>
      <c r="B153" t="s">
        <v>227</v>
      </c>
      <c r="C153" t="s">
        <v>27</v>
      </c>
      <c r="D153" t="s">
        <v>44</v>
      </c>
      <c r="E153" t="s">
        <v>45</v>
      </c>
      <c r="F153" t="s">
        <v>46</v>
      </c>
      <c r="G153" t="s">
        <v>61</v>
      </c>
      <c r="H153" t="s">
        <v>41</v>
      </c>
      <c r="I153">
        <v>48</v>
      </c>
      <c r="J153" s="3">
        <v>4319.6000000000004</v>
      </c>
      <c r="K153" s="3">
        <f>Table1[[#This Row],[Quantity]]*Table1[[#This Row],[Unit_Price]]</f>
        <v>207340.80000000002</v>
      </c>
      <c r="L153" s="3">
        <v>18723.189999999999</v>
      </c>
      <c r="M153" s="3">
        <f>Table1[[#This Row],[Gross_Sales]]-Table1[[#This Row],[Discount]]</f>
        <v>188617.61000000002</v>
      </c>
      <c r="N153" s="3">
        <v>130629.21</v>
      </c>
      <c r="O153" s="3">
        <v>5585.59</v>
      </c>
      <c r="P153" s="3">
        <v>10670.43</v>
      </c>
      <c r="Q153" s="3">
        <v>9377.5300000000007</v>
      </c>
      <c r="R153" s="3">
        <v>5020.2299999999996</v>
      </c>
      <c r="S153" s="3">
        <f>SUM(Table1[[#This Row],[Product_Cost]:[Other_Cost]])</f>
        <v>161282.99000000002</v>
      </c>
      <c r="T153" s="3">
        <f>Table1[[#This Row],[Net_Sales]]-Table1[[#This Row],[Product_Cost]]</f>
        <v>57988.400000000009</v>
      </c>
      <c r="U153" s="3">
        <f>Table1[[#This Row],[Net_Sales]]-Table1[[#This Row],[Total_Cost]]</f>
        <v>27334.619999999995</v>
      </c>
      <c r="V153" s="4">
        <f>Table1[[#This Row],[Net_Profit]]/Table1[[#This Row],[Net_Sales]]</f>
        <v>0.14492082685174515</v>
      </c>
      <c r="W153" t="s">
        <v>33</v>
      </c>
      <c r="X153" t="s">
        <v>209</v>
      </c>
      <c r="Y153">
        <v>2</v>
      </c>
      <c r="Z153" t="str">
        <f>IF(Table1[[#This Row],[Month_No]]&lt;=6, "H1","H2")</f>
        <v>H1</v>
      </c>
    </row>
    <row r="154" spans="1:26" x14ac:dyDescent="0.25">
      <c r="A154" s="2">
        <v>45693</v>
      </c>
      <c r="B154" t="s">
        <v>228</v>
      </c>
      <c r="C154" t="s">
        <v>83</v>
      </c>
      <c r="D154" t="s">
        <v>100</v>
      </c>
      <c r="E154" t="s">
        <v>75</v>
      </c>
      <c r="F154" t="s">
        <v>52</v>
      </c>
      <c r="G154" t="s">
        <v>31</v>
      </c>
      <c r="H154" t="s">
        <v>32</v>
      </c>
      <c r="I154">
        <v>54</v>
      </c>
      <c r="J154" s="3">
        <v>6864.57</v>
      </c>
      <c r="K154" s="3">
        <f>Table1[[#This Row],[Quantity]]*Table1[[#This Row],[Unit_Price]]</f>
        <v>370686.77999999997</v>
      </c>
      <c r="L154" s="3">
        <v>31588.84</v>
      </c>
      <c r="M154" s="3">
        <f>Table1[[#This Row],[Gross_Sales]]-Table1[[#This Row],[Discount]]</f>
        <v>339097.93999999994</v>
      </c>
      <c r="N154" s="3">
        <v>214232.58</v>
      </c>
      <c r="O154" s="3">
        <v>9178.94</v>
      </c>
      <c r="P154" s="3">
        <v>23549.85</v>
      </c>
      <c r="Q154" s="3">
        <v>13253.5</v>
      </c>
      <c r="R154" s="3">
        <v>10347.82</v>
      </c>
      <c r="S154" s="3">
        <f>SUM(Table1[[#This Row],[Product_Cost]:[Other_Cost]])</f>
        <v>270562.69</v>
      </c>
      <c r="T154" s="3">
        <f>Table1[[#This Row],[Net_Sales]]-Table1[[#This Row],[Product_Cost]]</f>
        <v>124865.35999999996</v>
      </c>
      <c r="U154" s="3">
        <f>Table1[[#This Row],[Net_Sales]]-Table1[[#This Row],[Total_Cost]]</f>
        <v>68535.249999999942</v>
      </c>
      <c r="V154" s="4">
        <f>Table1[[#This Row],[Net_Profit]]/Table1[[#This Row],[Net_Sales]]</f>
        <v>0.20211048760720857</v>
      </c>
      <c r="W154" t="s">
        <v>72</v>
      </c>
      <c r="X154" t="s">
        <v>209</v>
      </c>
      <c r="Y154">
        <v>2</v>
      </c>
      <c r="Z154" t="str">
        <f>IF(Table1[[#This Row],[Month_No]]&lt;=6, "H1","H2")</f>
        <v>H1</v>
      </c>
    </row>
    <row r="155" spans="1:26" x14ac:dyDescent="0.25">
      <c r="A155" s="2">
        <v>45693</v>
      </c>
      <c r="B155" t="s">
        <v>229</v>
      </c>
      <c r="C155" t="s">
        <v>63</v>
      </c>
      <c r="D155" t="s">
        <v>85</v>
      </c>
      <c r="E155" t="s">
        <v>57</v>
      </c>
      <c r="F155" t="s">
        <v>30</v>
      </c>
      <c r="G155" t="s">
        <v>58</v>
      </c>
      <c r="H155" t="s">
        <v>32</v>
      </c>
      <c r="I155">
        <v>65</v>
      </c>
      <c r="J155" s="3">
        <v>1896.1</v>
      </c>
      <c r="K155" s="3">
        <f>Table1[[#This Row],[Quantity]]*Table1[[#This Row],[Unit_Price]]</f>
        <v>123246.5</v>
      </c>
      <c r="L155" s="3">
        <v>9294.4599999999991</v>
      </c>
      <c r="M155" s="3">
        <f>Table1[[#This Row],[Gross_Sales]]-Table1[[#This Row],[Discount]]</f>
        <v>113952.04000000001</v>
      </c>
      <c r="N155" s="3">
        <v>80218.53</v>
      </c>
      <c r="O155" s="3">
        <v>4011.31</v>
      </c>
      <c r="P155" s="3">
        <v>7430.96</v>
      </c>
      <c r="Q155" s="3">
        <v>5476.28</v>
      </c>
      <c r="R155" s="3">
        <v>3093.58</v>
      </c>
      <c r="S155" s="3">
        <f>SUM(Table1[[#This Row],[Product_Cost]:[Other_Cost]])</f>
        <v>100230.66</v>
      </c>
      <c r="T155" s="3">
        <f>Table1[[#This Row],[Net_Sales]]-Table1[[#This Row],[Product_Cost]]</f>
        <v>33733.510000000009</v>
      </c>
      <c r="U155" s="3">
        <f>Table1[[#This Row],[Net_Sales]]-Table1[[#This Row],[Total_Cost]]</f>
        <v>13721.380000000005</v>
      </c>
      <c r="V155" s="4">
        <f>Table1[[#This Row],[Net_Profit]]/Table1[[#This Row],[Net_Sales]]</f>
        <v>0.120413640686029</v>
      </c>
      <c r="W155" t="s">
        <v>33</v>
      </c>
      <c r="X155" t="s">
        <v>209</v>
      </c>
      <c r="Y155">
        <v>2</v>
      </c>
      <c r="Z155" t="str">
        <f>IF(Table1[[#This Row],[Month_No]]&lt;=6, "H1","H2")</f>
        <v>H1</v>
      </c>
    </row>
    <row r="156" spans="1:26" x14ac:dyDescent="0.25">
      <c r="A156" s="2">
        <v>45693</v>
      </c>
      <c r="B156" t="s">
        <v>230</v>
      </c>
      <c r="C156" t="s">
        <v>55</v>
      </c>
      <c r="D156" t="s">
        <v>50</v>
      </c>
      <c r="E156" t="s">
        <v>51</v>
      </c>
      <c r="F156" t="s">
        <v>52</v>
      </c>
      <c r="G156" t="s">
        <v>58</v>
      </c>
      <c r="H156" t="s">
        <v>59</v>
      </c>
      <c r="I156">
        <v>93</v>
      </c>
      <c r="J156" s="3">
        <v>792.8</v>
      </c>
      <c r="K156" s="3">
        <f>Table1[[#This Row],[Quantity]]*Table1[[#This Row],[Unit_Price]]</f>
        <v>73730.399999999994</v>
      </c>
      <c r="L156" s="3">
        <v>4580.92</v>
      </c>
      <c r="M156" s="3">
        <f>Table1[[#This Row],[Gross_Sales]]-Table1[[#This Row],[Discount]]</f>
        <v>69149.48</v>
      </c>
      <c r="N156" s="3">
        <v>46386.68</v>
      </c>
      <c r="O156" s="3">
        <v>1737.73</v>
      </c>
      <c r="P156" s="3">
        <v>4905.67</v>
      </c>
      <c r="Q156" s="3">
        <v>3134.97</v>
      </c>
      <c r="R156" s="3">
        <v>2055.0300000000002</v>
      </c>
      <c r="S156" s="3">
        <f>SUM(Table1[[#This Row],[Product_Cost]:[Other_Cost]])</f>
        <v>58220.08</v>
      </c>
      <c r="T156" s="3">
        <f>Table1[[#This Row],[Net_Sales]]-Table1[[#This Row],[Product_Cost]]</f>
        <v>22762.799999999996</v>
      </c>
      <c r="U156" s="3">
        <f>Table1[[#This Row],[Net_Sales]]-Table1[[#This Row],[Total_Cost]]</f>
        <v>10929.399999999994</v>
      </c>
      <c r="V156" s="4">
        <f>Table1[[#This Row],[Net_Profit]]/Table1[[#This Row],[Net_Sales]]</f>
        <v>0.15805469542214917</v>
      </c>
      <c r="W156" t="s">
        <v>33</v>
      </c>
      <c r="X156" t="s">
        <v>209</v>
      </c>
      <c r="Y156">
        <v>2</v>
      </c>
      <c r="Z156" t="str">
        <f>IF(Table1[[#This Row],[Month_No]]&lt;=6, "H1","H2")</f>
        <v>H1</v>
      </c>
    </row>
    <row r="157" spans="1:26" x14ac:dyDescent="0.25">
      <c r="A157" s="2">
        <v>45693</v>
      </c>
      <c r="B157" t="s">
        <v>231</v>
      </c>
      <c r="C157" t="s">
        <v>49</v>
      </c>
      <c r="D157" t="s">
        <v>81</v>
      </c>
      <c r="E157" t="s">
        <v>45</v>
      </c>
      <c r="F157" t="s">
        <v>46</v>
      </c>
      <c r="G157" t="s">
        <v>64</v>
      </c>
      <c r="H157" t="s">
        <v>41</v>
      </c>
      <c r="I157">
        <v>38</v>
      </c>
      <c r="J157" s="3">
        <v>6529.61</v>
      </c>
      <c r="K157" s="3">
        <f>Table1[[#This Row],[Quantity]]*Table1[[#This Row],[Unit_Price]]</f>
        <v>248125.18</v>
      </c>
      <c r="L157" s="3">
        <v>19076.61</v>
      </c>
      <c r="M157" s="3">
        <f>Table1[[#This Row],[Gross_Sales]]-Table1[[#This Row],[Discount]]</f>
        <v>229048.57</v>
      </c>
      <c r="N157" s="3">
        <v>128395.99</v>
      </c>
      <c r="O157" s="3">
        <v>7463.3</v>
      </c>
      <c r="P157" s="3">
        <v>14095.89</v>
      </c>
      <c r="Q157" s="3">
        <v>11440.04</v>
      </c>
      <c r="R157" s="3">
        <v>6375.61</v>
      </c>
      <c r="S157" s="3">
        <f>SUM(Table1[[#This Row],[Product_Cost]:[Other_Cost]])</f>
        <v>167770.82999999999</v>
      </c>
      <c r="T157" s="3">
        <f>Table1[[#This Row],[Net_Sales]]-Table1[[#This Row],[Product_Cost]]</f>
        <v>100652.58</v>
      </c>
      <c r="U157" s="3">
        <f>Table1[[#This Row],[Net_Sales]]-Table1[[#This Row],[Total_Cost]]</f>
        <v>61277.74000000002</v>
      </c>
      <c r="V157" s="4">
        <f>Table1[[#This Row],[Net_Profit]]/Table1[[#This Row],[Net_Sales]]</f>
        <v>0.26753164186966988</v>
      </c>
      <c r="W157" t="s">
        <v>33</v>
      </c>
      <c r="X157" t="s">
        <v>209</v>
      </c>
      <c r="Y157">
        <v>2</v>
      </c>
      <c r="Z157" t="str">
        <f>IF(Table1[[#This Row],[Month_No]]&lt;=6, "H1","H2")</f>
        <v>H1</v>
      </c>
    </row>
    <row r="158" spans="1:26" x14ac:dyDescent="0.25">
      <c r="A158" s="2">
        <v>45693</v>
      </c>
      <c r="B158" t="s">
        <v>232</v>
      </c>
      <c r="C158" t="s">
        <v>55</v>
      </c>
      <c r="D158" t="s">
        <v>37</v>
      </c>
      <c r="E158" t="s">
        <v>38</v>
      </c>
      <c r="F158" t="s">
        <v>52</v>
      </c>
      <c r="G158" t="s">
        <v>58</v>
      </c>
      <c r="H158" t="s">
        <v>47</v>
      </c>
      <c r="I158">
        <v>122</v>
      </c>
      <c r="J158" s="3">
        <v>4373.8900000000003</v>
      </c>
      <c r="K158" s="3">
        <f>Table1[[#This Row],[Quantity]]*Table1[[#This Row],[Unit_Price]]</f>
        <v>533614.58000000007</v>
      </c>
      <c r="L158" s="3">
        <v>40203.339999999997</v>
      </c>
      <c r="M158" s="3">
        <f>Table1[[#This Row],[Gross_Sales]]-Table1[[#This Row],[Discount]]</f>
        <v>493411.24000000011</v>
      </c>
      <c r="N158" s="3">
        <v>371766.58</v>
      </c>
      <c r="O158" s="3">
        <v>13847.44</v>
      </c>
      <c r="P158" s="3">
        <v>33791.919999999998</v>
      </c>
      <c r="Q158" s="3">
        <v>24699.97</v>
      </c>
      <c r="R158" s="3">
        <v>12745.68</v>
      </c>
      <c r="S158" s="3">
        <f>SUM(Table1[[#This Row],[Product_Cost]:[Other_Cost]])</f>
        <v>456851.59</v>
      </c>
      <c r="T158" s="3">
        <f>Table1[[#This Row],[Net_Sales]]-Table1[[#This Row],[Product_Cost]]</f>
        <v>121644.66000000009</v>
      </c>
      <c r="U158" s="3">
        <f>Table1[[#This Row],[Net_Sales]]-Table1[[#This Row],[Total_Cost]]</f>
        <v>36559.650000000081</v>
      </c>
      <c r="V158" s="4">
        <f>Table1[[#This Row],[Net_Profit]]/Table1[[#This Row],[Net_Sales]]</f>
        <v>7.4095697536197339E-2</v>
      </c>
      <c r="W158" t="s">
        <v>33</v>
      </c>
      <c r="X158" t="s">
        <v>209</v>
      </c>
      <c r="Y158">
        <v>2</v>
      </c>
      <c r="Z158" t="str">
        <f>IF(Table1[[#This Row],[Month_No]]&lt;=6, "H1","H2")</f>
        <v>H1</v>
      </c>
    </row>
    <row r="159" spans="1:26" x14ac:dyDescent="0.25">
      <c r="A159" s="2">
        <v>45694</v>
      </c>
      <c r="B159" t="s">
        <v>233</v>
      </c>
      <c r="C159" t="s">
        <v>49</v>
      </c>
      <c r="D159" t="s">
        <v>74</v>
      </c>
      <c r="E159" t="s">
        <v>75</v>
      </c>
      <c r="F159" t="s">
        <v>52</v>
      </c>
      <c r="G159" t="s">
        <v>64</v>
      </c>
      <c r="H159" t="s">
        <v>41</v>
      </c>
      <c r="I159">
        <v>46</v>
      </c>
      <c r="J159" s="3">
        <v>5109.72</v>
      </c>
      <c r="K159" s="3">
        <f>Table1[[#This Row],[Quantity]]*Table1[[#This Row],[Unit_Price]]</f>
        <v>235047.12000000002</v>
      </c>
      <c r="L159" s="3">
        <v>17320.88</v>
      </c>
      <c r="M159" s="3">
        <f>Table1[[#This Row],[Gross_Sales]]-Table1[[#This Row],[Discount]]</f>
        <v>217726.24000000002</v>
      </c>
      <c r="N159" s="3">
        <v>169717.91</v>
      </c>
      <c r="O159" s="3">
        <v>6050.1</v>
      </c>
      <c r="P159" s="3">
        <v>13519.43</v>
      </c>
      <c r="Q159" s="3">
        <v>8073.18</v>
      </c>
      <c r="R159" s="3">
        <v>4640.16</v>
      </c>
      <c r="S159" s="3">
        <f>SUM(Table1[[#This Row],[Product_Cost]:[Other_Cost]])</f>
        <v>202000.78</v>
      </c>
      <c r="T159" s="3">
        <f>Table1[[#This Row],[Net_Sales]]-Table1[[#This Row],[Product_Cost]]</f>
        <v>48008.330000000016</v>
      </c>
      <c r="U159" s="3">
        <f>Table1[[#This Row],[Net_Sales]]-Table1[[#This Row],[Total_Cost]]</f>
        <v>15725.460000000021</v>
      </c>
      <c r="V159" s="4">
        <f>Table1[[#This Row],[Net_Profit]]/Table1[[#This Row],[Net_Sales]]</f>
        <v>7.2225837363470838E-2</v>
      </c>
      <c r="W159" t="s">
        <v>33</v>
      </c>
      <c r="X159" t="s">
        <v>209</v>
      </c>
      <c r="Y159">
        <v>2</v>
      </c>
      <c r="Z159" t="str">
        <f>IF(Table1[[#This Row],[Month_No]]&lt;=6, "H1","H2")</f>
        <v>H1</v>
      </c>
    </row>
    <row r="160" spans="1:26" x14ac:dyDescent="0.25">
      <c r="A160" s="2">
        <v>45694</v>
      </c>
      <c r="B160" t="s">
        <v>234</v>
      </c>
      <c r="C160" t="s">
        <v>36</v>
      </c>
      <c r="D160" t="s">
        <v>85</v>
      </c>
      <c r="E160" t="s">
        <v>57</v>
      </c>
      <c r="F160" t="s">
        <v>52</v>
      </c>
      <c r="G160" t="s">
        <v>64</v>
      </c>
      <c r="H160" t="s">
        <v>41</v>
      </c>
      <c r="I160">
        <v>65</v>
      </c>
      <c r="J160" s="3">
        <v>1908.75</v>
      </c>
      <c r="K160" s="3">
        <f>Table1[[#This Row],[Quantity]]*Table1[[#This Row],[Unit_Price]]</f>
        <v>124068.75</v>
      </c>
      <c r="L160" s="3">
        <v>10502.21</v>
      </c>
      <c r="M160" s="3">
        <f>Table1[[#This Row],[Gross_Sales]]-Table1[[#This Row],[Discount]]</f>
        <v>113566.54000000001</v>
      </c>
      <c r="N160" s="3">
        <v>79315.31</v>
      </c>
      <c r="O160" s="3">
        <v>3177.99</v>
      </c>
      <c r="P160" s="3">
        <v>8345.44</v>
      </c>
      <c r="Q160" s="3">
        <v>6039.57</v>
      </c>
      <c r="R160" s="3">
        <v>3319.23</v>
      </c>
      <c r="S160" s="3">
        <f>SUM(Table1[[#This Row],[Product_Cost]:[Other_Cost]])</f>
        <v>100197.54</v>
      </c>
      <c r="T160" s="3">
        <f>Table1[[#This Row],[Net_Sales]]-Table1[[#This Row],[Product_Cost]]</f>
        <v>34251.23000000001</v>
      </c>
      <c r="U160" s="3">
        <f>Table1[[#This Row],[Net_Sales]]-Table1[[#This Row],[Total_Cost]]</f>
        <v>13369.000000000015</v>
      </c>
      <c r="V160" s="4">
        <f>Table1[[#This Row],[Net_Profit]]/Table1[[#This Row],[Net_Sales]]</f>
        <v>0.11771953253132493</v>
      </c>
      <c r="W160" t="s">
        <v>33</v>
      </c>
      <c r="X160" t="s">
        <v>209</v>
      </c>
      <c r="Y160">
        <v>2</v>
      </c>
      <c r="Z160" t="str">
        <f>IF(Table1[[#This Row],[Month_No]]&lt;=6, "H1","H2")</f>
        <v>H1</v>
      </c>
    </row>
    <row r="161" spans="1:26" x14ac:dyDescent="0.25">
      <c r="A161" s="2">
        <v>45694</v>
      </c>
      <c r="B161" t="s">
        <v>235</v>
      </c>
      <c r="C161" t="s">
        <v>83</v>
      </c>
      <c r="D161" t="s">
        <v>44</v>
      </c>
      <c r="E161" t="s">
        <v>45</v>
      </c>
      <c r="F161" t="s">
        <v>52</v>
      </c>
      <c r="G161" t="s">
        <v>58</v>
      </c>
      <c r="H161" t="s">
        <v>32</v>
      </c>
      <c r="I161">
        <v>56</v>
      </c>
      <c r="J161" s="3">
        <v>4431.53</v>
      </c>
      <c r="K161" s="3">
        <f>Table1[[#This Row],[Quantity]]*Table1[[#This Row],[Unit_Price]]</f>
        <v>248165.68</v>
      </c>
      <c r="L161" s="3">
        <v>21393.32</v>
      </c>
      <c r="M161" s="3">
        <f>Table1[[#This Row],[Gross_Sales]]-Table1[[#This Row],[Discount]]</f>
        <v>226772.36</v>
      </c>
      <c r="N161" s="3">
        <v>164354.85</v>
      </c>
      <c r="O161" s="3">
        <v>5625.8</v>
      </c>
      <c r="P161" s="3">
        <v>16915.759999999998</v>
      </c>
      <c r="Q161" s="3">
        <v>9273.61</v>
      </c>
      <c r="R161" s="3">
        <v>5933.11</v>
      </c>
      <c r="S161" s="3">
        <f>SUM(Table1[[#This Row],[Product_Cost]:[Other_Cost]])</f>
        <v>202103.13</v>
      </c>
      <c r="T161" s="3">
        <f>Table1[[#This Row],[Net_Sales]]-Table1[[#This Row],[Product_Cost]]</f>
        <v>62417.50999999998</v>
      </c>
      <c r="U161" s="3">
        <f>Table1[[#This Row],[Net_Sales]]-Table1[[#This Row],[Total_Cost]]</f>
        <v>24669.229999999981</v>
      </c>
      <c r="V161" s="4">
        <f>Table1[[#This Row],[Net_Profit]]/Table1[[#This Row],[Net_Sales]]</f>
        <v>0.10878411284338171</v>
      </c>
      <c r="W161" t="s">
        <v>33</v>
      </c>
      <c r="X161" t="s">
        <v>209</v>
      </c>
      <c r="Y161">
        <v>2</v>
      </c>
      <c r="Z161" t="str">
        <f>IF(Table1[[#This Row],[Month_No]]&lt;=6, "H1","H2")</f>
        <v>H1</v>
      </c>
    </row>
    <row r="162" spans="1:26" x14ac:dyDescent="0.25">
      <c r="A162" s="2">
        <v>45694</v>
      </c>
      <c r="B162" t="s">
        <v>236</v>
      </c>
      <c r="C162" t="s">
        <v>117</v>
      </c>
      <c r="D162" t="s">
        <v>85</v>
      </c>
      <c r="E162" t="s">
        <v>57</v>
      </c>
      <c r="F162" t="s">
        <v>52</v>
      </c>
      <c r="G162" t="s">
        <v>31</v>
      </c>
      <c r="H162" t="s">
        <v>47</v>
      </c>
      <c r="I162">
        <v>76</v>
      </c>
      <c r="J162" s="3">
        <v>1834.97</v>
      </c>
      <c r="K162" s="3">
        <f>Table1[[#This Row],[Quantity]]*Table1[[#This Row],[Unit_Price]]</f>
        <v>139457.72</v>
      </c>
      <c r="L162" s="3">
        <v>11210.44</v>
      </c>
      <c r="M162" s="3">
        <f>Table1[[#This Row],[Gross_Sales]]-Table1[[#This Row],[Discount]]</f>
        <v>128247.28</v>
      </c>
      <c r="N162" s="3">
        <v>86916.93</v>
      </c>
      <c r="O162" s="3">
        <v>3072.66</v>
      </c>
      <c r="P162" s="3">
        <v>7230.84</v>
      </c>
      <c r="Q162" s="3">
        <v>5600.82</v>
      </c>
      <c r="R162" s="3">
        <v>3211.29</v>
      </c>
      <c r="S162" s="3">
        <f>SUM(Table1[[#This Row],[Product_Cost]:[Other_Cost]])</f>
        <v>106032.54</v>
      </c>
      <c r="T162" s="3">
        <f>Table1[[#This Row],[Net_Sales]]-Table1[[#This Row],[Product_Cost]]</f>
        <v>41330.350000000006</v>
      </c>
      <c r="U162" s="3">
        <f>Table1[[#This Row],[Net_Sales]]-Table1[[#This Row],[Total_Cost]]</f>
        <v>22214.740000000005</v>
      </c>
      <c r="V162" s="4">
        <f>Table1[[#This Row],[Net_Profit]]/Table1[[#This Row],[Net_Sales]]</f>
        <v>0.17321802068628672</v>
      </c>
      <c r="W162" t="s">
        <v>33</v>
      </c>
      <c r="X162" t="s">
        <v>209</v>
      </c>
      <c r="Y162">
        <v>2</v>
      </c>
      <c r="Z162" t="str">
        <f>IF(Table1[[#This Row],[Month_No]]&lt;=6, "H1","H2")</f>
        <v>H1</v>
      </c>
    </row>
    <row r="163" spans="1:26" x14ac:dyDescent="0.25">
      <c r="A163" s="2">
        <v>45695</v>
      </c>
      <c r="B163" t="s">
        <v>237</v>
      </c>
      <c r="C163" t="s">
        <v>27</v>
      </c>
      <c r="D163" t="s">
        <v>68</v>
      </c>
      <c r="E163" t="s">
        <v>29</v>
      </c>
      <c r="F163" t="s">
        <v>52</v>
      </c>
      <c r="G163" t="s">
        <v>64</v>
      </c>
      <c r="H163" t="s">
        <v>41</v>
      </c>
      <c r="I163">
        <v>135</v>
      </c>
      <c r="J163" s="3">
        <v>359.09</v>
      </c>
      <c r="K163" s="3">
        <f>Table1[[#This Row],[Quantity]]*Table1[[#This Row],[Unit_Price]]</f>
        <v>48477.149999999994</v>
      </c>
      <c r="L163" s="3">
        <v>4406.03</v>
      </c>
      <c r="M163" s="3">
        <f>Table1[[#This Row],[Gross_Sales]]-Table1[[#This Row],[Discount]]</f>
        <v>44071.119999999995</v>
      </c>
      <c r="N163" s="3">
        <v>35178.959999999999</v>
      </c>
      <c r="O163" s="3">
        <v>1048.06</v>
      </c>
      <c r="P163" s="3">
        <v>2976.92</v>
      </c>
      <c r="Q163" s="3">
        <v>1863.59</v>
      </c>
      <c r="R163" s="3">
        <v>1282.23</v>
      </c>
      <c r="S163" s="3">
        <f>SUM(Table1[[#This Row],[Product_Cost]:[Other_Cost]])</f>
        <v>42349.759999999995</v>
      </c>
      <c r="T163" s="3">
        <f>Table1[[#This Row],[Net_Sales]]-Table1[[#This Row],[Product_Cost]]</f>
        <v>8892.1599999999962</v>
      </c>
      <c r="U163" s="3">
        <f>Table1[[#This Row],[Net_Sales]]-Table1[[#This Row],[Total_Cost]]</f>
        <v>1721.3600000000006</v>
      </c>
      <c r="V163" s="4">
        <f>Table1[[#This Row],[Net_Profit]]/Table1[[#This Row],[Net_Sales]]</f>
        <v>3.9058685143468122E-2</v>
      </c>
      <c r="W163" t="s">
        <v>72</v>
      </c>
      <c r="X163" t="s">
        <v>209</v>
      </c>
      <c r="Y163">
        <v>2</v>
      </c>
      <c r="Z163" t="str">
        <f>IF(Table1[[#This Row],[Month_No]]&lt;=6, "H1","H2")</f>
        <v>H1</v>
      </c>
    </row>
    <row r="164" spans="1:26" x14ac:dyDescent="0.25">
      <c r="A164" s="2">
        <v>45695</v>
      </c>
      <c r="B164" t="s">
        <v>238</v>
      </c>
      <c r="C164" t="s">
        <v>70</v>
      </c>
      <c r="D164" t="s">
        <v>50</v>
      </c>
      <c r="E164" t="s">
        <v>51</v>
      </c>
      <c r="F164" t="s">
        <v>39</v>
      </c>
      <c r="G164" t="s">
        <v>64</v>
      </c>
      <c r="H164" t="s">
        <v>41</v>
      </c>
      <c r="I164">
        <v>66</v>
      </c>
      <c r="J164" s="3">
        <v>829.78</v>
      </c>
      <c r="K164" s="3">
        <f>Table1[[#This Row],[Quantity]]*Table1[[#This Row],[Unit_Price]]</f>
        <v>54765.479999999996</v>
      </c>
      <c r="L164" s="3">
        <v>3870.32</v>
      </c>
      <c r="M164" s="3">
        <f>Table1[[#This Row],[Gross_Sales]]-Table1[[#This Row],[Discount]]</f>
        <v>50895.159999999996</v>
      </c>
      <c r="N164" s="3">
        <v>32888.660000000003</v>
      </c>
      <c r="O164" s="3">
        <v>2173.16</v>
      </c>
      <c r="P164" s="3">
        <v>3011.43</v>
      </c>
      <c r="Q164" s="3">
        <v>2346.7800000000002</v>
      </c>
      <c r="R164" s="3">
        <v>1161.3399999999999</v>
      </c>
      <c r="S164" s="3">
        <f>SUM(Table1[[#This Row],[Product_Cost]:[Other_Cost]])</f>
        <v>41581.370000000003</v>
      </c>
      <c r="T164" s="3">
        <f>Table1[[#This Row],[Net_Sales]]-Table1[[#This Row],[Product_Cost]]</f>
        <v>18006.499999999993</v>
      </c>
      <c r="U164" s="3">
        <f>Table1[[#This Row],[Net_Sales]]-Table1[[#This Row],[Total_Cost]]</f>
        <v>9313.7899999999936</v>
      </c>
      <c r="V164" s="4">
        <f>Table1[[#This Row],[Net_Profit]]/Table1[[#This Row],[Net_Sales]]</f>
        <v>0.18299952294088465</v>
      </c>
      <c r="W164" t="s">
        <v>33</v>
      </c>
      <c r="X164" t="s">
        <v>209</v>
      </c>
      <c r="Y164">
        <v>2</v>
      </c>
      <c r="Z164" t="str">
        <f>IF(Table1[[#This Row],[Month_No]]&lt;=6, "H1","H2")</f>
        <v>H1</v>
      </c>
    </row>
    <row r="165" spans="1:26" x14ac:dyDescent="0.25">
      <c r="A165" s="2">
        <v>45696</v>
      </c>
      <c r="B165" t="s">
        <v>239</v>
      </c>
      <c r="C165" t="s">
        <v>83</v>
      </c>
      <c r="D165" t="s">
        <v>37</v>
      </c>
      <c r="E165" t="s">
        <v>38</v>
      </c>
      <c r="F165" t="s">
        <v>52</v>
      </c>
      <c r="G165" t="s">
        <v>61</v>
      </c>
      <c r="H165" t="s">
        <v>41</v>
      </c>
      <c r="I165">
        <v>99</v>
      </c>
      <c r="J165" s="3">
        <v>4203.1499999999996</v>
      </c>
      <c r="K165" s="3">
        <f>Table1[[#This Row],[Quantity]]*Table1[[#This Row],[Unit_Price]]</f>
        <v>416111.85</v>
      </c>
      <c r="L165" s="3">
        <v>29176.48</v>
      </c>
      <c r="M165" s="3">
        <f>Table1[[#This Row],[Gross_Sales]]-Table1[[#This Row],[Discount]]</f>
        <v>386935.37</v>
      </c>
      <c r="N165" s="3">
        <v>288250.7</v>
      </c>
      <c r="O165" s="3">
        <v>10991.6</v>
      </c>
      <c r="P165" s="3">
        <v>25645.9</v>
      </c>
      <c r="Q165" s="3">
        <v>16343.57</v>
      </c>
      <c r="R165" s="3">
        <v>10555.97</v>
      </c>
      <c r="S165" s="3">
        <f>SUM(Table1[[#This Row],[Product_Cost]:[Other_Cost]])</f>
        <v>351787.74</v>
      </c>
      <c r="T165" s="3">
        <f>Table1[[#This Row],[Net_Sales]]-Table1[[#This Row],[Product_Cost]]</f>
        <v>98684.669999999984</v>
      </c>
      <c r="U165" s="3">
        <f>Table1[[#This Row],[Net_Sales]]-Table1[[#This Row],[Total_Cost]]</f>
        <v>35147.630000000005</v>
      </c>
      <c r="V165" s="4">
        <f>Table1[[#This Row],[Net_Profit]]/Table1[[#This Row],[Net_Sales]]</f>
        <v>9.0835919187227582E-2</v>
      </c>
      <c r="W165" t="s">
        <v>33</v>
      </c>
      <c r="X165" t="s">
        <v>209</v>
      </c>
      <c r="Y165">
        <v>2</v>
      </c>
      <c r="Z165" t="str">
        <f>IF(Table1[[#This Row],[Month_No]]&lt;=6, "H1","H2")</f>
        <v>H1</v>
      </c>
    </row>
    <row r="166" spans="1:26" x14ac:dyDescent="0.25">
      <c r="A166" s="2">
        <v>45696</v>
      </c>
      <c r="B166" t="s">
        <v>240</v>
      </c>
      <c r="C166" t="s">
        <v>63</v>
      </c>
      <c r="D166" t="s">
        <v>74</v>
      </c>
      <c r="E166" t="s">
        <v>75</v>
      </c>
      <c r="F166" t="s">
        <v>52</v>
      </c>
      <c r="G166" t="s">
        <v>58</v>
      </c>
      <c r="H166" t="s">
        <v>41</v>
      </c>
      <c r="I166">
        <v>67</v>
      </c>
      <c r="J166" s="3">
        <v>5257.16</v>
      </c>
      <c r="K166" s="3">
        <f>Table1[[#This Row],[Quantity]]*Table1[[#This Row],[Unit_Price]]</f>
        <v>352229.72</v>
      </c>
      <c r="L166" s="3">
        <v>24402.43</v>
      </c>
      <c r="M166" s="3">
        <f>Table1[[#This Row],[Gross_Sales]]-Table1[[#This Row],[Discount]]</f>
        <v>327827.28999999998</v>
      </c>
      <c r="N166" s="3">
        <v>254960.04</v>
      </c>
      <c r="O166" s="3">
        <v>9321.6</v>
      </c>
      <c r="P166" s="3">
        <v>18888.509999999998</v>
      </c>
      <c r="Q166" s="3">
        <v>17130.64</v>
      </c>
      <c r="R166" s="3">
        <v>9856.9</v>
      </c>
      <c r="S166" s="3">
        <f>SUM(Table1[[#This Row],[Product_Cost]:[Other_Cost]])</f>
        <v>310157.69000000006</v>
      </c>
      <c r="T166" s="3">
        <f>Table1[[#This Row],[Net_Sales]]-Table1[[#This Row],[Product_Cost]]</f>
        <v>72867.249999999971</v>
      </c>
      <c r="U166" s="3">
        <f>Table1[[#This Row],[Net_Sales]]-Table1[[#This Row],[Total_Cost]]</f>
        <v>17669.599999999919</v>
      </c>
      <c r="V166" s="4">
        <f>Table1[[#This Row],[Net_Profit]]/Table1[[#This Row],[Net_Sales]]</f>
        <v>5.3899112547951454E-2</v>
      </c>
      <c r="W166" t="s">
        <v>33</v>
      </c>
      <c r="X166" t="s">
        <v>209</v>
      </c>
      <c r="Y166">
        <v>2</v>
      </c>
      <c r="Z166" t="str">
        <f>IF(Table1[[#This Row],[Month_No]]&lt;=6, "H1","H2")</f>
        <v>H1</v>
      </c>
    </row>
    <row r="167" spans="1:26" x14ac:dyDescent="0.25">
      <c r="A167" s="2">
        <v>45697</v>
      </c>
      <c r="B167" t="s">
        <v>241</v>
      </c>
      <c r="C167" t="s">
        <v>98</v>
      </c>
      <c r="D167" t="s">
        <v>81</v>
      </c>
      <c r="E167" t="s">
        <v>45</v>
      </c>
      <c r="F167" t="s">
        <v>52</v>
      </c>
      <c r="G167" t="s">
        <v>76</v>
      </c>
      <c r="H167" t="s">
        <v>41</v>
      </c>
      <c r="I167">
        <v>84</v>
      </c>
      <c r="J167" s="3">
        <v>6109.32</v>
      </c>
      <c r="K167" s="3">
        <f>Table1[[#This Row],[Quantity]]*Table1[[#This Row],[Unit_Price]]</f>
        <v>513182.88</v>
      </c>
      <c r="L167" s="3">
        <v>44883.03</v>
      </c>
      <c r="M167" s="3">
        <f>Table1[[#This Row],[Gross_Sales]]-Table1[[#This Row],[Discount]]</f>
        <v>468299.85</v>
      </c>
      <c r="N167" s="3">
        <v>281384</v>
      </c>
      <c r="O167" s="3">
        <v>11428.96</v>
      </c>
      <c r="P167" s="3">
        <v>27366.81</v>
      </c>
      <c r="Q167" s="3">
        <v>16606.79</v>
      </c>
      <c r="R167" s="3">
        <v>11974.32</v>
      </c>
      <c r="S167" s="3">
        <f>SUM(Table1[[#This Row],[Product_Cost]:[Other_Cost]])</f>
        <v>348760.88</v>
      </c>
      <c r="T167" s="3">
        <f>Table1[[#This Row],[Net_Sales]]-Table1[[#This Row],[Product_Cost]]</f>
        <v>186915.84999999998</v>
      </c>
      <c r="U167" s="3">
        <f>Table1[[#This Row],[Net_Sales]]-Table1[[#This Row],[Total_Cost]]</f>
        <v>119538.96999999997</v>
      </c>
      <c r="V167" s="4">
        <f>Table1[[#This Row],[Net_Profit]]/Table1[[#This Row],[Net_Sales]]</f>
        <v>0.2552616021551149</v>
      </c>
      <c r="W167" t="s">
        <v>33</v>
      </c>
      <c r="X167" t="s">
        <v>209</v>
      </c>
      <c r="Y167">
        <v>2</v>
      </c>
      <c r="Z167" t="str">
        <f>IF(Table1[[#This Row],[Month_No]]&lt;=6, "H1","H2")</f>
        <v>H1</v>
      </c>
    </row>
    <row r="168" spans="1:26" x14ac:dyDescent="0.25">
      <c r="A168" s="2">
        <v>45697</v>
      </c>
      <c r="B168" t="s">
        <v>242</v>
      </c>
      <c r="C168" t="s">
        <v>27</v>
      </c>
      <c r="D168" t="s">
        <v>37</v>
      </c>
      <c r="E168" t="s">
        <v>38</v>
      </c>
      <c r="F168" t="s">
        <v>30</v>
      </c>
      <c r="G168" t="s">
        <v>71</v>
      </c>
      <c r="H168" t="s">
        <v>59</v>
      </c>
      <c r="I168">
        <v>44</v>
      </c>
      <c r="J168" s="3">
        <v>4184.38</v>
      </c>
      <c r="K168" s="3">
        <f>Table1[[#This Row],[Quantity]]*Table1[[#This Row],[Unit_Price]]</f>
        <v>184112.72</v>
      </c>
      <c r="L168" s="3">
        <v>11724.46</v>
      </c>
      <c r="M168" s="3">
        <f>Table1[[#This Row],[Gross_Sales]]-Table1[[#This Row],[Discount]]</f>
        <v>172388.26</v>
      </c>
      <c r="N168" s="3">
        <v>124068.83</v>
      </c>
      <c r="O168" s="3">
        <v>6630.86</v>
      </c>
      <c r="P168" s="3">
        <v>11368.31</v>
      </c>
      <c r="Q168" s="3">
        <v>6125.28</v>
      </c>
      <c r="R168" s="3">
        <v>4378.29</v>
      </c>
      <c r="S168" s="3">
        <f>SUM(Table1[[#This Row],[Product_Cost]:[Other_Cost]])</f>
        <v>152571.57</v>
      </c>
      <c r="T168" s="3">
        <f>Table1[[#This Row],[Net_Sales]]-Table1[[#This Row],[Product_Cost]]</f>
        <v>48319.430000000008</v>
      </c>
      <c r="U168" s="3">
        <f>Table1[[#This Row],[Net_Sales]]-Table1[[#This Row],[Total_Cost]]</f>
        <v>19816.690000000002</v>
      </c>
      <c r="V168" s="4">
        <f>Table1[[#This Row],[Net_Profit]]/Table1[[#This Row],[Net_Sales]]</f>
        <v>0.11495382574196178</v>
      </c>
      <c r="W168" t="s">
        <v>33</v>
      </c>
      <c r="X168" t="s">
        <v>209</v>
      </c>
      <c r="Y168">
        <v>2</v>
      </c>
      <c r="Z168" t="str">
        <f>IF(Table1[[#This Row],[Month_No]]&lt;=6, "H1","H2")</f>
        <v>H1</v>
      </c>
    </row>
    <row r="169" spans="1:26" x14ac:dyDescent="0.25">
      <c r="A169" s="2">
        <v>45697</v>
      </c>
      <c r="B169" t="s">
        <v>243</v>
      </c>
      <c r="C169" t="s">
        <v>117</v>
      </c>
      <c r="D169" t="s">
        <v>74</v>
      </c>
      <c r="E169" t="s">
        <v>75</v>
      </c>
      <c r="F169" t="s">
        <v>30</v>
      </c>
      <c r="G169" t="s">
        <v>31</v>
      </c>
      <c r="H169" t="s">
        <v>41</v>
      </c>
      <c r="I169">
        <v>82</v>
      </c>
      <c r="J169" s="3">
        <v>5170.16</v>
      </c>
      <c r="K169" s="3">
        <f>Table1[[#This Row],[Quantity]]*Table1[[#This Row],[Unit_Price]]</f>
        <v>423953.12</v>
      </c>
      <c r="L169" s="3">
        <v>29057.27</v>
      </c>
      <c r="M169" s="3">
        <f>Table1[[#This Row],[Gross_Sales]]-Table1[[#This Row],[Discount]]</f>
        <v>394895.85</v>
      </c>
      <c r="N169" s="3">
        <v>307328.84000000003</v>
      </c>
      <c r="O169" s="3">
        <v>13385.21</v>
      </c>
      <c r="P169" s="3">
        <v>26800.93</v>
      </c>
      <c r="Q169" s="3">
        <v>13956.74</v>
      </c>
      <c r="R169" s="3">
        <v>12514.48</v>
      </c>
      <c r="S169" s="3">
        <f>SUM(Table1[[#This Row],[Product_Cost]:[Other_Cost]])</f>
        <v>373986.2</v>
      </c>
      <c r="T169" s="3">
        <f>Table1[[#This Row],[Net_Sales]]-Table1[[#This Row],[Product_Cost]]</f>
        <v>87567.009999999951</v>
      </c>
      <c r="U169" s="3">
        <f>Table1[[#This Row],[Net_Sales]]-Table1[[#This Row],[Total_Cost]]</f>
        <v>20909.649999999965</v>
      </c>
      <c r="V169" s="4">
        <f>Table1[[#This Row],[Net_Profit]]/Table1[[#This Row],[Net_Sales]]</f>
        <v>5.2949784101301564E-2</v>
      </c>
      <c r="W169" t="s">
        <v>33</v>
      </c>
      <c r="X169" t="s">
        <v>209</v>
      </c>
      <c r="Y169">
        <v>2</v>
      </c>
      <c r="Z169" t="str">
        <f>IF(Table1[[#This Row],[Month_No]]&lt;=6, "H1","H2")</f>
        <v>H1</v>
      </c>
    </row>
    <row r="170" spans="1:26" x14ac:dyDescent="0.25">
      <c r="A170" s="2">
        <v>45697</v>
      </c>
      <c r="B170" t="s">
        <v>244</v>
      </c>
      <c r="C170" t="s">
        <v>78</v>
      </c>
      <c r="D170" t="s">
        <v>68</v>
      </c>
      <c r="E170" t="s">
        <v>29</v>
      </c>
      <c r="F170" t="s">
        <v>52</v>
      </c>
      <c r="G170" t="s">
        <v>40</v>
      </c>
      <c r="H170" t="s">
        <v>41</v>
      </c>
      <c r="I170">
        <v>58</v>
      </c>
      <c r="J170" s="3">
        <v>350.63</v>
      </c>
      <c r="K170" s="3">
        <f>Table1[[#This Row],[Quantity]]*Table1[[#This Row],[Unit_Price]]</f>
        <v>20336.54</v>
      </c>
      <c r="L170" s="3">
        <v>1591.74</v>
      </c>
      <c r="M170" s="3">
        <f>Table1[[#This Row],[Gross_Sales]]-Table1[[#This Row],[Discount]]</f>
        <v>18744.8</v>
      </c>
      <c r="N170" s="3">
        <v>14645.18</v>
      </c>
      <c r="O170" s="3">
        <v>500.83</v>
      </c>
      <c r="P170" s="3">
        <v>1182.95</v>
      </c>
      <c r="Q170" s="3">
        <v>775.79</v>
      </c>
      <c r="R170" s="3">
        <v>565.67999999999995</v>
      </c>
      <c r="S170" s="3">
        <f>SUM(Table1[[#This Row],[Product_Cost]:[Other_Cost]])</f>
        <v>17670.43</v>
      </c>
      <c r="T170" s="3">
        <f>Table1[[#This Row],[Net_Sales]]-Table1[[#This Row],[Product_Cost]]</f>
        <v>4099.619999999999</v>
      </c>
      <c r="U170" s="3">
        <f>Table1[[#This Row],[Net_Sales]]-Table1[[#This Row],[Total_Cost]]</f>
        <v>1074.369999999999</v>
      </c>
      <c r="V170" s="4">
        <f>Table1[[#This Row],[Net_Profit]]/Table1[[#This Row],[Net_Sales]]</f>
        <v>5.731562886773927E-2</v>
      </c>
      <c r="W170" t="s">
        <v>33</v>
      </c>
      <c r="X170" t="s">
        <v>209</v>
      </c>
      <c r="Y170">
        <v>2</v>
      </c>
      <c r="Z170" t="str">
        <f>IF(Table1[[#This Row],[Month_No]]&lt;=6, "H1","H2")</f>
        <v>H1</v>
      </c>
    </row>
    <row r="171" spans="1:26" x14ac:dyDescent="0.25">
      <c r="A171" s="2">
        <v>45697</v>
      </c>
      <c r="B171" t="s">
        <v>245</v>
      </c>
      <c r="C171" t="s">
        <v>36</v>
      </c>
      <c r="D171" t="s">
        <v>44</v>
      </c>
      <c r="E171" t="s">
        <v>45</v>
      </c>
      <c r="F171" t="s">
        <v>30</v>
      </c>
      <c r="G171" t="s">
        <v>64</v>
      </c>
      <c r="H171" t="s">
        <v>59</v>
      </c>
      <c r="I171">
        <v>80</v>
      </c>
      <c r="J171" s="3">
        <v>4221.6400000000003</v>
      </c>
      <c r="K171" s="3">
        <f>Table1[[#This Row],[Quantity]]*Table1[[#This Row],[Unit_Price]]</f>
        <v>337731.2</v>
      </c>
      <c r="L171" s="3">
        <v>26569.05</v>
      </c>
      <c r="M171" s="3">
        <f>Table1[[#This Row],[Gross_Sales]]-Table1[[#This Row],[Discount]]</f>
        <v>311162.15000000002</v>
      </c>
      <c r="N171" s="3">
        <v>223873.55</v>
      </c>
      <c r="O171" s="3">
        <v>11156.24</v>
      </c>
      <c r="P171" s="3">
        <v>17334.73</v>
      </c>
      <c r="Q171" s="3">
        <v>16093.13</v>
      </c>
      <c r="R171" s="3">
        <v>8346.09</v>
      </c>
      <c r="S171" s="3">
        <f>SUM(Table1[[#This Row],[Product_Cost]:[Other_Cost]])</f>
        <v>276803.74</v>
      </c>
      <c r="T171" s="3">
        <f>Table1[[#This Row],[Net_Sales]]-Table1[[#This Row],[Product_Cost]]</f>
        <v>87288.600000000035</v>
      </c>
      <c r="U171" s="3">
        <f>Table1[[#This Row],[Net_Sales]]-Table1[[#This Row],[Total_Cost]]</f>
        <v>34358.410000000033</v>
      </c>
      <c r="V171" s="4">
        <f>Table1[[#This Row],[Net_Profit]]/Table1[[#This Row],[Net_Sales]]</f>
        <v>0.11041963169363636</v>
      </c>
      <c r="W171" t="s">
        <v>33</v>
      </c>
      <c r="X171" t="s">
        <v>209</v>
      </c>
      <c r="Y171">
        <v>2</v>
      </c>
      <c r="Z171" t="str">
        <f>IF(Table1[[#This Row],[Month_No]]&lt;=6, "H1","H2")</f>
        <v>H1</v>
      </c>
    </row>
    <row r="172" spans="1:26" x14ac:dyDescent="0.25">
      <c r="A172" s="2">
        <v>45698</v>
      </c>
      <c r="B172" t="s">
        <v>246</v>
      </c>
      <c r="C172" t="s">
        <v>55</v>
      </c>
      <c r="D172" t="s">
        <v>37</v>
      </c>
      <c r="E172" t="s">
        <v>38</v>
      </c>
      <c r="F172" t="s">
        <v>52</v>
      </c>
      <c r="G172" t="s">
        <v>40</v>
      </c>
      <c r="H172" t="s">
        <v>47</v>
      </c>
      <c r="I172">
        <v>68</v>
      </c>
      <c r="J172" s="3">
        <v>4362.43</v>
      </c>
      <c r="K172" s="3">
        <f>Table1[[#This Row],[Quantity]]*Table1[[#This Row],[Unit_Price]]</f>
        <v>296645.24</v>
      </c>
      <c r="L172" s="3">
        <v>25220</v>
      </c>
      <c r="M172" s="3">
        <f>Table1[[#This Row],[Gross_Sales]]-Table1[[#This Row],[Discount]]</f>
        <v>271425.24</v>
      </c>
      <c r="N172" s="3">
        <v>203750.29</v>
      </c>
      <c r="O172" s="3">
        <v>6742.42</v>
      </c>
      <c r="P172" s="3">
        <v>16418.060000000001</v>
      </c>
      <c r="Q172" s="3">
        <v>10556.97</v>
      </c>
      <c r="R172" s="3">
        <v>5977.95</v>
      </c>
      <c r="S172" s="3">
        <f>SUM(Table1[[#This Row],[Product_Cost]:[Other_Cost]])</f>
        <v>243445.69000000003</v>
      </c>
      <c r="T172" s="3">
        <f>Table1[[#This Row],[Net_Sales]]-Table1[[#This Row],[Product_Cost]]</f>
        <v>67674.949999999983</v>
      </c>
      <c r="U172" s="3">
        <f>Table1[[#This Row],[Net_Sales]]-Table1[[#This Row],[Total_Cost]]</f>
        <v>27979.549999999959</v>
      </c>
      <c r="V172" s="4">
        <f>Table1[[#This Row],[Net_Profit]]/Table1[[#This Row],[Net_Sales]]</f>
        <v>0.1030838178498063</v>
      </c>
      <c r="W172" t="s">
        <v>33</v>
      </c>
      <c r="X172" t="s">
        <v>209</v>
      </c>
      <c r="Y172">
        <v>2</v>
      </c>
      <c r="Z172" t="str">
        <f>IF(Table1[[#This Row],[Month_No]]&lt;=6, "H1","H2")</f>
        <v>H1</v>
      </c>
    </row>
    <row r="173" spans="1:26" x14ac:dyDescent="0.25">
      <c r="A173" s="2">
        <v>45698</v>
      </c>
      <c r="B173" t="s">
        <v>247</v>
      </c>
      <c r="C173" t="s">
        <v>117</v>
      </c>
      <c r="D173" t="s">
        <v>37</v>
      </c>
      <c r="E173" t="s">
        <v>38</v>
      </c>
      <c r="F173" t="s">
        <v>46</v>
      </c>
      <c r="G173" t="s">
        <v>40</v>
      </c>
      <c r="H173" t="s">
        <v>32</v>
      </c>
      <c r="I173">
        <v>44</v>
      </c>
      <c r="J173" s="3">
        <v>4125.37</v>
      </c>
      <c r="K173" s="3">
        <f>Table1[[#This Row],[Quantity]]*Table1[[#This Row],[Unit_Price]]</f>
        <v>181516.28</v>
      </c>
      <c r="L173" s="3">
        <v>15865.67</v>
      </c>
      <c r="M173" s="3">
        <f>Table1[[#This Row],[Gross_Sales]]-Table1[[#This Row],[Discount]]</f>
        <v>165650.60999999999</v>
      </c>
      <c r="N173" s="3">
        <v>120386.34</v>
      </c>
      <c r="O173" s="3">
        <v>4541.37</v>
      </c>
      <c r="P173" s="3">
        <v>12193.76</v>
      </c>
      <c r="Q173" s="3">
        <v>8906.61</v>
      </c>
      <c r="R173" s="3">
        <v>3549.44</v>
      </c>
      <c r="S173" s="3">
        <f>SUM(Table1[[#This Row],[Product_Cost]:[Other_Cost]])</f>
        <v>149577.52000000002</v>
      </c>
      <c r="T173" s="3">
        <f>Table1[[#This Row],[Net_Sales]]-Table1[[#This Row],[Product_Cost]]</f>
        <v>45264.26999999999</v>
      </c>
      <c r="U173" s="3">
        <f>Table1[[#This Row],[Net_Sales]]-Table1[[#This Row],[Total_Cost]]</f>
        <v>16073.089999999967</v>
      </c>
      <c r="V173" s="4">
        <f>Table1[[#This Row],[Net_Profit]]/Table1[[#This Row],[Net_Sales]]</f>
        <v>9.7030068286497517E-2</v>
      </c>
      <c r="W173" t="s">
        <v>33</v>
      </c>
      <c r="X173" t="s">
        <v>209</v>
      </c>
      <c r="Y173">
        <v>2</v>
      </c>
      <c r="Z173" t="str">
        <f>IF(Table1[[#This Row],[Month_No]]&lt;=6, "H1","H2")</f>
        <v>H1</v>
      </c>
    </row>
    <row r="174" spans="1:26" x14ac:dyDescent="0.25">
      <c r="A174" s="2">
        <v>45698</v>
      </c>
      <c r="B174" t="s">
        <v>248</v>
      </c>
      <c r="C174" t="s">
        <v>63</v>
      </c>
      <c r="D174" t="s">
        <v>68</v>
      </c>
      <c r="E174" t="s">
        <v>29</v>
      </c>
      <c r="F174" t="s">
        <v>52</v>
      </c>
      <c r="G174" t="s">
        <v>71</v>
      </c>
      <c r="H174" t="s">
        <v>41</v>
      </c>
      <c r="I174">
        <v>96</v>
      </c>
      <c r="J174" s="3">
        <v>362.37</v>
      </c>
      <c r="K174" s="3">
        <f>Table1[[#This Row],[Quantity]]*Table1[[#This Row],[Unit_Price]]</f>
        <v>34787.520000000004</v>
      </c>
      <c r="L174" s="3">
        <v>2301.5500000000002</v>
      </c>
      <c r="M174" s="3">
        <f>Table1[[#This Row],[Gross_Sales]]-Table1[[#This Row],[Discount]]</f>
        <v>32485.970000000005</v>
      </c>
      <c r="N174" s="3">
        <v>25979.74</v>
      </c>
      <c r="O174" s="3">
        <v>879.23</v>
      </c>
      <c r="P174" s="3">
        <v>2396.84</v>
      </c>
      <c r="Q174" s="3">
        <v>1615.72</v>
      </c>
      <c r="R174" s="3">
        <v>962.7</v>
      </c>
      <c r="S174" s="3">
        <f>SUM(Table1[[#This Row],[Product_Cost]:[Other_Cost]])</f>
        <v>31834.230000000003</v>
      </c>
      <c r="T174" s="3">
        <f>Table1[[#This Row],[Net_Sales]]-Table1[[#This Row],[Product_Cost]]</f>
        <v>6506.2300000000032</v>
      </c>
      <c r="U174" s="3">
        <f>Table1[[#This Row],[Net_Sales]]-Table1[[#This Row],[Total_Cost]]</f>
        <v>651.7400000000016</v>
      </c>
      <c r="V174" s="4">
        <f>Table1[[#This Row],[Net_Profit]]/Table1[[#This Row],[Net_Sales]]</f>
        <v>2.0062199158590664E-2</v>
      </c>
      <c r="W174" t="s">
        <v>33</v>
      </c>
      <c r="X174" t="s">
        <v>209</v>
      </c>
      <c r="Y174">
        <v>2</v>
      </c>
      <c r="Z174" t="str">
        <f>IF(Table1[[#This Row],[Month_No]]&lt;=6, "H1","H2")</f>
        <v>H1</v>
      </c>
    </row>
    <row r="175" spans="1:26" x14ac:dyDescent="0.25">
      <c r="A175" s="2">
        <v>45698</v>
      </c>
      <c r="B175" t="s">
        <v>249</v>
      </c>
      <c r="C175" t="s">
        <v>27</v>
      </c>
      <c r="D175" t="s">
        <v>85</v>
      </c>
      <c r="E175" t="s">
        <v>57</v>
      </c>
      <c r="F175" t="s">
        <v>30</v>
      </c>
      <c r="G175" t="s">
        <v>86</v>
      </c>
      <c r="H175" t="s">
        <v>47</v>
      </c>
      <c r="I175">
        <v>89</v>
      </c>
      <c r="J175" s="3">
        <v>1799.04</v>
      </c>
      <c r="K175" s="3">
        <f>Table1[[#This Row],[Quantity]]*Table1[[#This Row],[Unit_Price]]</f>
        <v>160114.56</v>
      </c>
      <c r="L175" s="3">
        <v>10832.42</v>
      </c>
      <c r="M175" s="3">
        <f>Table1[[#This Row],[Gross_Sales]]-Table1[[#This Row],[Discount]]</f>
        <v>149282.13999999998</v>
      </c>
      <c r="N175" s="3">
        <v>105343.43</v>
      </c>
      <c r="O175" s="3">
        <v>5863.86</v>
      </c>
      <c r="P175" s="3">
        <v>9662.56</v>
      </c>
      <c r="Q175" s="3">
        <v>6516.41</v>
      </c>
      <c r="R175" s="3">
        <v>3801.76</v>
      </c>
      <c r="S175" s="3">
        <f>SUM(Table1[[#This Row],[Product_Cost]:[Other_Cost]])</f>
        <v>131188.01999999999</v>
      </c>
      <c r="T175" s="3">
        <f>Table1[[#This Row],[Net_Sales]]-Table1[[#This Row],[Product_Cost]]</f>
        <v>43938.709999999992</v>
      </c>
      <c r="U175" s="3">
        <f>Table1[[#This Row],[Net_Sales]]-Table1[[#This Row],[Total_Cost]]</f>
        <v>18094.119999999995</v>
      </c>
      <c r="V175" s="4">
        <f>Table1[[#This Row],[Net_Profit]]/Table1[[#This Row],[Net_Sales]]</f>
        <v>0.12120753360046954</v>
      </c>
      <c r="W175" t="s">
        <v>33</v>
      </c>
      <c r="X175" t="s">
        <v>209</v>
      </c>
      <c r="Y175">
        <v>2</v>
      </c>
      <c r="Z175" t="str">
        <f>IF(Table1[[#This Row],[Month_No]]&lt;=6, "H1","H2")</f>
        <v>H1</v>
      </c>
    </row>
    <row r="176" spans="1:26" x14ac:dyDescent="0.25">
      <c r="A176" s="2">
        <v>45698</v>
      </c>
      <c r="B176" t="s">
        <v>250</v>
      </c>
      <c r="C176" t="s">
        <v>117</v>
      </c>
      <c r="D176" t="s">
        <v>44</v>
      </c>
      <c r="E176" t="s">
        <v>45</v>
      </c>
      <c r="F176" t="s">
        <v>52</v>
      </c>
      <c r="G176" t="s">
        <v>86</v>
      </c>
      <c r="H176" t="s">
        <v>59</v>
      </c>
      <c r="I176">
        <v>94</v>
      </c>
      <c r="J176" s="3">
        <v>4212.24</v>
      </c>
      <c r="K176" s="3">
        <f>Table1[[#This Row],[Quantity]]*Table1[[#This Row],[Unit_Price]]</f>
        <v>395950.56</v>
      </c>
      <c r="L176" s="3">
        <v>28381.49</v>
      </c>
      <c r="M176" s="3">
        <f>Table1[[#This Row],[Gross_Sales]]-Table1[[#This Row],[Discount]]</f>
        <v>367569.07</v>
      </c>
      <c r="N176" s="3">
        <v>254391.74</v>
      </c>
      <c r="O176" s="3">
        <v>10170.11</v>
      </c>
      <c r="P176" s="3">
        <v>20580.47</v>
      </c>
      <c r="Q176" s="3">
        <v>19984.96</v>
      </c>
      <c r="R176" s="3">
        <v>9075.01</v>
      </c>
      <c r="S176" s="3">
        <f>SUM(Table1[[#This Row],[Product_Cost]:[Other_Cost]])</f>
        <v>314202.28999999998</v>
      </c>
      <c r="T176" s="3">
        <f>Table1[[#This Row],[Net_Sales]]-Table1[[#This Row],[Product_Cost]]</f>
        <v>113177.33000000002</v>
      </c>
      <c r="U176" s="3">
        <f>Table1[[#This Row],[Net_Sales]]-Table1[[#This Row],[Total_Cost]]</f>
        <v>53366.780000000028</v>
      </c>
      <c r="V176" s="4">
        <f>Table1[[#This Row],[Net_Profit]]/Table1[[#This Row],[Net_Sales]]</f>
        <v>0.14518844036577949</v>
      </c>
      <c r="W176" t="s">
        <v>72</v>
      </c>
      <c r="X176" t="s">
        <v>209</v>
      </c>
      <c r="Y176">
        <v>2</v>
      </c>
      <c r="Z176" t="str">
        <f>IF(Table1[[#This Row],[Month_No]]&lt;=6, "H1","H2")</f>
        <v>H1</v>
      </c>
    </row>
    <row r="177" spans="1:26" x14ac:dyDescent="0.25">
      <c r="A177" s="2">
        <v>45698</v>
      </c>
      <c r="B177" t="s">
        <v>251</v>
      </c>
      <c r="C177" t="s">
        <v>117</v>
      </c>
      <c r="D177" t="s">
        <v>74</v>
      </c>
      <c r="E177" t="s">
        <v>75</v>
      </c>
      <c r="F177" t="s">
        <v>46</v>
      </c>
      <c r="G177" t="s">
        <v>31</v>
      </c>
      <c r="H177" t="s">
        <v>59</v>
      </c>
      <c r="I177">
        <v>67</v>
      </c>
      <c r="J177" s="3">
        <v>5086.34</v>
      </c>
      <c r="K177" s="3">
        <f>Table1[[#This Row],[Quantity]]*Table1[[#This Row],[Unit_Price]]</f>
        <v>340784.78</v>
      </c>
      <c r="L177" s="3">
        <v>24015.02</v>
      </c>
      <c r="M177" s="3">
        <f>Table1[[#This Row],[Gross_Sales]]-Table1[[#This Row],[Discount]]</f>
        <v>316769.76</v>
      </c>
      <c r="N177" s="3">
        <v>244741</v>
      </c>
      <c r="O177" s="3">
        <v>9757.35</v>
      </c>
      <c r="P177" s="3">
        <v>22402.82</v>
      </c>
      <c r="Q177" s="3">
        <v>11749.94</v>
      </c>
      <c r="R177" s="3">
        <v>6559.55</v>
      </c>
      <c r="S177" s="3">
        <f>SUM(Table1[[#This Row],[Product_Cost]:[Other_Cost]])</f>
        <v>295210.65999999997</v>
      </c>
      <c r="T177" s="3">
        <f>Table1[[#This Row],[Net_Sales]]-Table1[[#This Row],[Product_Cost]]</f>
        <v>72028.760000000009</v>
      </c>
      <c r="U177" s="3">
        <f>Table1[[#This Row],[Net_Sales]]-Table1[[#This Row],[Total_Cost]]</f>
        <v>21559.100000000035</v>
      </c>
      <c r="V177" s="4">
        <f>Table1[[#This Row],[Net_Profit]]/Table1[[#This Row],[Net_Sales]]</f>
        <v>6.8059211207534567E-2</v>
      </c>
      <c r="W177" t="s">
        <v>33</v>
      </c>
      <c r="X177" t="s">
        <v>209</v>
      </c>
      <c r="Y177">
        <v>2</v>
      </c>
      <c r="Z177" t="str">
        <f>IF(Table1[[#This Row],[Month_No]]&lt;=6, "H1","H2")</f>
        <v>H1</v>
      </c>
    </row>
    <row r="178" spans="1:26" x14ac:dyDescent="0.25">
      <c r="A178" s="2">
        <v>45699</v>
      </c>
      <c r="B178" t="s">
        <v>252</v>
      </c>
      <c r="C178" t="s">
        <v>27</v>
      </c>
      <c r="D178" t="s">
        <v>74</v>
      </c>
      <c r="E178" t="s">
        <v>75</v>
      </c>
      <c r="F178" t="s">
        <v>52</v>
      </c>
      <c r="G178" t="s">
        <v>86</v>
      </c>
      <c r="H178" t="s">
        <v>59</v>
      </c>
      <c r="I178">
        <v>69</v>
      </c>
      <c r="J178" s="3">
        <v>5193.76</v>
      </c>
      <c r="K178" s="3">
        <f>Table1[[#This Row],[Quantity]]*Table1[[#This Row],[Unit_Price]]</f>
        <v>358369.44</v>
      </c>
      <c r="L178" s="3">
        <v>30309.72</v>
      </c>
      <c r="M178" s="3">
        <f>Table1[[#This Row],[Gross_Sales]]-Table1[[#This Row],[Discount]]</f>
        <v>328059.71999999997</v>
      </c>
      <c r="N178" s="3">
        <v>243652.32</v>
      </c>
      <c r="O178" s="3">
        <v>8699.67</v>
      </c>
      <c r="P178" s="3">
        <v>20265.23</v>
      </c>
      <c r="Q178" s="3">
        <v>17298.689999999999</v>
      </c>
      <c r="R178" s="3">
        <v>10021.56</v>
      </c>
      <c r="S178" s="3">
        <f>SUM(Table1[[#This Row],[Product_Cost]:[Other_Cost]])</f>
        <v>299937.47000000003</v>
      </c>
      <c r="T178" s="3">
        <f>Table1[[#This Row],[Net_Sales]]-Table1[[#This Row],[Product_Cost]]</f>
        <v>84407.399999999965</v>
      </c>
      <c r="U178" s="3">
        <f>Table1[[#This Row],[Net_Sales]]-Table1[[#This Row],[Total_Cost]]</f>
        <v>28122.249999999942</v>
      </c>
      <c r="V178" s="4">
        <f>Table1[[#This Row],[Net_Profit]]/Table1[[#This Row],[Net_Sales]]</f>
        <v>8.572295922218047E-2</v>
      </c>
      <c r="W178" t="s">
        <v>72</v>
      </c>
      <c r="X178" t="s">
        <v>209</v>
      </c>
      <c r="Y178">
        <v>2</v>
      </c>
      <c r="Z178" t="str">
        <f>IF(Table1[[#This Row],[Month_No]]&lt;=6, "H1","H2")</f>
        <v>H1</v>
      </c>
    </row>
    <row r="179" spans="1:26" x14ac:dyDescent="0.25">
      <c r="A179" s="2">
        <v>45699</v>
      </c>
      <c r="B179" t="s">
        <v>253</v>
      </c>
      <c r="C179" t="s">
        <v>117</v>
      </c>
      <c r="D179" t="s">
        <v>68</v>
      </c>
      <c r="E179" t="s">
        <v>29</v>
      </c>
      <c r="F179" t="s">
        <v>52</v>
      </c>
      <c r="G179" t="s">
        <v>40</v>
      </c>
      <c r="H179" t="s">
        <v>47</v>
      </c>
      <c r="I179">
        <v>114</v>
      </c>
      <c r="J179" s="3">
        <v>368.83</v>
      </c>
      <c r="K179" s="3">
        <f>Table1[[#This Row],[Quantity]]*Table1[[#This Row],[Unit_Price]]</f>
        <v>42046.619999999995</v>
      </c>
      <c r="L179" s="3">
        <v>2786.3</v>
      </c>
      <c r="M179" s="3">
        <f>Table1[[#This Row],[Gross_Sales]]-Table1[[#This Row],[Discount]]</f>
        <v>39260.319999999992</v>
      </c>
      <c r="N179" s="3">
        <v>30194.46</v>
      </c>
      <c r="O179" s="3">
        <v>1076.3699999999999</v>
      </c>
      <c r="P179" s="3">
        <v>2418.67</v>
      </c>
      <c r="Q179" s="3">
        <v>2000.37</v>
      </c>
      <c r="R179" s="3">
        <v>999.97</v>
      </c>
      <c r="S179" s="3">
        <f>SUM(Table1[[#This Row],[Product_Cost]:[Other_Cost]])</f>
        <v>36689.840000000004</v>
      </c>
      <c r="T179" s="3">
        <f>Table1[[#This Row],[Net_Sales]]-Table1[[#This Row],[Product_Cost]]</f>
        <v>9065.8599999999933</v>
      </c>
      <c r="U179" s="3">
        <f>Table1[[#This Row],[Net_Sales]]-Table1[[#This Row],[Total_Cost]]</f>
        <v>2570.4799999999886</v>
      </c>
      <c r="V179" s="4">
        <f>Table1[[#This Row],[Net_Profit]]/Table1[[#This Row],[Net_Sales]]</f>
        <v>6.5472721567220782E-2</v>
      </c>
      <c r="W179" t="s">
        <v>33</v>
      </c>
      <c r="X179" t="s">
        <v>209</v>
      </c>
      <c r="Y179">
        <v>2</v>
      </c>
      <c r="Z179" t="str">
        <f>IF(Table1[[#This Row],[Month_No]]&lt;=6, "H1","H2")</f>
        <v>H1</v>
      </c>
    </row>
    <row r="180" spans="1:26" x14ac:dyDescent="0.25">
      <c r="A180" s="2">
        <v>45699</v>
      </c>
      <c r="B180" t="s">
        <v>254</v>
      </c>
      <c r="C180" t="s">
        <v>27</v>
      </c>
      <c r="D180" t="s">
        <v>68</v>
      </c>
      <c r="E180" t="s">
        <v>29</v>
      </c>
      <c r="F180" t="s">
        <v>52</v>
      </c>
      <c r="G180" t="s">
        <v>86</v>
      </c>
      <c r="H180" t="s">
        <v>47</v>
      </c>
      <c r="I180">
        <v>120</v>
      </c>
      <c r="J180" s="3">
        <v>356.22</v>
      </c>
      <c r="K180" s="3">
        <f>Table1[[#This Row],[Quantity]]*Table1[[#This Row],[Unit_Price]]</f>
        <v>42746.400000000001</v>
      </c>
      <c r="L180" s="3">
        <v>3812.95</v>
      </c>
      <c r="M180" s="3">
        <f>Table1[[#This Row],[Gross_Sales]]-Table1[[#This Row],[Discount]]</f>
        <v>38933.450000000004</v>
      </c>
      <c r="N180" s="3">
        <v>30776.22</v>
      </c>
      <c r="O180" s="3">
        <v>1048.9100000000001</v>
      </c>
      <c r="P180" s="3">
        <v>2627.26</v>
      </c>
      <c r="Q180" s="3">
        <v>1896.99</v>
      </c>
      <c r="R180" s="3">
        <v>1012.68</v>
      </c>
      <c r="S180" s="3">
        <f>SUM(Table1[[#This Row],[Product_Cost]:[Other_Cost]])</f>
        <v>37362.06</v>
      </c>
      <c r="T180" s="3">
        <f>Table1[[#This Row],[Net_Sales]]-Table1[[#This Row],[Product_Cost]]</f>
        <v>8157.2300000000032</v>
      </c>
      <c r="U180" s="3">
        <f>Table1[[#This Row],[Net_Sales]]-Table1[[#This Row],[Total_Cost]]</f>
        <v>1571.3900000000067</v>
      </c>
      <c r="V180" s="4">
        <f>Table1[[#This Row],[Net_Profit]]/Table1[[#This Row],[Net_Sales]]</f>
        <v>4.0360923575999727E-2</v>
      </c>
      <c r="W180" t="s">
        <v>33</v>
      </c>
      <c r="X180" t="s">
        <v>209</v>
      </c>
      <c r="Y180">
        <v>2</v>
      </c>
      <c r="Z180" t="str">
        <f>IF(Table1[[#This Row],[Month_No]]&lt;=6, "H1","H2")</f>
        <v>H1</v>
      </c>
    </row>
    <row r="181" spans="1:26" x14ac:dyDescent="0.25">
      <c r="A181" s="2">
        <v>45699</v>
      </c>
      <c r="B181" t="s">
        <v>255</v>
      </c>
      <c r="C181" t="s">
        <v>117</v>
      </c>
      <c r="D181" t="s">
        <v>44</v>
      </c>
      <c r="E181" t="s">
        <v>45</v>
      </c>
      <c r="F181" t="s">
        <v>30</v>
      </c>
      <c r="G181" t="s">
        <v>58</v>
      </c>
      <c r="H181" t="s">
        <v>59</v>
      </c>
      <c r="I181">
        <v>85</v>
      </c>
      <c r="J181" s="3">
        <v>4159.67</v>
      </c>
      <c r="K181" s="3">
        <f>Table1[[#This Row],[Quantity]]*Table1[[#This Row],[Unit_Price]]</f>
        <v>353571.95</v>
      </c>
      <c r="L181" s="3">
        <v>26508.080000000002</v>
      </c>
      <c r="M181" s="3">
        <f>Table1[[#This Row],[Gross_Sales]]-Table1[[#This Row],[Discount]]</f>
        <v>327063.87</v>
      </c>
      <c r="N181" s="3">
        <v>239776.63</v>
      </c>
      <c r="O181" s="3">
        <v>11710.44</v>
      </c>
      <c r="P181" s="3">
        <v>19785.41</v>
      </c>
      <c r="Q181" s="3">
        <v>16330.58</v>
      </c>
      <c r="R181" s="3">
        <v>7644.63</v>
      </c>
      <c r="S181" s="3">
        <f>SUM(Table1[[#This Row],[Product_Cost]:[Other_Cost]])</f>
        <v>295247.69</v>
      </c>
      <c r="T181" s="3">
        <f>Table1[[#This Row],[Net_Sales]]-Table1[[#This Row],[Product_Cost]]</f>
        <v>87287.239999999991</v>
      </c>
      <c r="U181" s="3">
        <f>Table1[[#This Row],[Net_Sales]]-Table1[[#This Row],[Total_Cost]]</f>
        <v>31816.179999999993</v>
      </c>
      <c r="V181" s="4">
        <f>Table1[[#This Row],[Net_Profit]]/Table1[[#This Row],[Net_Sales]]</f>
        <v>9.7278186061945618E-2</v>
      </c>
      <c r="W181" t="s">
        <v>33</v>
      </c>
      <c r="X181" t="s">
        <v>209</v>
      </c>
      <c r="Y181">
        <v>2</v>
      </c>
      <c r="Z181" t="str">
        <f>IF(Table1[[#This Row],[Month_No]]&lt;=6, "H1","H2")</f>
        <v>H1</v>
      </c>
    </row>
    <row r="182" spans="1:26" x14ac:dyDescent="0.25">
      <c r="A182" s="2">
        <v>45699</v>
      </c>
      <c r="B182" t="s">
        <v>256</v>
      </c>
      <c r="C182" t="s">
        <v>36</v>
      </c>
      <c r="D182" t="s">
        <v>68</v>
      </c>
      <c r="E182" t="s">
        <v>29</v>
      </c>
      <c r="F182" t="s">
        <v>46</v>
      </c>
      <c r="G182" t="s">
        <v>61</v>
      </c>
      <c r="H182" t="s">
        <v>47</v>
      </c>
      <c r="I182">
        <v>140</v>
      </c>
      <c r="J182" s="3">
        <v>362.47</v>
      </c>
      <c r="K182" s="3">
        <f>Table1[[#This Row],[Quantity]]*Table1[[#This Row],[Unit_Price]]</f>
        <v>50745.8</v>
      </c>
      <c r="L182" s="3">
        <v>4509.75</v>
      </c>
      <c r="M182" s="3">
        <f>Table1[[#This Row],[Gross_Sales]]-Table1[[#This Row],[Discount]]</f>
        <v>46236.05</v>
      </c>
      <c r="N182" s="3">
        <v>37442.839999999997</v>
      </c>
      <c r="O182" s="3">
        <v>1333.24</v>
      </c>
      <c r="P182" s="3">
        <v>3417.04</v>
      </c>
      <c r="Q182" s="3">
        <v>2453.23</v>
      </c>
      <c r="R182" s="3">
        <v>1120.01</v>
      </c>
      <c r="S182" s="3">
        <f>SUM(Table1[[#This Row],[Product_Cost]:[Other_Cost]])</f>
        <v>45766.36</v>
      </c>
      <c r="T182" s="3">
        <f>Table1[[#This Row],[Net_Sales]]-Table1[[#This Row],[Product_Cost]]</f>
        <v>8793.2100000000064</v>
      </c>
      <c r="U182" s="3">
        <f>Table1[[#This Row],[Net_Sales]]-Table1[[#This Row],[Total_Cost]]</f>
        <v>469.69000000000233</v>
      </c>
      <c r="V182" s="4">
        <f>Table1[[#This Row],[Net_Profit]]/Table1[[#This Row],[Net_Sales]]</f>
        <v>1.0158523489787781E-2</v>
      </c>
      <c r="W182" t="s">
        <v>72</v>
      </c>
      <c r="X182" t="s">
        <v>209</v>
      </c>
      <c r="Y182">
        <v>2</v>
      </c>
      <c r="Z182" t="str">
        <f>IF(Table1[[#This Row],[Month_No]]&lt;=6, "H1","H2")</f>
        <v>H1</v>
      </c>
    </row>
    <row r="183" spans="1:26" x14ac:dyDescent="0.25">
      <c r="A183" s="2">
        <v>45700</v>
      </c>
      <c r="B183" t="s">
        <v>257</v>
      </c>
      <c r="C183" t="s">
        <v>107</v>
      </c>
      <c r="D183" t="s">
        <v>74</v>
      </c>
      <c r="E183" t="s">
        <v>75</v>
      </c>
      <c r="F183" t="s">
        <v>30</v>
      </c>
      <c r="G183" t="s">
        <v>86</v>
      </c>
      <c r="H183" t="s">
        <v>41</v>
      </c>
      <c r="I183">
        <v>76</v>
      </c>
      <c r="J183" s="3">
        <v>5117.6400000000003</v>
      </c>
      <c r="K183" s="3">
        <f>Table1[[#This Row],[Quantity]]*Table1[[#This Row],[Unit_Price]]</f>
        <v>388940.64</v>
      </c>
      <c r="L183" s="3">
        <v>27602.74</v>
      </c>
      <c r="M183" s="3">
        <f>Table1[[#This Row],[Gross_Sales]]-Table1[[#This Row],[Discount]]</f>
        <v>361337.9</v>
      </c>
      <c r="N183" s="3">
        <v>277637.40999999997</v>
      </c>
      <c r="O183" s="3">
        <v>13020.51</v>
      </c>
      <c r="P183" s="3">
        <v>25532.47</v>
      </c>
      <c r="Q183" s="3">
        <v>17493.21</v>
      </c>
      <c r="R183" s="3">
        <v>7387.92</v>
      </c>
      <c r="S183" s="3">
        <f>SUM(Table1[[#This Row],[Product_Cost]:[Other_Cost]])</f>
        <v>341071.52</v>
      </c>
      <c r="T183" s="3">
        <f>Table1[[#This Row],[Net_Sales]]-Table1[[#This Row],[Product_Cost]]</f>
        <v>83700.490000000049</v>
      </c>
      <c r="U183" s="3">
        <f>Table1[[#This Row],[Net_Sales]]-Table1[[#This Row],[Total_Cost]]</f>
        <v>20266.380000000005</v>
      </c>
      <c r="V183" s="4">
        <f>Table1[[#This Row],[Net_Profit]]/Table1[[#This Row],[Net_Sales]]</f>
        <v>5.6087058678317453E-2</v>
      </c>
      <c r="W183" t="s">
        <v>33</v>
      </c>
      <c r="X183" t="s">
        <v>209</v>
      </c>
      <c r="Y183">
        <v>2</v>
      </c>
      <c r="Z183" t="str">
        <f>IF(Table1[[#This Row],[Month_No]]&lt;=6, "H1","H2")</f>
        <v>H1</v>
      </c>
    </row>
    <row r="184" spans="1:26" x14ac:dyDescent="0.25">
      <c r="A184" s="2">
        <v>45700</v>
      </c>
      <c r="B184" t="s">
        <v>258</v>
      </c>
      <c r="C184" t="s">
        <v>117</v>
      </c>
      <c r="D184" t="s">
        <v>44</v>
      </c>
      <c r="E184" t="s">
        <v>45</v>
      </c>
      <c r="F184" t="s">
        <v>30</v>
      </c>
      <c r="G184" t="s">
        <v>31</v>
      </c>
      <c r="H184" t="s">
        <v>32</v>
      </c>
      <c r="I184">
        <v>64</v>
      </c>
      <c r="J184" s="3">
        <v>4317.88</v>
      </c>
      <c r="K184" s="3">
        <f>Table1[[#This Row],[Quantity]]*Table1[[#This Row],[Unit_Price]]</f>
        <v>276344.32000000001</v>
      </c>
      <c r="L184" s="3">
        <v>22496.42</v>
      </c>
      <c r="M184" s="3">
        <f>Table1[[#This Row],[Gross_Sales]]-Table1[[#This Row],[Discount]]</f>
        <v>253847.90000000002</v>
      </c>
      <c r="N184" s="3">
        <v>182401.59</v>
      </c>
      <c r="O184" s="3">
        <v>8835.67</v>
      </c>
      <c r="P184" s="3">
        <v>16977</v>
      </c>
      <c r="Q184" s="3">
        <v>11274.13</v>
      </c>
      <c r="R184" s="3">
        <v>5862.88</v>
      </c>
      <c r="S184" s="3">
        <f>SUM(Table1[[#This Row],[Product_Cost]:[Other_Cost]])</f>
        <v>225351.27000000002</v>
      </c>
      <c r="T184" s="3">
        <f>Table1[[#This Row],[Net_Sales]]-Table1[[#This Row],[Product_Cost]]</f>
        <v>71446.310000000027</v>
      </c>
      <c r="U184" s="3">
        <f>Table1[[#This Row],[Net_Sales]]-Table1[[#This Row],[Total_Cost]]</f>
        <v>28496.630000000005</v>
      </c>
      <c r="V184" s="4">
        <f>Table1[[#This Row],[Net_Profit]]/Table1[[#This Row],[Net_Sales]]</f>
        <v>0.11225867931150899</v>
      </c>
      <c r="W184" t="s">
        <v>33</v>
      </c>
      <c r="X184" t="s">
        <v>209</v>
      </c>
      <c r="Y184">
        <v>2</v>
      </c>
      <c r="Z184" t="str">
        <f>IF(Table1[[#This Row],[Month_No]]&lt;=6, "H1","H2")</f>
        <v>H1</v>
      </c>
    </row>
    <row r="185" spans="1:26" x14ac:dyDescent="0.25">
      <c r="A185" s="2">
        <v>45700</v>
      </c>
      <c r="B185" t="s">
        <v>259</v>
      </c>
      <c r="C185" t="s">
        <v>63</v>
      </c>
      <c r="D185" t="s">
        <v>85</v>
      </c>
      <c r="E185" t="s">
        <v>57</v>
      </c>
      <c r="F185" t="s">
        <v>52</v>
      </c>
      <c r="G185" t="s">
        <v>31</v>
      </c>
      <c r="H185" t="s">
        <v>47</v>
      </c>
      <c r="I185">
        <v>83</v>
      </c>
      <c r="J185" s="3">
        <v>1806.32</v>
      </c>
      <c r="K185" s="3">
        <f>Table1[[#This Row],[Quantity]]*Table1[[#This Row],[Unit_Price]]</f>
        <v>149924.56</v>
      </c>
      <c r="L185" s="3">
        <v>11788.91</v>
      </c>
      <c r="M185" s="3">
        <f>Table1[[#This Row],[Gross_Sales]]-Table1[[#This Row],[Discount]]</f>
        <v>138135.65</v>
      </c>
      <c r="N185" s="3">
        <v>92865.42</v>
      </c>
      <c r="O185" s="3">
        <v>3446.63</v>
      </c>
      <c r="P185" s="3">
        <v>8177.06</v>
      </c>
      <c r="Q185" s="3">
        <v>6964</v>
      </c>
      <c r="R185" s="3">
        <v>3308.41</v>
      </c>
      <c r="S185" s="3">
        <f>SUM(Table1[[#This Row],[Product_Cost]:[Other_Cost]])</f>
        <v>114761.52</v>
      </c>
      <c r="T185" s="3">
        <f>Table1[[#This Row],[Net_Sales]]-Table1[[#This Row],[Product_Cost]]</f>
        <v>45270.229999999996</v>
      </c>
      <c r="U185" s="3">
        <f>Table1[[#This Row],[Net_Sales]]-Table1[[#This Row],[Total_Cost]]</f>
        <v>23374.12999999999</v>
      </c>
      <c r="V185" s="4">
        <f>Table1[[#This Row],[Net_Profit]]/Table1[[#This Row],[Net_Sales]]</f>
        <v>0.16921142369837178</v>
      </c>
      <c r="W185" t="s">
        <v>33</v>
      </c>
      <c r="X185" t="s">
        <v>209</v>
      </c>
      <c r="Y185">
        <v>2</v>
      </c>
      <c r="Z185" t="str">
        <f>IF(Table1[[#This Row],[Month_No]]&lt;=6, "H1","H2")</f>
        <v>H1</v>
      </c>
    </row>
    <row r="186" spans="1:26" x14ac:dyDescent="0.25">
      <c r="A186" s="2">
        <v>45700</v>
      </c>
      <c r="B186" t="s">
        <v>260</v>
      </c>
      <c r="C186" t="s">
        <v>55</v>
      </c>
      <c r="D186" t="s">
        <v>81</v>
      </c>
      <c r="E186" t="s">
        <v>45</v>
      </c>
      <c r="F186" t="s">
        <v>46</v>
      </c>
      <c r="G186" t="s">
        <v>76</v>
      </c>
      <c r="H186" t="s">
        <v>59</v>
      </c>
      <c r="I186">
        <v>50</v>
      </c>
      <c r="J186" s="3">
        <v>6433.32</v>
      </c>
      <c r="K186" s="3">
        <f>Table1[[#This Row],[Quantity]]*Table1[[#This Row],[Unit_Price]]</f>
        <v>321666</v>
      </c>
      <c r="L186" s="3">
        <v>20507.849999999999</v>
      </c>
      <c r="M186" s="3">
        <f>Table1[[#This Row],[Gross_Sales]]-Table1[[#This Row],[Discount]]</f>
        <v>301158.15000000002</v>
      </c>
      <c r="N186" s="3">
        <v>176607.48</v>
      </c>
      <c r="O186" s="3">
        <v>8844.14</v>
      </c>
      <c r="P186" s="3">
        <v>21576.18</v>
      </c>
      <c r="Q186" s="3">
        <v>11482.05</v>
      </c>
      <c r="R186" s="3">
        <v>8802.35</v>
      </c>
      <c r="S186" s="3">
        <f>SUM(Table1[[#This Row],[Product_Cost]:[Other_Cost]])</f>
        <v>227312.19999999998</v>
      </c>
      <c r="T186" s="3">
        <f>Table1[[#This Row],[Net_Sales]]-Table1[[#This Row],[Product_Cost]]</f>
        <v>124550.67000000001</v>
      </c>
      <c r="U186" s="3">
        <f>Table1[[#This Row],[Net_Sales]]-Table1[[#This Row],[Total_Cost]]</f>
        <v>73845.950000000041</v>
      </c>
      <c r="V186" s="4">
        <f>Table1[[#This Row],[Net_Profit]]/Table1[[#This Row],[Net_Sales]]</f>
        <v>0.24520654679277329</v>
      </c>
      <c r="W186" t="s">
        <v>33</v>
      </c>
      <c r="X186" t="s">
        <v>209</v>
      </c>
      <c r="Y186">
        <v>2</v>
      </c>
      <c r="Z186" t="str">
        <f>IF(Table1[[#This Row],[Month_No]]&lt;=6, "H1","H2")</f>
        <v>H1</v>
      </c>
    </row>
    <row r="187" spans="1:26" x14ac:dyDescent="0.25">
      <c r="A187" s="2">
        <v>45700</v>
      </c>
      <c r="B187" t="s">
        <v>261</v>
      </c>
      <c r="C187" t="s">
        <v>70</v>
      </c>
      <c r="D187" t="s">
        <v>50</v>
      </c>
      <c r="E187" t="s">
        <v>51</v>
      </c>
      <c r="F187" t="s">
        <v>52</v>
      </c>
      <c r="G187" t="s">
        <v>76</v>
      </c>
      <c r="H187" t="s">
        <v>41</v>
      </c>
      <c r="I187">
        <v>81</v>
      </c>
      <c r="J187" s="3">
        <v>848.04</v>
      </c>
      <c r="K187" s="3">
        <f>Table1[[#This Row],[Quantity]]*Table1[[#This Row],[Unit_Price]]</f>
        <v>68691.239999999991</v>
      </c>
      <c r="L187" s="3">
        <v>5242.28</v>
      </c>
      <c r="M187" s="3">
        <f>Table1[[#This Row],[Gross_Sales]]-Table1[[#This Row],[Discount]]</f>
        <v>63448.959999999992</v>
      </c>
      <c r="N187" s="3">
        <v>44162.74</v>
      </c>
      <c r="O187" s="3">
        <v>1510.35</v>
      </c>
      <c r="P187" s="3">
        <v>4676.66</v>
      </c>
      <c r="Q187" s="3">
        <v>2985.56</v>
      </c>
      <c r="R187" s="3">
        <v>1839.1</v>
      </c>
      <c r="S187" s="3">
        <f>SUM(Table1[[#This Row],[Product_Cost]:[Other_Cost]])</f>
        <v>55174.409999999996</v>
      </c>
      <c r="T187" s="3">
        <f>Table1[[#This Row],[Net_Sales]]-Table1[[#This Row],[Product_Cost]]</f>
        <v>19286.219999999994</v>
      </c>
      <c r="U187" s="3">
        <f>Table1[[#This Row],[Net_Sales]]-Table1[[#This Row],[Total_Cost]]</f>
        <v>8274.5499999999956</v>
      </c>
      <c r="V187" s="4">
        <f>Table1[[#This Row],[Net_Profit]]/Table1[[#This Row],[Net_Sales]]</f>
        <v>0.13041269707178804</v>
      </c>
      <c r="W187" t="s">
        <v>33</v>
      </c>
      <c r="X187" t="s">
        <v>209</v>
      </c>
      <c r="Y187">
        <v>2</v>
      </c>
      <c r="Z187" t="str">
        <f>IF(Table1[[#This Row],[Month_No]]&lt;=6, "H1","H2")</f>
        <v>H1</v>
      </c>
    </row>
    <row r="188" spans="1:26" x14ac:dyDescent="0.25">
      <c r="A188" s="2">
        <v>45701</v>
      </c>
      <c r="B188" t="s">
        <v>262</v>
      </c>
      <c r="C188" t="s">
        <v>43</v>
      </c>
      <c r="D188" t="s">
        <v>85</v>
      </c>
      <c r="E188" t="s">
        <v>57</v>
      </c>
      <c r="F188" t="s">
        <v>52</v>
      </c>
      <c r="G188" t="s">
        <v>86</v>
      </c>
      <c r="H188" t="s">
        <v>59</v>
      </c>
      <c r="I188">
        <v>35</v>
      </c>
      <c r="J188" s="3">
        <v>1886.42</v>
      </c>
      <c r="K188" s="3">
        <f>Table1[[#This Row],[Quantity]]*Table1[[#This Row],[Unit_Price]]</f>
        <v>66024.7</v>
      </c>
      <c r="L188" s="3">
        <v>4040.51</v>
      </c>
      <c r="M188" s="3">
        <f>Table1[[#This Row],[Gross_Sales]]-Table1[[#This Row],[Discount]]</f>
        <v>61984.189999999995</v>
      </c>
      <c r="N188" s="3">
        <v>44744.15</v>
      </c>
      <c r="O188" s="3">
        <v>1471.76</v>
      </c>
      <c r="P188" s="3">
        <v>4071.43</v>
      </c>
      <c r="Q188" s="3">
        <v>3297.67</v>
      </c>
      <c r="R188" s="3">
        <v>1320.34</v>
      </c>
      <c r="S188" s="3">
        <f>SUM(Table1[[#This Row],[Product_Cost]:[Other_Cost]])</f>
        <v>54905.35</v>
      </c>
      <c r="T188" s="3">
        <f>Table1[[#This Row],[Net_Sales]]-Table1[[#This Row],[Product_Cost]]</f>
        <v>17240.039999999994</v>
      </c>
      <c r="U188" s="3">
        <f>Table1[[#This Row],[Net_Sales]]-Table1[[#This Row],[Total_Cost]]</f>
        <v>7078.8399999999965</v>
      </c>
      <c r="V188" s="4">
        <f>Table1[[#This Row],[Net_Profit]]/Table1[[#This Row],[Net_Sales]]</f>
        <v>0.11420396071966088</v>
      </c>
      <c r="W188" t="s">
        <v>33</v>
      </c>
      <c r="X188" t="s">
        <v>209</v>
      </c>
      <c r="Y188">
        <v>2</v>
      </c>
      <c r="Z188" t="str">
        <f>IF(Table1[[#This Row],[Month_No]]&lt;=6, "H1","H2")</f>
        <v>H1</v>
      </c>
    </row>
    <row r="189" spans="1:26" x14ac:dyDescent="0.25">
      <c r="A189" s="2">
        <v>45701</v>
      </c>
      <c r="B189" t="s">
        <v>263</v>
      </c>
      <c r="C189" t="s">
        <v>49</v>
      </c>
      <c r="D189" t="s">
        <v>100</v>
      </c>
      <c r="E189" t="s">
        <v>75</v>
      </c>
      <c r="F189" t="s">
        <v>30</v>
      </c>
      <c r="G189" t="s">
        <v>71</v>
      </c>
      <c r="H189" t="s">
        <v>59</v>
      </c>
      <c r="I189">
        <v>57</v>
      </c>
      <c r="J189" s="3">
        <v>6877.34</v>
      </c>
      <c r="K189" s="3">
        <f>Table1[[#This Row],[Quantity]]*Table1[[#This Row],[Unit_Price]]</f>
        <v>392008.38</v>
      </c>
      <c r="L189" s="3">
        <v>25140.78</v>
      </c>
      <c r="M189" s="3">
        <f>Table1[[#This Row],[Gross_Sales]]-Table1[[#This Row],[Discount]]</f>
        <v>366867.6</v>
      </c>
      <c r="N189" s="3">
        <v>230690.99</v>
      </c>
      <c r="O189" s="3">
        <v>14324.71</v>
      </c>
      <c r="P189" s="3">
        <v>25134.35</v>
      </c>
      <c r="Q189" s="3">
        <v>19173.759999999998</v>
      </c>
      <c r="R189" s="3">
        <v>9636.7900000000009</v>
      </c>
      <c r="S189" s="3">
        <f>SUM(Table1[[#This Row],[Product_Cost]:[Other_Cost]])</f>
        <v>298960.59999999998</v>
      </c>
      <c r="T189" s="3">
        <f>Table1[[#This Row],[Net_Sales]]-Table1[[#This Row],[Product_Cost]]</f>
        <v>136176.60999999999</v>
      </c>
      <c r="U189" s="3">
        <f>Table1[[#This Row],[Net_Sales]]-Table1[[#This Row],[Total_Cost]]</f>
        <v>67907</v>
      </c>
      <c r="V189" s="4">
        <f>Table1[[#This Row],[Net_Profit]]/Table1[[#This Row],[Net_Sales]]</f>
        <v>0.18509947457883991</v>
      </c>
      <c r="W189" t="s">
        <v>33</v>
      </c>
      <c r="X189" t="s">
        <v>209</v>
      </c>
      <c r="Y189">
        <v>2</v>
      </c>
      <c r="Z189" t="str">
        <f>IF(Table1[[#This Row],[Month_No]]&lt;=6, "H1","H2")</f>
        <v>H1</v>
      </c>
    </row>
    <row r="190" spans="1:26" x14ac:dyDescent="0.25">
      <c r="A190" s="2">
        <v>45701</v>
      </c>
      <c r="B190" t="s">
        <v>264</v>
      </c>
      <c r="C190" t="s">
        <v>36</v>
      </c>
      <c r="D190" t="s">
        <v>74</v>
      </c>
      <c r="E190" t="s">
        <v>75</v>
      </c>
      <c r="F190" t="s">
        <v>30</v>
      </c>
      <c r="G190" t="s">
        <v>64</v>
      </c>
      <c r="H190" t="s">
        <v>41</v>
      </c>
      <c r="I190">
        <v>81</v>
      </c>
      <c r="J190" s="3">
        <v>5226.9799999999996</v>
      </c>
      <c r="K190" s="3">
        <f>Table1[[#This Row],[Quantity]]*Table1[[#This Row],[Unit_Price]]</f>
        <v>423385.37999999995</v>
      </c>
      <c r="L190" s="3">
        <v>32845.79</v>
      </c>
      <c r="M190" s="3">
        <f>Table1[[#This Row],[Gross_Sales]]-Table1[[#This Row],[Discount]]</f>
        <v>390539.58999999997</v>
      </c>
      <c r="N190" s="3">
        <v>297189.32</v>
      </c>
      <c r="O190" s="3">
        <v>15164.47</v>
      </c>
      <c r="P190" s="3">
        <v>25978.080000000002</v>
      </c>
      <c r="Q190" s="3">
        <v>20381.91</v>
      </c>
      <c r="R190" s="3">
        <v>12183.12</v>
      </c>
      <c r="S190" s="3">
        <f>SUM(Table1[[#This Row],[Product_Cost]:[Other_Cost]])</f>
        <v>370896.89999999997</v>
      </c>
      <c r="T190" s="3">
        <f>Table1[[#This Row],[Net_Sales]]-Table1[[#This Row],[Product_Cost]]</f>
        <v>93350.26999999996</v>
      </c>
      <c r="U190" s="3">
        <f>Table1[[#This Row],[Net_Sales]]-Table1[[#This Row],[Total_Cost]]</f>
        <v>19642.690000000002</v>
      </c>
      <c r="V190" s="4">
        <f>Table1[[#This Row],[Net_Profit]]/Table1[[#This Row],[Net_Sales]]</f>
        <v>5.0296283662304257E-2</v>
      </c>
      <c r="W190" t="s">
        <v>33</v>
      </c>
      <c r="X190" t="s">
        <v>209</v>
      </c>
      <c r="Y190">
        <v>2</v>
      </c>
      <c r="Z190" t="str">
        <f>IF(Table1[[#This Row],[Month_No]]&lt;=6, "H1","H2")</f>
        <v>H1</v>
      </c>
    </row>
    <row r="191" spans="1:26" x14ac:dyDescent="0.25">
      <c r="A191" s="2">
        <v>45701</v>
      </c>
      <c r="B191" t="s">
        <v>265</v>
      </c>
      <c r="C191" t="s">
        <v>107</v>
      </c>
      <c r="D191" t="s">
        <v>50</v>
      </c>
      <c r="E191" t="s">
        <v>51</v>
      </c>
      <c r="F191" t="s">
        <v>52</v>
      </c>
      <c r="G191" t="s">
        <v>58</v>
      </c>
      <c r="H191" t="s">
        <v>59</v>
      </c>
      <c r="I191">
        <v>84</v>
      </c>
      <c r="J191" s="3">
        <v>797.09</v>
      </c>
      <c r="K191" s="3">
        <f>Table1[[#This Row],[Quantity]]*Table1[[#This Row],[Unit_Price]]</f>
        <v>66955.56</v>
      </c>
      <c r="L191" s="3">
        <v>5194.99</v>
      </c>
      <c r="M191" s="3">
        <f>Table1[[#This Row],[Gross_Sales]]-Table1[[#This Row],[Discount]]</f>
        <v>61760.57</v>
      </c>
      <c r="N191" s="3">
        <v>41998</v>
      </c>
      <c r="O191" s="3">
        <v>1688.29</v>
      </c>
      <c r="P191" s="3">
        <v>4567.51</v>
      </c>
      <c r="Q191" s="3">
        <v>3263.56</v>
      </c>
      <c r="R191" s="3">
        <v>1320.54</v>
      </c>
      <c r="S191" s="3">
        <f>SUM(Table1[[#This Row],[Product_Cost]:[Other_Cost]])</f>
        <v>52837.9</v>
      </c>
      <c r="T191" s="3">
        <f>Table1[[#This Row],[Net_Sales]]-Table1[[#This Row],[Product_Cost]]</f>
        <v>19762.57</v>
      </c>
      <c r="U191" s="3">
        <f>Table1[[#This Row],[Net_Sales]]-Table1[[#This Row],[Total_Cost]]</f>
        <v>8922.6699999999983</v>
      </c>
      <c r="V191" s="4">
        <f>Table1[[#This Row],[Net_Profit]]/Table1[[#This Row],[Net_Sales]]</f>
        <v>0.14447195030745341</v>
      </c>
      <c r="W191" t="s">
        <v>33</v>
      </c>
      <c r="X191" t="s">
        <v>209</v>
      </c>
      <c r="Y191">
        <v>2</v>
      </c>
      <c r="Z191" t="str">
        <f>IF(Table1[[#This Row],[Month_No]]&lt;=6, "H1","H2")</f>
        <v>H1</v>
      </c>
    </row>
    <row r="192" spans="1:26" x14ac:dyDescent="0.25">
      <c r="A192" s="2">
        <v>45701</v>
      </c>
      <c r="B192" t="s">
        <v>266</v>
      </c>
      <c r="C192" t="s">
        <v>83</v>
      </c>
      <c r="D192" t="s">
        <v>66</v>
      </c>
      <c r="E192" t="s">
        <v>51</v>
      </c>
      <c r="F192" t="s">
        <v>52</v>
      </c>
      <c r="G192" t="s">
        <v>61</v>
      </c>
      <c r="H192" t="s">
        <v>41</v>
      </c>
      <c r="I192">
        <v>42</v>
      </c>
      <c r="J192" s="3">
        <v>1374.8</v>
      </c>
      <c r="K192" s="3">
        <f>Table1[[#This Row],[Quantity]]*Table1[[#This Row],[Unit_Price]]</f>
        <v>57741.599999999999</v>
      </c>
      <c r="L192" s="3">
        <v>4626.38</v>
      </c>
      <c r="M192" s="3">
        <f>Table1[[#This Row],[Gross_Sales]]-Table1[[#This Row],[Discount]]</f>
        <v>53115.22</v>
      </c>
      <c r="N192" s="3">
        <v>28500.43</v>
      </c>
      <c r="O192" s="3">
        <v>1360.25</v>
      </c>
      <c r="P192" s="3">
        <v>3495.83</v>
      </c>
      <c r="Q192" s="3">
        <v>2038.58</v>
      </c>
      <c r="R192" s="3">
        <v>1237.6600000000001</v>
      </c>
      <c r="S192" s="3">
        <f>SUM(Table1[[#This Row],[Product_Cost]:[Other_Cost]])</f>
        <v>36632.750000000007</v>
      </c>
      <c r="T192" s="3">
        <f>Table1[[#This Row],[Net_Sales]]-Table1[[#This Row],[Product_Cost]]</f>
        <v>24614.79</v>
      </c>
      <c r="U192" s="3">
        <f>Table1[[#This Row],[Net_Sales]]-Table1[[#This Row],[Total_Cost]]</f>
        <v>16482.469999999994</v>
      </c>
      <c r="V192" s="4">
        <f>Table1[[#This Row],[Net_Profit]]/Table1[[#This Row],[Net_Sales]]</f>
        <v>0.31031538606071846</v>
      </c>
      <c r="W192" t="s">
        <v>33</v>
      </c>
      <c r="X192" t="s">
        <v>209</v>
      </c>
      <c r="Y192">
        <v>2</v>
      </c>
      <c r="Z192" t="str">
        <f>IF(Table1[[#This Row],[Month_No]]&lt;=6, "H1","H2")</f>
        <v>H1</v>
      </c>
    </row>
    <row r="193" spans="1:26" x14ac:dyDescent="0.25">
      <c r="A193" s="2">
        <v>45701</v>
      </c>
      <c r="B193" t="s">
        <v>267</v>
      </c>
      <c r="C193" t="s">
        <v>63</v>
      </c>
      <c r="D193" t="s">
        <v>66</v>
      </c>
      <c r="E193" t="s">
        <v>51</v>
      </c>
      <c r="F193" t="s">
        <v>52</v>
      </c>
      <c r="G193" t="s">
        <v>58</v>
      </c>
      <c r="H193" t="s">
        <v>47</v>
      </c>
      <c r="I193">
        <v>60</v>
      </c>
      <c r="J193" s="3">
        <v>1401.2</v>
      </c>
      <c r="K193" s="3">
        <f>Table1[[#This Row],[Quantity]]*Table1[[#This Row],[Unit_Price]]</f>
        <v>84072</v>
      </c>
      <c r="L193" s="3">
        <v>7418.3</v>
      </c>
      <c r="M193" s="3">
        <f>Table1[[#This Row],[Gross_Sales]]-Table1[[#This Row],[Discount]]</f>
        <v>76653.7</v>
      </c>
      <c r="N193" s="3">
        <v>42500.41</v>
      </c>
      <c r="O193" s="3">
        <v>1891.74</v>
      </c>
      <c r="P193" s="3">
        <v>4509.63</v>
      </c>
      <c r="Q193" s="3">
        <v>3856.16</v>
      </c>
      <c r="R193" s="3">
        <v>1840.43</v>
      </c>
      <c r="S193" s="3">
        <f>SUM(Table1[[#This Row],[Product_Cost]:[Other_Cost]])</f>
        <v>54598.37</v>
      </c>
      <c r="T193" s="3">
        <f>Table1[[#This Row],[Net_Sales]]-Table1[[#This Row],[Product_Cost]]</f>
        <v>34153.289999999994</v>
      </c>
      <c r="U193" s="3">
        <f>Table1[[#This Row],[Net_Sales]]-Table1[[#This Row],[Total_Cost]]</f>
        <v>22055.329999999994</v>
      </c>
      <c r="V193" s="4">
        <f>Table1[[#This Row],[Net_Profit]]/Table1[[#This Row],[Net_Sales]]</f>
        <v>0.28772688076374653</v>
      </c>
      <c r="W193" t="s">
        <v>33</v>
      </c>
      <c r="X193" t="s">
        <v>209</v>
      </c>
      <c r="Y193">
        <v>2</v>
      </c>
      <c r="Z193" t="str">
        <f>IF(Table1[[#This Row],[Month_No]]&lt;=6, "H1","H2")</f>
        <v>H1</v>
      </c>
    </row>
    <row r="194" spans="1:26" x14ac:dyDescent="0.25">
      <c r="A194" s="2">
        <v>45701</v>
      </c>
      <c r="B194" t="s">
        <v>268</v>
      </c>
      <c r="C194" t="s">
        <v>83</v>
      </c>
      <c r="D194" t="s">
        <v>85</v>
      </c>
      <c r="E194" t="s">
        <v>57</v>
      </c>
      <c r="F194" t="s">
        <v>52</v>
      </c>
      <c r="G194" t="s">
        <v>86</v>
      </c>
      <c r="H194" t="s">
        <v>41</v>
      </c>
      <c r="I194">
        <v>68</v>
      </c>
      <c r="J194" s="3">
        <v>1901.7</v>
      </c>
      <c r="K194" s="3">
        <f>Table1[[#This Row],[Quantity]]*Table1[[#This Row],[Unit_Price]]</f>
        <v>129315.6</v>
      </c>
      <c r="L194" s="3">
        <v>9695.34</v>
      </c>
      <c r="M194" s="3">
        <f>Table1[[#This Row],[Gross_Sales]]-Table1[[#This Row],[Discount]]</f>
        <v>119620.26000000001</v>
      </c>
      <c r="N194" s="3">
        <v>82897.66</v>
      </c>
      <c r="O194" s="3">
        <v>3193.04</v>
      </c>
      <c r="P194" s="3">
        <v>8412.73</v>
      </c>
      <c r="Q194" s="3">
        <v>5694.68</v>
      </c>
      <c r="R194" s="3">
        <v>3236.56</v>
      </c>
      <c r="S194" s="3">
        <f>SUM(Table1[[#This Row],[Product_Cost]:[Other_Cost]])</f>
        <v>103434.66999999998</v>
      </c>
      <c r="T194" s="3">
        <f>Table1[[#This Row],[Net_Sales]]-Table1[[#This Row],[Product_Cost]]</f>
        <v>36722.600000000006</v>
      </c>
      <c r="U194" s="3">
        <f>Table1[[#This Row],[Net_Sales]]-Table1[[#This Row],[Total_Cost]]</f>
        <v>16185.590000000026</v>
      </c>
      <c r="V194" s="4">
        <f>Table1[[#This Row],[Net_Profit]]/Table1[[#This Row],[Net_Sales]]</f>
        <v>0.1353080991464157</v>
      </c>
      <c r="W194" t="s">
        <v>33</v>
      </c>
      <c r="X194" t="s">
        <v>209</v>
      </c>
      <c r="Y194">
        <v>2</v>
      </c>
      <c r="Z194" t="str">
        <f>IF(Table1[[#This Row],[Month_No]]&lt;=6, "H1","H2")</f>
        <v>H1</v>
      </c>
    </row>
    <row r="195" spans="1:26" x14ac:dyDescent="0.25">
      <c r="A195" s="2">
        <v>45702</v>
      </c>
      <c r="B195" t="s">
        <v>269</v>
      </c>
      <c r="C195" t="s">
        <v>43</v>
      </c>
      <c r="D195" t="s">
        <v>68</v>
      </c>
      <c r="E195" t="s">
        <v>29</v>
      </c>
      <c r="F195" t="s">
        <v>52</v>
      </c>
      <c r="G195" t="s">
        <v>71</v>
      </c>
      <c r="H195" t="s">
        <v>41</v>
      </c>
      <c r="I195">
        <v>106</v>
      </c>
      <c r="J195" s="3">
        <v>347.96</v>
      </c>
      <c r="K195" s="3">
        <f>Table1[[#This Row],[Quantity]]*Table1[[#This Row],[Unit_Price]]</f>
        <v>36883.759999999995</v>
      </c>
      <c r="L195" s="3">
        <v>2921.55</v>
      </c>
      <c r="M195" s="3">
        <f>Table1[[#This Row],[Gross_Sales]]-Table1[[#This Row],[Discount]]</f>
        <v>33962.209999999992</v>
      </c>
      <c r="N195" s="3">
        <v>25580.09</v>
      </c>
      <c r="O195" s="3">
        <v>796.22</v>
      </c>
      <c r="P195" s="3">
        <v>1994.46</v>
      </c>
      <c r="Q195" s="3">
        <v>1271.08</v>
      </c>
      <c r="R195" s="3">
        <v>871.56</v>
      </c>
      <c r="S195" s="3">
        <f>SUM(Table1[[#This Row],[Product_Cost]:[Other_Cost]])</f>
        <v>30513.41</v>
      </c>
      <c r="T195" s="3">
        <f>Table1[[#This Row],[Net_Sales]]-Table1[[#This Row],[Product_Cost]]</f>
        <v>8382.1199999999917</v>
      </c>
      <c r="U195" s="3">
        <f>Table1[[#This Row],[Net_Sales]]-Table1[[#This Row],[Total_Cost]]</f>
        <v>3448.799999999992</v>
      </c>
      <c r="V195" s="4">
        <f>Table1[[#This Row],[Net_Profit]]/Table1[[#This Row],[Net_Sales]]</f>
        <v>0.10154816191290239</v>
      </c>
      <c r="W195" t="s">
        <v>33</v>
      </c>
      <c r="X195" t="s">
        <v>209</v>
      </c>
      <c r="Y195">
        <v>2</v>
      </c>
      <c r="Z195" t="str">
        <f>IF(Table1[[#This Row],[Month_No]]&lt;=6, "H1","H2")</f>
        <v>H1</v>
      </c>
    </row>
    <row r="196" spans="1:26" x14ac:dyDescent="0.25">
      <c r="A196" s="2">
        <v>45702</v>
      </c>
      <c r="B196" t="s">
        <v>270</v>
      </c>
      <c r="C196" t="s">
        <v>70</v>
      </c>
      <c r="D196" t="s">
        <v>85</v>
      </c>
      <c r="E196" t="s">
        <v>57</v>
      </c>
      <c r="F196" t="s">
        <v>52</v>
      </c>
      <c r="G196" t="s">
        <v>40</v>
      </c>
      <c r="H196" t="s">
        <v>41</v>
      </c>
      <c r="I196">
        <v>52</v>
      </c>
      <c r="J196" s="3">
        <v>1917.02</v>
      </c>
      <c r="K196" s="3">
        <f>Table1[[#This Row],[Quantity]]*Table1[[#This Row],[Unit_Price]]</f>
        <v>99685.04</v>
      </c>
      <c r="L196" s="3">
        <v>8233.59</v>
      </c>
      <c r="M196" s="3">
        <f>Table1[[#This Row],[Gross_Sales]]-Table1[[#This Row],[Discount]]</f>
        <v>91451.45</v>
      </c>
      <c r="N196" s="3">
        <v>63167.8</v>
      </c>
      <c r="O196" s="3">
        <v>2547.41</v>
      </c>
      <c r="P196" s="3">
        <v>6089.17</v>
      </c>
      <c r="Q196" s="3">
        <v>3771.33</v>
      </c>
      <c r="R196" s="3">
        <v>2445.85</v>
      </c>
      <c r="S196" s="3">
        <f>SUM(Table1[[#This Row],[Product_Cost]:[Other_Cost]])</f>
        <v>78021.560000000012</v>
      </c>
      <c r="T196" s="3">
        <f>Table1[[#This Row],[Net_Sales]]-Table1[[#This Row],[Product_Cost]]</f>
        <v>28283.649999999994</v>
      </c>
      <c r="U196" s="3">
        <f>Table1[[#This Row],[Net_Sales]]-Table1[[#This Row],[Total_Cost]]</f>
        <v>13429.889999999985</v>
      </c>
      <c r="V196" s="4">
        <f>Table1[[#This Row],[Net_Profit]]/Table1[[#This Row],[Net_Sales]]</f>
        <v>0.14685267428783236</v>
      </c>
      <c r="W196" t="s">
        <v>33</v>
      </c>
      <c r="X196" t="s">
        <v>209</v>
      </c>
      <c r="Y196">
        <v>2</v>
      </c>
      <c r="Z196" t="str">
        <f>IF(Table1[[#This Row],[Month_No]]&lt;=6, "H1","H2")</f>
        <v>H1</v>
      </c>
    </row>
    <row r="197" spans="1:26" x14ac:dyDescent="0.25">
      <c r="A197" s="2">
        <v>45702</v>
      </c>
      <c r="B197" t="s">
        <v>271</v>
      </c>
      <c r="C197" t="s">
        <v>78</v>
      </c>
      <c r="D197" t="s">
        <v>68</v>
      </c>
      <c r="E197" t="s">
        <v>29</v>
      </c>
      <c r="F197" t="s">
        <v>52</v>
      </c>
      <c r="G197" t="s">
        <v>86</v>
      </c>
      <c r="H197" t="s">
        <v>32</v>
      </c>
      <c r="I197">
        <v>111</v>
      </c>
      <c r="J197" s="3">
        <v>362.95</v>
      </c>
      <c r="K197" s="3">
        <f>Table1[[#This Row],[Quantity]]*Table1[[#This Row],[Unit_Price]]</f>
        <v>40287.449999999997</v>
      </c>
      <c r="L197" s="3">
        <v>3905.7</v>
      </c>
      <c r="M197" s="3">
        <f>Table1[[#This Row],[Gross_Sales]]-Table1[[#This Row],[Discount]]</f>
        <v>36381.75</v>
      </c>
      <c r="N197" s="3">
        <v>27744.07</v>
      </c>
      <c r="O197" s="3">
        <v>924.26</v>
      </c>
      <c r="P197" s="3">
        <v>2492.0300000000002</v>
      </c>
      <c r="Q197" s="3">
        <v>1927.63</v>
      </c>
      <c r="R197" s="3">
        <v>829.24</v>
      </c>
      <c r="S197" s="3">
        <f>SUM(Table1[[#This Row],[Product_Cost]:[Other_Cost]])</f>
        <v>33917.229999999996</v>
      </c>
      <c r="T197" s="3">
        <f>Table1[[#This Row],[Net_Sales]]-Table1[[#This Row],[Product_Cost]]</f>
        <v>8637.68</v>
      </c>
      <c r="U197" s="3">
        <f>Table1[[#This Row],[Net_Sales]]-Table1[[#This Row],[Total_Cost]]</f>
        <v>2464.5200000000041</v>
      </c>
      <c r="V197" s="4">
        <f>Table1[[#This Row],[Net_Profit]]/Table1[[#This Row],[Net_Sales]]</f>
        <v>6.7740556735176399E-2</v>
      </c>
      <c r="W197" t="s">
        <v>72</v>
      </c>
      <c r="X197" t="s">
        <v>209</v>
      </c>
      <c r="Y197">
        <v>2</v>
      </c>
      <c r="Z197" t="str">
        <f>IF(Table1[[#This Row],[Month_No]]&lt;=6, "H1","H2")</f>
        <v>H1</v>
      </c>
    </row>
    <row r="198" spans="1:26" x14ac:dyDescent="0.25">
      <c r="A198" s="2">
        <v>45702</v>
      </c>
      <c r="B198" t="s">
        <v>272</v>
      </c>
      <c r="C198" t="s">
        <v>27</v>
      </c>
      <c r="D198" t="s">
        <v>183</v>
      </c>
      <c r="E198" t="s">
        <v>38</v>
      </c>
      <c r="F198" t="s">
        <v>52</v>
      </c>
      <c r="G198" t="s">
        <v>31</v>
      </c>
      <c r="H198" t="s">
        <v>41</v>
      </c>
      <c r="I198">
        <v>39</v>
      </c>
      <c r="J198" s="3">
        <v>6050.11</v>
      </c>
      <c r="K198" s="3">
        <f>Table1[[#This Row],[Quantity]]*Table1[[#This Row],[Unit_Price]]</f>
        <v>235954.28999999998</v>
      </c>
      <c r="L198" s="3">
        <v>17355.740000000002</v>
      </c>
      <c r="M198" s="3">
        <f>Table1[[#This Row],[Gross_Sales]]-Table1[[#This Row],[Discount]]</f>
        <v>218598.55</v>
      </c>
      <c r="N198" s="3">
        <v>125277.1</v>
      </c>
      <c r="O198" s="3">
        <v>5457.62</v>
      </c>
      <c r="P198" s="3">
        <v>13359.03</v>
      </c>
      <c r="Q198" s="3">
        <v>7896.51</v>
      </c>
      <c r="R198" s="3">
        <v>6204.09</v>
      </c>
      <c r="S198" s="3">
        <f>SUM(Table1[[#This Row],[Product_Cost]:[Other_Cost]])</f>
        <v>158194.35</v>
      </c>
      <c r="T198" s="3">
        <f>Table1[[#This Row],[Net_Sales]]-Table1[[#This Row],[Product_Cost]]</f>
        <v>93321.449999999983</v>
      </c>
      <c r="U198" s="3">
        <f>Table1[[#This Row],[Net_Sales]]-Table1[[#This Row],[Total_Cost]]</f>
        <v>60404.199999999983</v>
      </c>
      <c r="V198" s="4">
        <f>Table1[[#This Row],[Net_Profit]]/Table1[[#This Row],[Net_Sales]]</f>
        <v>0.27632479721388814</v>
      </c>
      <c r="W198" t="s">
        <v>72</v>
      </c>
      <c r="X198" t="s">
        <v>209</v>
      </c>
      <c r="Y198">
        <v>2</v>
      </c>
      <c r="Z198" t="str">
        <f>IF(Table1[[#This Row],[Month_No]]&lt;=6, "H1","H2")</f>
        <v>H1</v>
      </c>
    </row>
    <row r="199" spans="1:26" x14ac:dyDescent="0.25">
      <c r="A199" s="2">
        <v>45702</v>
      </c>
      <c r="B199" t="s">
        <v>273</v>
      </c>
      <c r="C199" t="s">
        <v>49</v>
      </c>
      <c r="D199" t="s">
        <v>56</v>
      </c>
      <c r="E199" t="s">
        <v>57</v>
      </c>
      <c r="F199" t="s">
        <v>52</v>
      </c>
      <c r="G199" t="s">
        <v>40</v>
      </c>
      <c r="H199" t="s">
        <v>41</v>
      </c>
      <c r="I199">
        <v>41</v>
      </c>
      <c r="J199" s="3">
        <v>2987.21</v>
      </c>
      <c r="K199" s="3">
        <f>Table1[[#This Row],[Quantity]]*Table1[[#This Row],[Unit_Price]]</f>
        <v>122475.61</v>
      </c>
      <c r="L199" s="3">
        <v>10890.95</v>
      </c>
      <c r="M199" s="3">
        <f>Table1[[#This Row],[Gross_Sales]]-Table1[[#This Row],[Discount]]</f>
        <v>111584.66</v>
      </c>
      <c r="N199" s="3">
        <v>63899.4</v>
      </c>
      <c r="O199" s="3">
        <v>2871.87</v>
      </c>
      <c r="P199" s="3">
        <v>6317.24</v>
      </c>
      <c r="Q199" s="3">
        <v>3970.14</v>
      </c>
      <c r="R199" s="3">
        <v>3441.18</v>
      </c>
      <c r="S199" s="3">
        <f>SUM(Table1[[#This Row],[Product_Cost]:[Other_Cost]])</f>
        <v>80499.83</v>
      </c>
      <c r="T199" s="3">
        <f>Table1[[#This Row],[Net_Sales]]-Table1[[#This Row],[Product_Cost]]</f>
        <v>47685.26</v>
      </c>
      <c r="U199" s="3">
        <f>Table1[[#This Row],[Net_Sales]]-Table1[[#This Row],[Total_Cost]]</f>
        <v>31084.83</v>
      </c>
      <c r="V199" s="4">
        <f>Table1[[#This Row],[Net_Profit]]/Table1[[#This Row],[Net_Sales]]</f>
        <v>0.27857619497160274</v>
      </c>
      <c r="W199" t="s">
        <v>33</v>
      </c>
      <c r="X199" t="s">
        <v>209</v>
      </c>
      <c r="Y199">
        <v>2</v>
      </c>
      <c r="Z199" t="str">
        <f>IF(Table1[[#This Row],[Month_No]]&lt;=6, "H1","H2")</f>
        <v>H1</v>
      </c>
    </row>
    <row r="200" spans="1:26" x14ac:dyDescent="0.25">
      <c r="A200" s="2">
        <v>45702</v>
      </c>
      <c r="B200" t="s">
        <v>274</v>
      </c>
      <c r="C200" t="s">
        <v>55</v>
      </c>
      <c r="D200" t="s">
        <v>44</v>
      </c>
      <c r="E200" t="s">
        <v>45</v>
      </c>
      <c r="F200" t="s">
        <v>52</v>
      </c>
      <c r="G200" t="s">
        <v>31</v>
      </c>
      <c r="H200" t="s">
        <v>41</v>
      </c>
      <c r="I200">
        <v>58</v>
      </c>
      <c r="J200" s="3">
        <v>4232.57</v>
      </c>
      <c r="K200" s="3">
        <f>Table1[[#This Row],[Quantity]]*Table1[[#This Row],[Unit_Price]]</f>
        <v>245489.06</v>
      </c>
      <c r="L200" s="3">
        <v>21970.13</v>
      </c>
      <c r="M200" s="3">
        <f>Table1[[#This Row],[Gross_Sales]]-Table1[[#This Row],[Discount]]</f>
        <v>223518.93</v>
      </c>
      <c r="N200" s="3">
        <v>160368.38</v>
      </c>
      <c r="O200" s="3">
        <v>5700.04</v>
      </c>
      <c r="P200" s="3">
        <v>14874.69</v>
      </c>
      <c r="Q200" s="3">
        <v>8910.84</v>
      </c>
      <c r="R200" s="3">
        <v>5411.38</v>
      </c>
      <c r="S200" s="3">
        <f>SUM(Table1[[#This Row],[Product_Cost]:[Other_Cost]])</f>
        <v>195265.33000000002</v>
      </c>
      <c r="T200" s="3">
        <f>Table1[[#This Row],[Net_Sales]]-Table1[[#This Row],[Product_Cost]]</f>
        <v>63150.549999999988</v>
      </c>
      <c r="U200" s="3">
        <f>Table1[[#This Row],[Net_Sales]]-Table1[[#This Row],[Total_Cost]]</f>
        <v>28253.599999999977</v>
      </c>
      <c r="V200" s="4">
        <f>Table1[[#This Row],[Net_Profit]]/Table1[[#This Row],[Net_Sales]]</f>
        <v>0.12640361154198429</v>
      </c>
      <c r="W200" t="s">
        <v>33</v>
      </c>
      <c r="X200" t="s">
        <v>209</v>
      </c>
      <c r="Y200">
        <v>2</v>
      </c>
      <c r="Z200" t="str">
        <f>IF(Table1[[#This Row],[Month_No]]&lt;=6, "H1","H2")</f>
        <v>H1</v>
      </c>
    </row>
    <row r="201" spans="1:26" x14ac:dyDescent="0.25">
      <c r="A201" s="2">
        <v>45702</v>
      </c>
      <c r="B201" t="s">
        <v>275</v>
      </c>
      <c r="C201" t="s">
        <v>70</v>
      </c>
      <c r="D201" t="s">
        <v>68</v>
      </c>
      <c r="E201" t="s">
        <v>29</v>
      </c>
      <c r="F201" t="s">
        <v>30</v>
      </c>
      <c r="G201" t="s">
        <v>58</v>
      </c>
      <c r="H201" t="s">
        <v>41</v>
      </c>
      <c r="I201">
        <v>97</v>
      </c>
      <c r="J201" s="3">
        <v>355.77</v>
      </c>
      <c r="K201" s="3">
        <f>Table1[[#This Row],[Quantity]]*Table1[[#This Row],[Unit_Price]]</f>
        <v>34509.689999999995</v>
      </c>
      <c r="L201" s="3">
        <v>2732.78</v>
      </c>
      <c r="M201" s="3">
        <f>Table1[[#This Row],[Gross_Sales]]-Table1[[#This Row],[Discount]]</f>
        <v>31776.909999999996</v>
      </c>
      <c r="N201" s="3">
        <v>25294.16</v>
      </c>
      <c r="O201" s="3">
        <v>1174.68</v>
      </c>
      <c r="P201" s="3">
        <v>2043.24</v>
      </c>
      <c r="Q201" s="3">
        <v>1734.31</v>
      </c>
      <c r="R201" s="3">
        <v>784.3</v>
      </c>
      <c r="S201" s="3">
        <f>SUM(Table1[[#This Row],[Product_Cost]:[Other_Cost]])</f>
        <v>31030.690000000002</v>
      </c>
      <c r="T201" s="3">
        <f>Table1[[#This Row],[Net_Sales]]-Table1[[#This Row],[Product_Cost]]</f>
        <v>6482.7499999999964</v>
      </c>
      <c r="U201" s="3">
        <f>Table1[[#This Row],[Net_Sales]]-Table1[[#This Row],[Total_Cost]]</f>
        <v>746.21999999999389</v>
      </c>
      <c r="V201" s="4">
        <f>Table1[[#This Row],[Net_Profit]]/Table1[[#This Row],[Net_Sales]]</f>
        <v>2.348308882141133E-2</v>
      </c>
      <c r="W201" t="s">
        <v>33</v>
      </c>
      <c r="X201" t="s">
        <v>209</v>
      </c>
      <c r="Y201">
        <v>2</v>
      </c>
      <c r="Z201" t="str">
        <f>IF(Table1[[#This Row],[Month_No]]&lt;=6, "H1","H2")</f>
        <v>H1</v>
      </c>
    </row>
    <row r="202" spans="1:26" x14ac:dyDescent="0.25">
      <c r="A202" s="2">
        <v>45702</v>
      </c>
      <c r="B202" t="s">
        <v>276</v>
      </c>
      <c r="C202" t="s">
        <v>27</v>
      </c>
      <c r="D202" t="s">
        <v>183</v>
      </c>
      <c r="E202" t="s">
        <v>38</v>
      </c>
      <c r="F202" t="s">
        <v>39</v>
      </c>
      <c r="G202" t="s">
        <v>58</v>
      </c>
      <c r="H202" t="s">
        <v>59</v>
      </c>
      <c r="I202">
        <v>52</v>
      </c>
      <c r="J202" s="3">
        <v>6095.7</v>
      </c>
      <c r="K202" s="3">
        <f>Table1[[#This Row],[Quantity]]*Table1[[#This Row],[Unit_Price]]</f>
        <v>316976.39999999997</v>
      </c>
      <c r="L202" s="3">
        <v>22056.11</v>
      </c>
      <c r="M202" s="3">
        <f>Table1[[#This Row],[Gross_Sales]]-Table1[[#This Row],[Discount]]</f>
        <v>294920.28999999998</v>
      </c>
      <c r="N202" s="3">
        <v>177605.86</v>
      </c>
      <c r="O202" s="3">
        <v>13197.15</v>
      </c>
      <c r="P202" s="3">
        <v>20929.86</v>
      </c>
      <c r="Q202" s="3">
        <v>15840.67</v>
      </c>
      <c r="R202" s="3">
        <v>8161.33</v>
      </c>
      <c r="S202" s="3">
        <f>SUM(Table1[[#This Row],[Product_Cost]:[Other_Cost]])</f>
        <v>235734.87</v>
      </c>
      <c r="T202" s="3">
        <f>Table1[[#This Row],[Net_Sales]]-Table1[[#This Row],[Product_Cost]]</f>
        <v>117314.43</v>
      </c>
      <c r="U202" s="3">
        <f>Table1[[#This Row],[Net_Sales]]-Table1[[#This Row],[Total_Cost]]</f>
        <v>59185.419999999984</v>
      </c>
      <c r="V202" s="4">
        <f>Table1[[#This Row],[Net_Profit]]/Table1[[#This Row],[Net_Sales]]</f>
        <v>0.20068276753695036</v>
      </c>
      <c r="W202" t="s">
        <v>72</v>
      </c>
      <c r="X202" t="s">
        <v>209</v>
      </c>
      <c r="Y202">
        <v>2</v>
      </c>
      <c r="Z202" t="str">
        <f>IF(Table1[[#This Row],[Month_No]]&lt;=6, "H1","H2")</f>
        <v>H1</v>
      </c>
    </row>
    <row r="203" spans="1:26" x14ac:dyDescent="0.25">
      <c r="A203" s="2">
        <v>45702</v>
      </c>
      <c r="B203" t="s">
        <v>277</v>
      </c>
      <c r="C203" t="s">
        <v>55</v>
      </c>
      <c r="D203" t="s">
        <v>56</v>
      </c>
      <c r="E203" t="s">
        <v>57</v>
      </c>
      <c r="F203" t="s">
        <v>52</v>
      </c>
      <c r="G203" t="s">
        <v>58</v>
      </c>
      <c r="H203" t="s">
        <v>59</v>
      </c>
      <c r="I203">
        <v>19</v>
      </c>
      <c r="J203" s="3">
        <v>3138.05</v>
      </c>
      <c r="K203" s="3">
        <f>Table1[[#This Row],[Quantity]]*Table1[[#This Row],[Unit_Price]]</f>
        <v>59622.950000000004</v>
      </c>
      <c r="L203" s="3">
        <v>4700.43</v>
      </c>
      <c r="M203" s="3">
        <f>Table1[[#This Row],[Gross_Sales]]-Table1[[#This Row],[Discount]]</f>
        <v>54922.520000000004</v>
      </c>
      <c r="N203" s="3">
        <v>32451.8</v>
      </c>
      <c r="O203" s="3">
        <v>1389.87</v>
      </c>
      <c r="P203" s="3">
        <v>3297.13</v>
      </c>
      <c r="Q203" s="3">
        <v>2588.29</v>
      </c>
      <c r="R203" s="3">
        <v>1453.98</v>
      </c>
      <c r="S203" s="3">
        <f>SUM(Table1[[#This Row],[Product_Cost]:[Other_Cost]])</f>
        <v>41181.07</v>
      </c>
      <c r="T203" s="3">
        <f>Table1[[#This Row],[Net_Sales]]-Table1[[#This Row],[Product_Cost]]</f>
        <v>22470.720000000005</v>
      </c>
      <c r="U203" s="3">
        <f>Table1[[#This Row],[Net_Sales]]-Table1[[#This Row],[Total_Cost]]</f>
        <v>13741.450000000004</v>
      </c>
      <c r="V203" s="4">
        <f>Table1[[#This Row],[Net_Profit]]/Table1[[#This Row],[Net_Sales]]</f>
        <v>0.25019700479876023</v>
      </c>
      <c r="W203" t="s">
        <v>72</v>
      </c>
      <c r="X203" t="s">
        <v>209</v>
      </c>
      <c r="Y203">
        <v>2</v>
      </c>
      <c r="Z203" t="str">
        <f>IF(Table1[[#This Row],[Month_No]]&lt;=6, "H1","H2")</f>
        <v>H1</v>
      </c>
    </row>
    <row r="204" spans="1:26" x14ac:dyDescent="0.25">
      <c r="A204" s="2">
        <v>45702</v>
      </c>
      <c r="B204" t="s">
        <v>278</v>
      </c>
      <c r="C204" t="s">
        <v>36</v>
      </c>
      <c r="D204" t="s">
        <v>44</v>
      </c>
      <c r="E204" t="s">
        <v>45</v>
      </c>
      <c r="F204" t="s">
        <v>52</v>
      </c>
      <c r="G204" t="s">
        <v>61</v>
      </c>
      <c r="H204" t="s">
        <v>47</v>
      </c>
      <c r="I204">
        <v>65</v>
      </c>
      <c r="J204" s="3">
        <v>4198.12</v>
      </c>
      <c r="K204" s="3">
        <f>Table1[[#This Row],[Quantity]]*Table1[[#This Row],[Unit_Price]]</f>
        <v>272877.8</v>
      </c>
      <c r="L204" s="3">
        <v>23333.66</v>
      </c>
      <c r="M204" s="3">
        <f>Table1[[#This Row],[Gross_Sales]]-Table1[[#This Row],[Discount]]</f>
        <v>249544.13999999998</v>
      </c>
      <c r="N204" s="3">
        <v>183587.3</v>
      </c>
      <c r="O204" s="3">
        <v>6511.89</v>
      </c>
      <c r="P204" s="3">
        <v>17878.16</v>
      </c>
      <c r="Q204" s="3">
        <v>13127.67</v>
      </c>
      <c r="R204" s="3">
        <v>5130.24</v>
      </c>
      <c r="S204" s="3">
        <f>SUM(Table1[[#This Row],[Product_Cost]:[Other_Cost]])</f>
        <v>226235.26</v>
      </c>
      <c r="T204" s="3">
        <f>Table1[[#This Row],[Net_Sales]]-Table1[[#This Row],[Product_Cost]]</f>
        <v>65956.84</v>
      </c>
      <c r="U204" s="3">
        <f>Table1[[#This Row],[Net_Sales]]-Table1[[#This Row],[Total_Cost]]</f>
        <v>23308.879999999976</v>
      </c>
      <c r="V204" s="4">
        <f>Table1[[#This Row],[Net_Profit]]/Table1[[#This Row],[Net_Sales]]</f>
        <v>9.3405839944788835E-2</v>
      </c>
      <c r="W204" t="s">
        <v>33</v>
      </c>
      <c r="X204" t="s">
        <v>209</v>
      </c>
      <c r="Y204">
        <v>2</v>
      </c>
      <c r="Z204" t="str">
        <f>IF(Table1[[#This Row],[Month_No]]&lt;=6, "H1","H2")</f>
        <v>H1</v>
      </c>
    </row>
    <row r="205" spans="1:26" x14ac:dyDescent="0.25">
      <c r="A205" s="2">
        <v>45703</v>
      </c>
      <c r="B205" t="s">
        <v>279</v>
      </c>
      <c r="C205" t="s">
        <v>117</v>
      </c>
      <c r="D205" t="s">
        <v>44</v>
      </c>
      <c r="E205" t="s">
        <v>45</v>
      </c>
      <c r="F205" t="s">
        <v>52</v>
      </c>
      <c r="G205" t="s">
        <v>76</v>
      </c>
      <c r="H205" t="s">
        <v>41</v>
      </c>
      <c r="I205">
        <v>64</v>
      </c>
      <c r="J205" s="3">
        <v>4109.96</v>
      </c>
      <c r="K205" s="3">
        <f>Table1[[#This Row],[Quantity]]*Table1[[#This Row],[Unit_Price]]</f>
        <v>263037.44</v>
      </c>
      <c r="L205" s="3">
        <v>23431.01</v>
      </c>
      <c r="M205" s="3">
        <f>Table1[[#This Row],[Gross_Sales]]-Table1[[#This Row],[Discount]]</f>
        <v>239606.43</v>
      </c>
      <c r="N205" s="3">
        <v>173657.7</v>
      </c>
      <c r="O205" s="3">
        <v>6175.36</v>
      </c>
      <c r="P205" s="3">
        <v>15959.81</v>
      </c>
      <c r="Q205" s="3">
        <v>9870.91</v>
      </c>
      <c r="R205" s="3">
        <v>5816.91</v>
      </c>
      <c r="S205" s="3">
        <f>SUM(Table1[[#This Row],[Product_Cost]:[Other_Cost]])</f>
        <v>211480.69</v>
      </c>
      <c r="T205" s="3">
        <f>Table1[[#This Row],[Net_Sales]]-Table1[[#This Row],[Product_Cost]]</f>
        <v>65948.729999999981</v>
      </c>
      <c r="U205" s="3">
        <f>Table1[[#This Row],[Net_Sales]]-Table1[[#This Row],[Total_Cost]]</f>
        <v>28125.739999999991</v>
      </c>
      <c r="V205" s="4">
        <f>Table1[[#This Row],[Net_Profit]]/Table1[[#This Row],[Net_Sales]]</f>
        <v>0.11738307690657547</v>
      </c>
      <c r="W205" t="s">
        <v>33</v>
      </c>
      <c r="X205" t="s">
        <v>209</v>
      </c>
      <c r="Y205">
        <v>2</v>
      </c>
      <c r="Z205" t="str">
        <f>IF(Table1[[#This Row],[Month_No]]&lt;=6, "H1","H2")</f>
        <v>H1</v>
      </c>
    </row>
    <row r="206" spans="1:26" x14ac:dyDescent="0.25">
      <c r="A206" s="2">
        <v>45703</v>
      </c>
      <c r="B206" t="s">
        <v>280</v>
      </c>
      <c r="C206" t="s">
        <v>43</v>
      </c>
      <c r="D206" t="s">
        <v>183</v>
      </c>
      <c r="E206" t="s">
        <v>38</v>
      </c>
      <c r="F206" t="s">
        <v>30</v>
      </c>
      <c r="G206" t="s">
        <v>61</v>
      </c>
      <c r="H206" t="s">
        <v>47</v>
      </c>
      <c r="I206">
        <v>53</v>
      </c>
      <c r="J206" s="3">
        <v>6336.15</v>
      </c>
      <c r="K206" s="3">
        <f>Table1[[#This Row],[Quantity]]*Table1[[#This Row],[Unit_Price]]</f>
        <v>335815.94999999995</v>
      </c>
      <c r="L206" s="3">
        <v>23341.040000000001</v>
      </c>
      <c r="M206" s="3">
        <f>Table1[[#This Row],[Gross_Sales]]-Table1[[#This Row],[Discount]]</f>
        <v>312474.90999999997</v>
      </c>
      <c r="N206" s="3">
        <v>186960.63</v>
      </c>
      <c r="O206" s="3">
        <v>11477.04</v>
      </c>
      <c r="P206" s="3">
        <v>20779.919999999998</v>
      </c>
      <c r="Q206" s="3">
        <v>12676.53</v>
      </c>
      <c r="R206" s="3">
        <v>7480.71</v>
      </c>
      <c r="S206" s="3">
        <f>SUM(Table1[[#This Row],[Product_Cost]:[Other_Cost]])</f>
        <v>239374.83000000002</v>
      </c>
      <c r="T206" s="3">
        <f>Table1[[#This Row],[Net_Sales]]-Table1[[#This Row],[Product_Cost]]</f>
        <v>125514.27999999997</v>
      </c>
      <c r="U206" s="3">
        <f>Table1[[#This Row],[Net_Sales]]-Table1[[#This Row],[Total_Cost]]</f>
        <v>73100.079999999958</v>
      </c>
      <c r="V206" s="4">
        <f>Table1[[#This Row],[Net_Profit]]/Table1[[#This Row],[Net_Sales]]</f>
        <v>0.23393903849752276</v>
      </c>
      <c r="W206" t="s">
        <v>33</v>
      </c>
      <c r="X206" t="s">
        <v>209</v>
      </c>
      <c r="Y206">
        <v>2</v>
      </c>
      <c r="Z206" t="str">
        <f>IF(Table1[[#This Row],[Month_No]]&lt;=6, "H1","H2")</f>
        <v>H1</v>
      </c>
    </row>
    <row r="207" spans="1:26" x14ac:dyDescent="0.25">
      <c r="A207" s="2">
        <v>45703</v>
      </c>
      <c r="B207" t="s">
        <v>281</v>
      </c>
      <c r="C207" t="s">
        <v>55</v>
      </c>
      <c r="D207" t="s">
        <v>74</v>
      </c>
      <c r="E207" t="s">
        <v>75</v>
      </c>
      <c r="F207" t="s">
        <v>30</v>
      </c>
      <c r="G207" t="s">
        <v>64</v>
      </c>
      <c r="H207" t="s">
        <v>41</v>
      </c>
      <c r="I207">
        <v>75</v>
      </c>
      <c r="J207" s="3">
        <v>5416.93</v>
      </c>
      <c r="K207" s="3">
        <f>Table1[[#This Row],[Quantity]]*Table1[[#This Row],[Unit_Price]]</f>
        <v>406269.75</v>
      </c>
      <c r="L207" s="3">
        <v>33667.46</v>
      </c>
      <c r="M207" s="3">
        <f>Table1[[#This Row],[Gross_Sales]]-Table1[[#This Row],[Discount]]</f>
        <v>372602.29</v>
      </c>
      <c r="N207" s="3">
        <v>271974.84000000003</v>
      </c>
      <c r="O207" s="3">
        <v>14379.12</v>
      </c>
      <c r="P207" s="3">
        <v>22261.02</v>
      </c>
      <c r="Q207" s="3">
        <v>18524.53</v>
      </c>
      <c r="R207" s="3">
        <v>11659.99</v>
      </c>
      <c r="S207" s="3">
        <f>SUM(Table1[[#This Row],[Product_Cost]:[Other_Cost]])</f>
        <v>338799.5</v>
      </c>
      <c r="T207" s="3">
        <f>Table1[[#This Row],[Net_Sales]]-Table1[[#This Row],[Product_Cost]]</f>
        <v>100627.44999999995</v>
      </c>
      <c r="U207" s="3">
        <f>Table1[[#This Row],[Net_Sales]]-Table1[[#This Row],[Total_Cost]]</f>
        <v>33802.789999999979</v>
      </c>
      <c r="V207" s="4">
        <f>Table1[[#This Row],[Net_Profit]]/Table1[[#This Row],[Net_Sales]]</f>
        <v>9.0720832660475551E-2</v>
      </c>
      <c r="W207" t="s">
        <v>33</v>
      </c>
      <c r="X207" t="s">
        <v>209</v>
      </c>
      <c r="Y207">
        <v>2</v>
      </c>
      <c r="Z207" t="str">
        <f>IF(Table1[[#This Row],[Month_No]]&lt;=6, "H1","H2")</f>
        <v>H1</v>
      </c>
    </row>
    <row r="208" spans="1:26" x14ac:dyDescent="0.25">
      <c r="A208" s="2">
        <v>45703</v>
      </c>
      <c r="B208" t="s">
        <v>282</v>
      </c>
      <c r="C208" t="s">
        <v>63</v>
      </c>
      <c r="D208" t="s">
        <v>28</v>
      </c>
      <c r="E208" t="s">
        <v>29</v>
      </c>
      <c r="F208" t="s">
        <v>52</v>
      </c>
      <c r="G208" t="s">
        <v>86</v>
      </c>
      <c r="H208" t="s">
        <v>59</v>
      </c>
      <c r="I208">
        <v>168</v>
      </c>
      <c r="J208" s="3">
        <v>1087.0999999999999</v>
      </c>
      <c r="K208" s="3">
        <f>Table1[[#This Row],[Quantity]]*Table1[[#This Row],[Unit_Price]]</f>
        <v>182632.8</v>
      </c>
      <c r="L208" s="3">
        <v>13672.3</v>
      </c>
      <c r="M208" s="3">
        <f>Table1[[#This Row],[Gross_Sales]]-Table1[[#This Row],[Discount]]</f>
        <v>168960.5</v>
      </c>
      <c r="N208" s="3">
        <v>98288.36</v>
      </c>
      <c r="O208" s="3">
        <v>4715.0200000000004</v>
      </c>
      <c r="P208" s="3">
        <v>11027.88</v>
      </c>
      <c r="Q208" s="3">
        <v>6920.25</v>
      </c>
      <c r="R208" s="3">
        <v>4267.34</v>
      </c>
      <c r="S208" s="3">
        <f>SUM(Table1[[#This Row],[Product_Cost]:[Other_Cost]])</f>
        <v>125218.85</v>
      </c>
      <c r="T208" s="3">
        <f>Table1[[#This Row],[Net_Sales]]-Table1[[#This Row],[Product_Cost]]</f>
        <v>70672.14</v>
      </c>
      <c r="U208" s="3">
        <f>Table1[[#This Row],[Net_Sales]]-Table1[[#This Row],[Total_Cost]]</f>
        <v>43741.649999999994</v>
      </c>
      <c r="V208" s="4">
        <f>Table1[[#This Row],[Net_Profit]]/Table1[[#This Row],[Net_Sales]]</f>
        <v>0.25888684041536331</v>
      </c>
      <c r="W208" t="s">
        <v>33</v>
      </c>
      <c r="X208" t="s">
        <v>209</v>
      </c>
      <c r="Y208">
        <v>2</v>
      </c>
      <c r="Z208" t="str">
        <f>IF(Table1[[#This Row],[Month_No]]&lt;=6, "H1","H2")</f>
        <v>H1</v>
      </c>
    </row>
    <row r="209" spans="1:26" x14ac:dyDescent="0.25">
      <c r="A209" s="2">
        <v>45703</v>
      </c>
      <c r="B209" t="s">
        <v>283</v>
      </c>
      <c r="C209" t="s">
        <v>43</v>
      </c>
      <c r="D209" t="s">
        <v>44</v>
      </c>
      <c r="E209" t="s">
        <v>45</v>
      </c>
      <c r="F209" t="s">
        <v>39</v>
      </c>
      <c r="G209" t="s">
        <v>76</v>
      </c>
      <c r="H209" t="s">
        <v>41</v>
      </c>
      <c r="I209">
        <v>72</v>
      </c>
      <c r="J209" s="3">
        <v>4177.84</v>
      </c>
      <c r="K209" s="3">
        <f>Table1[[#This Row],[Quantity]]*Table1[[#This Row],[Unit_Price]]</f>
        <v>300804.47999999998</v>
      </c>
      <c r="L209" s="3">
        <v>25427.31</v>
      </c>
      <c r="M209" s="3">
        <f>Table1[[#This Row],[Gross_Sales]]-Table1[[#This Row],[Discount]]</f>
        <v>275377.17</v>
      </c>
      <c r="N209" s="3">
        <v>191418.16</v>
      </c>
      <c r="O209" s="3">
        <v>11934.26</v>
      </c>
      <c r="P209" s="3">
        <v>19470.03</v>
      </c>
      <c r="Q209" s="3">
        <v>12599.09</v>
      </c>
      <c r="R209" s="3">
        <v>7089.93</v>
      </c>
      <c r="S209" s="3">
        <f>SUM(Table1[[#This Row],[Product_Cost]:[Other_Cost]])</f>
        <v>242511.47</v>
      </c>
      <c r="T209" s="3">
        <f>Table1[[#This Row],[Net_Sales]]-Table1[[#This Row],[Product_Cost]]</f>
        <v>83959.00999999998</v>
      </c>
      <c r="U209" s="3">
        <f>Table1[[#This Row],[Net_Sales]]-Table1[[#This Row],[Total_Cost]]</f>
        <v>32865.699999999983</v>
      </c>
      <c r="V209" s="4">
        <f>Table1[[#This Row],[Net_Profit]]/Table1[[#This Row],[Net_Sales]]</f>
        <v>0.11934794739883478</v>
      </c>
      <c r="W209" t="s">
        <v>33</v>
      </c>
      <c r="X209" t="s">
        <v>209</v>
      </c>
      <c r="Y209">
        <v>2</v>
      </c>
      <c r="Z209" t="str">
        <f>IF(Table1[[#This Row],[Month_No]]&lt;=6, "H1","H2")</f>
        <v>H1</v>
      </c>
    </row>
    <row r="210" spans="1:26" x14ac:dyDescent="0.25">
      <c r="A210" s="2">
        <v>45703</v>
      </c>
      <c r="B210" t="s">
        <v>284</v>
      </c>
      <c r="C210" t="s">
        <v>55</v>
      </c>
      <c r="D210" t="s">
        <v>68</v>
      </c>
      <c r="E210" t="s">
        <v>29</v>
      </c>
      <c r="F210" t="s">
        <v>52</v>
      </c>
      <c r="G210" t="s">
        <v>61</v>
      </c>
      <c r="H210" t="s">
        <v>59</v>
      </c>
      <c r="I210">
        <v>132</v>
      </c>
      <c r="J210" s="3">
        <v>354.49</v>
      </c>
      <c r="K210" s="3">
        <f>Table1[[#This Row],[Quantity]]*Table1[[#This Row],[Unit_Price]]</f>
        <v>46792.68</v>
      </c>
      <c r="L210" s="3">
        <v>3007.55</v>
      </c>
      <c r="M210" s="3">
        <f>Table1[[#This Row],[Gross_Sales]]-Table1[[#This Row],[Discount]]</f>
        <v>43785.13</v>
      </c>
      <c r="N210" s="3">
        <v>34855.25</v>
      </c>
      <c r="O210" s="3">
        <v>1086.0899999999999</v>
      </c>
      <c r="P210" s="3">
        <v>2778.82</v>
      </c>
      <c r="Q210" s="3">
        <v>2206.86</v>
      </c>
      <c r="R210" s="3">
        <v>1327.97</v>
      </c>
      <c r="S210" s="3">
        <f>SUM(Table1[[#This Row],[Product_Cost]:[Other_Cost]])</f>
        <v>42254.99</v>
      </c>
      <c r="T210" s="3">
        <f>Table1[[#This Row],[Net_Sales]]-Table1[[#This Row],[Product_Cost]]</f>
        <v>8929.8799999999974</v>
      </c>
      <c r="U210" s="3">
        <f>Table1[[#This Row],[Net_Sales]]-Table1[[#This Row],[Total_Cost]]</f>
        <v>1530.1399999999994</v>
      </c>
      <c r="V210" s="4">
        <f>Table1[[#This Row],[Net_Profit]]/Table1[[#This Row],[Net_Sales]]</f>
        <v>3.4946567476218514E-2</v>
      </c>
      <c r="W210" t="s">
        <v>33</v>
      </c>
      <c r="X210" t="s">
        <v>209</v>
      </c>
      <c r="Y210">
        <v>2</v>
      </c>
      <c r="Z210" t="str">
        <f>IF(Table1[[#This Row],[Month_No]]&lt;=6, "H1","H2")</f>
        <v>H1</v>
      </c>
    </row>
    <row r="211" spans="1:26" x14ac:dyDescent="0.25">
      <c r="A211" s="2">
        <v>45703</v>
      </c>
      <c r="B211" t="s">
        <v>285</v>
      </c>
      <c r="C211" t="s">
        <v>78</v>
      </c>
      <c r="D211" t="s">
        <v>37</v>
      </c>
      <c r="E211" t="s">
        <v>38</v>
      </c>
      <c r="F211" t="s">
        <v>46</v>
      </c>
      <c r="G211" t="s">
        <v>61</v>
      </c>
      <c r="H211" t="s">
        <v>47</v>
      </c>
      <c r="I211">
        <v>102</v>
      </c>
      <c r="J211" s="3">
        <v>4427.1099999999997</v>
      </c>
      <c r="K211" s="3">
        <f>Table1[[#This Row],[Quantity]]*Table1[[#This Row],[Unit_Price]]</f>
        <v>451565.22</v>
      </c>
      <c r="L211" s="3">
        <v>34638.089999999997</v>
      </c>
      <c r="M211" s="3">
        <f>Table1[[#This Row],[Gross_Sales]]-Table1[[#This Row],[Discount]]</f>
        <v>416927.13</v>
      </c>
      <c r="N211" s="3">
        <v>308126.09999999998</v>
      </c>
      <c r="O211" s="3">
        <v>12670.84</v>
      </c>
      <c r="P211" s="3">
        <v>25463.15</v>
      </c>
      <c r="Q211" s="3">
        <v>15393.09</v>
      </c>
      <c r="R211" s="3">
        <v>8891.7000000000007</v>
      </c>
      <c r="S211" s="3">
        <f>SUM(Table1[[#This Row],[Product_Cost]:[Other_Cost]])</f>
        <v>370544.88000000006</v>
      </c>
      <c r="T211" s="3">
        <f>Table1[[#This Row],[Net_Sales]]-Table1[[#This Row],[Product_Cost]]</f>
        <v>108801.03000000003</v>
      </c>
      <c r="U211" s="3">
        <f>Table1[[#This Row],[Net_Sales]]-Table1[[#This Row],[Total_Cost]]</f>
        <v>46382.249999999942</v>
      </c>
      <c r="V211" s="4">
        <f>Table1[[#This Row],[Net_Profit]]/Table1[[#This Row],[Net_Sales]]</f>
        <v>0.11124785762922154</v>
      </c>
      <c r="W211" t="s">
        <v>72</v>
      </c>
      <c r="X211" t="s">
        <v>209</v>
      </c>
      <c r="Y211">
        <v>2</v>
      </c>
      <c r="Z211" t="str">
        <f>IF(Table1[[#This Row],[Month_No]]&lt;=6, "H1","H2")</f>
        <v>H1</v>
      </c>
    </row>
    <row r="212" spans="1:26" x14ac:dyDescent="0.25">
      <c r="A212" s="2">
        <v>45704</v>
      </c>
      <c r="B212" t="s">
        <v>286</v>
      </c>
      <c r="C212" t="s">
        <v>70</v>
      </c>
      <c r="D212" t="s">
        <v>100</v>
      </c>
      <c r="E212" t="s">
        <v>75</v>
      </c>
      <c r="F212" t="s">
        <v>39</v>
      </c>
      <c r="G212" t="s">
        <v>61</v>
      </c>
      <c r="H212" t="s">
        <v>41</v>
      </c>
      <c r="I212">
        <v>59</v>
      </c>
      <c r="J212" s="3">
        <v>6665.3</v>
      </c>
      <c r="K212" s="3">
        <f>Table1[[#This Row],[Quantity]]*Table1[[#This Row],[Unit_Price]]</f>
        <v>393252.7</v>
      </c>
      <c r="L212" s="3">
        <v>27357.25</v>
      </c>
      <c r="M212" s="3">
        <f>Table1[[#This Row],[Gross_Sales]]-Table1[[#This Row],[Discount]]</f>
        <v>365895.45</v>
      </c>
      <c r="N212" s="3">
        <v>216025.38</v>
      </c>
      <c r="O212" s="3">
        <v>14039.58</v>
      </c>
      <c r="P212" s="3">
        <v>26418.99</v>
      </c>
      <c r="Q212" s="3">
        <v>16402.38</v>
      </c>
      <c r="R212" s="3">
        <v>10479.36</v>
      </c>
      <c r="S212" s="3">
        <f>SUM(Table1[[#This Row],[Product_Cost]:[Other_Cost]])</f>
        <v>283365.68999999994</v>
      </c>
      <c r="T212" s="3">
        <f>Table1[[#This Row],[Net_Sales]]-Table1[[#This Row],[Product_Cost]]</f>
        <v>149870.07</v>
      </c>
      <c r="U212" s="3">
        <f>Table1[[#This Row],[Net_Sales]]-Table1[[#This Row],[Total_Cost]]</f>
        <v>82529.760000000068</v>
      </c>
      <c r="V212" s="4">
        <f>Table1[[#This Row],[Net_Profit]]/Table1[[#This Row],[Net_Sales]]</f>
        <v>0.22555557878623542</v>
      </c>
      <c r="W212" t="s">
        <v>33</v>
      </c>
      <c r="X212" t="s">
        <v>209</v>
      </c>
      <c r="Y212">
        <v>2</v>
      </c>
      <c r="Z212" t="str">
        <f>IF(Table1[[#This Row],[Month_No]]&lt;=6, "H1","H2")</f>
        <v>H1</v>
      </c>
    </row>
    <row r="213" spans="1:26" x14ac:dyDescent="0.25">
      <c r="A213" s="2">
        <v>45704</v>
      </c>
      <c r="B213" t="s">
        <v>287</v>
      </c>
      <c r="C213" t="s">
        <v>117</v>
      </c>
      <c r="D213" t="s">
        <v>44</v>
      </c>
      <c r="E213" t="s">
        <v>45</v>
      </c>
      <c r="F213" t="s">
        <v>52</v>
      </c>
      <c r="G213" t="s">
        <v>76</v>
      </c>
      <c r="H213" t="s">
        <v>32</v>
      </c>
      <c r="I213">
        <v>61</v>
      </c>
      <c r="J213" s="3">
        <v>4340.18</v>
      </c>
      <c r="K213" s="3">
        <f>Table1[[#This Row],[Quantity]]*Table1[[#This Row],[Unit_Price]]</f>
        <v>264750.98000000004</v>
      </c>
      <c r="L213" s="3">
        <v>19870.87</v>
      </c>
      <c r="M213" s="3">
        <f>Table1[[#This Row],[Gross_Sales]]-Table1[[#This Row],[Discount]]</f>
        <v>244880.11000000004</v>
      </c>
      <c r="N213" s="3">
        <v>177707.74</v>
      </c>
      <c r="O213" s="3">
        <v>6497.43</v>
      </c>
      <c r="P213" s="3">
        <v>18100.189999999999</v>
      </c>
      <c r="Q213" s="3">
        <v>11251.56</v>
      </c>
      <c r="R213" s="3">
        <v>7521.71</v>
      </c>
      <c r="S213" s="3">
        <f>SUM(Table1[[#This Row],[Product_Cost]:[Other_Cost]])</f>
        <v>221078.62999999998</v>
      </c>
      <c r="T213" s="3">
        <f>Table1[[#This Row],[Net_Sales]]-Table1[[#This Row],[Product_Cost]]</f>
        <v>67172.370000000054</v>
      </c>
      <c r="U213" s="3">
        <f>Table1[[#This Row],[Net_Sales]]-Table1[[#This Row],[Total_Cost]]</f>
        <v>23801.480000000069</v>
      </c>
      <c r="V213" s="4">
        <f>Table1[[#This Row],[Net_Profit]]/Table1[[#This Row],[Net_Sales]]</f>
        <v>9.7196460749711625E-2</v>
      </c>
      <c r="W213" t="s">
        <v>72</v>
      </c>
      <c r="X213" t="s">
        <v>209</v>
      </c>
      <c r="Y213">
        <v>2</v>
      </c>
      <c r="Z213" t="str">
        <f>IF(Table1[[#This Row],[Month_No]]&lt;=6, "H1","H2")</f>
        <v>H1</v>
      </c>
    </row>
    <row r="214" spans="1:26" x14ac:dyDescent="0.25">
      <c r="A214" s="2">
        <v>45704</v>
      </c>
      <c r="B214" t="s">
        <v>288</v>
      </c>
      <c r="C214" t="s">
        <v>98</v>
      </c>
      <c r="D214" t="s">
        <v>28</v>
      </c>
      <c r="E214" t="s">
        <v>29</v>
      </c>
      <c r="F214" t="s">
        <v>52</v>
      </c>
      <c r="G214" t="s">
        <v>71</v>
      </c>
      <c r="H214" t="s">
        <v>41</v>
      </c>
      <c r="I214">
        <v>95</v>
      </c>
      <c r="J214" s="3">
        <v>1126.78</v>
      </c>
      <c r="K214" s="3">
        <f>Table1[[#This Row],[Quantity]]*Table1[[#This Row],[Unit_Price]]</f>
        <v>107044.09999999999</v>
      </c>
      <c r="L214" s="3">
        <v>7095.06</v>
      </c>
      <c r="M214" s="3">
        <f>Table1[[#This Row],[Gross_Sales]]-Table1[[#This Row],[Discount]]</f>
        <v>99949.04</v>
      </c>
      <c r="N214" s="3">
        <v>58284.51</v>
      </c>
      <c r="O214" s="3">
        <v>2575.3000000000002</v>
      </c>
      <c r="P214" s="3">
        <v>6258.76</v>
      </c>
      <c r="Q214" s="3">
        <v>4652.24</v>
      </c>
      <c r="R214" s="3">
        <v>2013.43</v>
      </c>
      <c r="S214" s="3">
        <f>SUM(Table1[[#This Row],[Product_Cost]:[Other_Cost]])</f>
        <v>73784.240000000005</v>
      </c>
      <c r="T214" s="3">
        <f>Table1[[#This Row],[Net_Sales]]-Table1[[#This Row],[Product_Cost]]</f>
        <v>41664.529999999992</v>
      </c>
      <c r="U214" s="3">
        <f>Table1[[#This Row],[Net_Sales]]-Table1[[#This Row],[Total_Cost]]</f>
        <v>26164.799999999988</v>
      </c>
      <c r="V214" s="4">
        <f>Table1[[#This Row],[Net_Profit]]/Table1[[#This Row],[Net_Sales]]</f>
        <v>0.26178140380337811</v>
      </c>
      <c r="W214" t="s">
        <v>33</v>
      </c>
      <c r="X214" t="s">
        <v>209</v>
      </c>
      <c r="Y214">
        <v>2</v>
      </c>
      <c r="Z214" t="str">
        <f>IF(Table1[[#This Row],[Month_No]]&lt;=6, "H1","H2")</f>
        <v>H1</v>
      </c>
    </row>
    <row r="215" spans="1:26" x14ac:dyDescent="0.25">
      <c r="A215" s="2">
        <v>45704</v>
      </c>
      <c r="B215" t="s">
        <v>289</v>
      </c>
      <c r="C215" t="s">
        <v>55</v>
      </c>
      <c r="D215" t="s">
        <v>44</v>
      </c>
      <c r="E215" t="s">
        <v>45</v>
      </c>
      <c r="F215" t="s">
        <v>30</v>
      </c>
      <c r="G215" t="s">
        <v>40</v>
      </c>
      <c r="H215" t="s">
        <v>32</v>
      </c>
      <c r="I215">
        <v>80</v>
      </c>
      <c r="J215" s="3">
        <v>4107.92</v>
      </c>
      <c r="K215" s="3">
        <f>Table1[[#This Row],[Quantity]]*Table1[[#This Row],[Unit_Price]]</f>
        <v>328633.59999999998</v>
      </c>
      <c r="L215" s="3">
        <v>32554.54</v>
      </c>
      <c r="M215" s="3">
        <f>Table1[[#This Row],[Gross_Sales]]-Table1[[#This Row],[Discount]]</f>
        <v>296079.06</v>
      </c>
      <c r="N215" s="3">
        <v>206142.95</v>
      </c>
      <c r="O215" s="3">
        <v>9959.73</v>
      </c>
      <c r="P215" s="3">
        <v>16745.490000000002</v>
      </c>
      <c r="Q215" s="3">
        <v>15829.41</v>
      </c>
      <c r="R215" s="3">
        <v>7811.86</v>
      </c>
      <c r="S215" s="3">
        <f>SUM(Table1[[#This Row],[Product_Cost]:[Other_Cost]])</f>
        <v>256489.44</v>
      </c>
      <c r="T215" s="3">
        <f>Table1[[#This Row],[Net_Sales]]-Table1[[#This Row],[Product_Cost]]</f>
        <v>89936.109999999986</v>
      </c>
      <c r="U215" s="3">
        <f>Table1[[#This Row],[Net_Sales]]-Table1[[#This Row],[Total_Cost]]</f>
        <v>39589.619999999995</v>
      </c>
      <c r="V215" s="4">
        <f>Table1[[#This Row],[Net_Profit]]/Table1[[#This Row],[Net_Sales]]</f>
        <v>0.1337130021961026</v>
      </c>
      <c r="W215" t="s">
        <v>33</v>
      </c>
      <c r="X215" t="s">
        <v>209</v>
      </c>
      <c r="Y215">
        <v>2</v>
      </c>
      <c r="Z215" t="str">
        <f>IF(Table1[[#This Row],[Month_No]]&lt;=6, "H1","H2")</f>
        <v>H1</v>
      </c>
    </row>
    <row r="216" spans="1:26" x14ac:dyDescent="0.25">
      <c r="A216" s="2">
        <v>45704</v>
      </c>
      <c r="B216" t="s">
        <v>290</v>
      </c>
      <c r="C216" t="s">
        <v>49</v>
      </c>
      <c r="D216" t="s">
        <v>50</v>
      </c>
      <c r="E216" t="s">
        <v>51</v>
      </c>
      <c r="F216" t="s">
        <v>30</v>
      </c>
      <c r="G216" t="s">
        <v>61</v>
      </c>
      <c r="H216" t="s">
        <v>47</v>
      </c>
      <c r="I216">
        <v>107</v>
      </c>
      <c r="J216" s="3">
        <v>785.08</v>
      </c>
      <c r="K216" s="3">
        <f>Table1[[#This Row],[Quantity]]*Table1[[#This Row],[Unit_Price]]</f>
        <v>84003.56</v>
      </c>
      <c r="L216" s="3">
        <v>5727.11</v>
      </c>
      <c r="M216" s="3">
        <f>Table1[[#This Row],[Gross_Sales]]-Table1[[#This Row],[Discount]]</f>
        <v>78276.45</v>
      </c>
      <c r="N216" s="3">
        <v>54076.06</v>
      </c>
      <c r="O216" s="3">
        <v>2568.83</v>
      </c>
      <c r="P216" s="3">
        <v>4578.59</v>
      </c>
      <c r="Q216" s="3">
        <v>2839.76</v>
      </c>
      <c r="R216" s="3">
        <v>2177.23</v>
      </c>
      <c r="S216" s="3">
        <f>SUM(Table1[[#This Row],[Product_Cost]:[Other_Cost]])</f>
        <v>66240.47</v>
      </c>
      <c r="T216" s="3">
        <f>Table1[[#This Row],[Net_Sales]]-Table1[[#This Row],[Product_Cost]]</f>
        <v>24200.39</v>
      </c>
      <c r="U216" s="3">
        <f>Table1[[#This Row],[Net_Sales]]-Table1[[#This Row],[Total_Cost]]</f>
        <v>12035.979999999996</v>
      </c>
      <c r="V216" s="4">
        <f>Table1[[#This Row],[Net_Profit]]/Table1[[#This Row],[Net_Sales]]</f>
        <v>0.15376246623345843</v>
      </c>
      <c r="W216" t="s">
        <v>33</v>
      </c>
      <c r="X216" t="s">
        <v>209</v>
      </c>
      <c r="Y216">
        <v>2</v>
      </c>
      <c r="Z216" t="str">
        <f>IF(Table1[[#This Row],[Month_No]]&lt;=6, "H1","H2")</f>
        <v>H1</v>
      </c>
    </row>
    <row r="217" spans="1:26" x14ac:dyDescent="0.25">
      <c r="A217" s="2">
        <v>45704</v>
      </c>
      <c r="B217" t="s">
        <v>291</v>
      </c>
      <c r="C217" t="s">
        <v>70</v>
      </c>
      <c r="D217" t="s">
        <v>44</v>
      </c>
      <c r="E217" t="s">
        <v>45</v>
      </c>
      <c r="F217" t="s">
        <v>52</v>
      </c>
      <c r="G217" t="s">
        <v>40</v>
      </c>
      <c r="H217" t="s">
        <v>41</v>
      </c>
      <c r="I217">
        <v>64</v>
      </c>
      <c r="J217" s="3">
        <v>4437.03</v>
      </c>
      <c r="K217" s="3">
        <f>Table1[[#This Row],[Quantity]]*Table1[[#This Row],[Unit_Price]]</f>
        <v>283969.91999999998</v>
      </c>
      <c r="L217" s="3">
        <v>25603.3</v>
      </c>
      <c r="M217" s="3">
        <f>Table1[[#This Row],[Gross_Sales]]-Table1[[#This Row],[Discount]]</f>
        <v>258366.62</v>
      </c>
      <c r="N217" s="3">
        <v>189782.14</v>
      </c>
      <c r="O217" s="3">
        <v>7071.7</v>
      </c>
      <c r="P217" s="3">
        <v>14320.99</v>
      </c>
      <c r="Q217" s="3">
        <v>11751.69</v>
      </c>
      <c r="R217" s="3">
        <v>8066.37</v>
      </c>
      <c r="S217" s="3">
        <f>SUM(Table1[[#This Row],[Product_Cost]:[Other_Cost]])</f>
        <v>230992.89</v>
      </c>
      <c r="T217" s="3">
        <f>Table1[[#This Row],[Net_Sales]]-Table1[[#This Row],[Product_Cost]]</f>
        <v>68584.479999999981</v>
      </c>
      <c r="U217" s="3">
        <f>Table1[[#This Row],[Net_Sales]]-Table1[[#This Row],[Total_Cost]]</f>
        <v>27373.729999999981</v>
      </c>
      <c r="V217" s="4">
        <f>Table1[[#This Row],[Net_Profit]]/Table1[[#This Row],[Net_Sales]]</f>
        <v>0.105949174084485</v>
      </c>
      <c r="W217" t="s">
        <v>33</v>
      </c>
      <c r="X217" t="s">
        <v>209</v>
      </c>
      <c r="Y217">
        <v>2</v>
      </c>
      <c r="Z217" t="str">
        <f>IF(Table1[[#This Row],[Month_No]]&lt;=6, "H1","H2")</f>
        <v>H1</v>
      </c>
    </row>
    <row r="218" spans="1:26" x14ac:dyDescent="0.25">
      <c r="A218" s="2">
        <v>45704</v>
      </c>
      <c r="B218" t="s">
        <v>292</v>
      </c>
      <c r="C218" t="s">
        <v>49</v>
      </c>
      <c r="D218" t="s">
        <v>37</v>
      </c>
      <c r="E218" t="s">
        <v>38</v>
      </c>
      <c r="F218" t="s">
        <v>52</v>
      </c>
      <c r="G218" t="s">
        <v>86</v>
      </c>
      <c r="H218" t="s">
        <v>59</v>
      </c>
      <c r="I218">
        <v>78</v>
      </c>
      <c r="J218" s="3">
        <v>4411.72</v>
      </c>
      <c r="K218" s="3">
        <f>Table1[[#This Row],[Quantity]]*Table1[[#This Row],[Unit_Price]]</f>
        <v>344114.16000000003</v>
      </c>
      <c r="L218" s="3">
        <v>24049.48</v>
      </c>
      <c r="M218" s="3">
        <f>Table1[[#This Row],[Gross_Sales]]-Table1[[#This Row],[Discount]]</f>
        <v>320064.68000000005</v>
      </c>
      <c r="N218" s="3">
        <v>227335.14</v>
      </c>
      <c r="O218" s="3">
        <v>8887.23</v>
      </c>
      <c r="P218" s="3">
        <v>19620.560000000001</v>
      </c>
      <c r="Q218" s="3">
        <v>17486.18</v>
      </c>
      <c r="R218" s="3">
        <v>9918.9599999999991</v>
      </c>
      <c r="S218" s="3">
        <f>SUM(Table1[[#This Row],[Product_Cost]:[Other_Cost]])</f>
        <v>283248.07000000007</v>
      </c>
      <c r="T218" s="3">
        <f>Table1[[#This Row],[Net_Sales]]-Table1[[#This Row],[Product_Cost]]</f>
        <v>92729.540000000037</v>
      </c>
      <c r="U218" s="3">
        <f>Table1[[#This Row],[Net_Sales]]-Table1[[#This Row],[Total_Cost]]</f>
        <v>36816.609999999986</v>
      </c>
      <c r="V218" s="4">
        <f>Table1[[#This Row],[Net_Profit]]/Table1[[#This Row],[Net_Sales]]</f>
        <v>0.11502865608288919</v>
      </c>
      <c r="W218" t="s">
        <v>33</v>
      </c>
      <c r="X218" t="s">
        <v>209</v>
      </c>
      <c r="Y218">
        <v>2</v>
      </c>
      <c r="Z218" t="str">
        <f>IF(Table1[[#This Row],[Month_No]]&lt;=6, "H1","H2")</f>
        <v>H1</v>
      </c>
    </row>
    <row r="219" spans="1:26" x14ac:dyDescent="0.25">
      <c r="A219" s="2">
        <v>45705</v>
      </c>
      <c r="B219" t="s">
        <v>293</v>
      </c>
      <c r="C219" t="s">
        <v>63</v>
      </c>
      <c r="D219" t="s">
        <v>81</v>
      </c>
      <c r="E219" t="s">
        <v>45</v>
      </c>
      <c r="F219" t="s">
        <v>52</v>
      </c>
      <c r="G219" t="s">
        <v>40</v>
      </c>
      <c r="H219" t="s">
        <v>59</v>
      </c>
      <c r="I219">
        <v>56</v>
      </c>
      <c r="J219" s="3">
        <v>6181.09</v>
      </c>
      <c r="K219" s="3">
        <f>Table1[[#This Row],[Quantity]]*Table1[[#This Row],[Unit_Price]]</f>
        <v>346141.04000000004</v>
      </c>
      <c r="L219" s="3">
        <v>19514.669999999998</v>
      </c>
      <c r="M219" s="3">
        <f>Table1[[#This Row],[Gross_Sales]]-Table1[[#This Row],[Discount]]</f>
        <v>326626.37000000005</v>
      </c>
      <c r="N219" s="3">
        <v>187412.1</v>
      </c>
      <c r="O219" s="3">
        <v>8388.9</v>
      </c>
      <c r="P219" s="3">
        <v>18555.07</v>
      </c>
      <c r="Q219" s="3">
        <v>12749.41</v>
      </c>
      <c r="R219" s="3">
        <v>9985.19</v>
      </c>
      <c r="S219" s="3">
        <f>SUM(Table1[[#This Row],[Product_Cost]:[Other_Cost]])</f>
        <v>237090.67</v>
      </c>
      <c r="T219" s="3">
        <f>Table1[[#This Row],[Net_Sales]]-Table1[[#This Row],[Product_Cost]]</f>
        <v>139214.27000000005</v>
      </c>
      <c r="U219" s="3">
        <f>Table1[[#This Row],[Net_Sales]]-Table1[[#This Row],[Total_Cost]]</f>
        <v>89535.700000000041</v>
      </c>
      <c r="V219" s="4">
        <f>Table1[[#This Row],[Net_Profit]]/Table1[[#This Row],[Net_Sales]]</f>
        <v>0.2741226925431649</v>
      </c>
      <c r="W219" t="s">
        <v>33</v>
      </c>
      <c r="X219" t="s">
        <v>209</v>
      </c>
      <c r="Y219">
        <v>2</v>
      </c>
      <c r="Z219" t="str">
        <f>IF(Table1[[#This Row],[Month_No]]&lt;=6, "H1","H2")</f>
        <v>H1</v>
      </c>
    </row>
    <row r="220" spans="1:26" x14ac:dyDescent="0.25">
      <c r="A220" s="2">
        <v>45705</v>
      </c>
      <c r="B220" t="s">
        <v>294</v>
      </c>
      <c r="C220" t="s">
        <v>83</v>
      </c>
      <c r="D220" t="s">
        <v>68</v>
      </c>
      <c r="E220" t="s">
        <v>29</v>
      </c>
      <c r="F220" t="s">
        <v>30</v>
      </c>
      <c r="G220" t="s">
        <v>76</v>
      </c>
      <c r="H220" t="s">
        <v>41</v>
      </c>
      <c r="I220">
        <v>127</v>
      </c>
      <c r="J220" s="3">
        <v>351.53</v>
      </c>
      <c r="K220" s="3">
        <f>Table1[[#This Row],[Quantity]]*Table1[[#This Row],[Unit_Price]]</f>
        <v>44644.31</v>
      </c>
      <c r="L220" s="3">
        <v>3387.1</v>
      </c>
      <c r="M220" s="3">
        <f>Table1[[#This Row],[Gross_Sales]]-Table1[[#This Row],[Discount]]</f>
        <v>41257.21</v>
      </c>
      <c r="N220" s="3">
        <v>31058.1</v>
      </c>
      <c r="O220" s="3">
        <v>1386.94</v>
      </c>
      <c r="P220" s="3">
        <v>2361</v>
      </c>
      <c r="Q220" s="3">
        <v>1819.01</v>
      </c>
      <c r="R220" s="3">
        <v>1052.96</v>
      </c>
      <c r="S220" s="3">
        <f>SUM(Table1[[#This Row],[Product_Cost]:[Other_Cost]])</f>
        <v>37678.009999999995</v>
      </c>
      <c r="T220" s="3">
        <f>Table1[[#This Row],[Net_Sales]]-Table1[[#This Row],[Product_Cost]]</f>
        <v>10199.11</v>
      </c>
      <c r="U220" s="3">
        <f>Table1[[#This Row],[Net_Sales]]-Table1[[#This Row],[Total_Cost]]</f>
        <v>3579.2000000000044</v>
      </c>
      <c r="V220" s="4">
        <f>Table1[[#This Row],[Net_Profit]]/Table1[[#This Row],[Net_Sales]]</f>
        <v>8.6753321419456242E-2</v>
      </c>
      <c r="W220" t="s">
        <v>33</v>
      </c>
      <c r="X220" t="s">
        <v>209</v>
      </c>
      <c r="Y220">
        <v>2</v>
      </c>
      <c r="Z220" t="str">
        <f>IF(Table1[[#This Row],[Month_No]]&lt;=6, "H1","H2")</f>
        <v>H1</v>
      </c>
    </row>
    <row r="221" spans="1:26" x14ac:dyDescent="0.25">
      <c r="A221" s="2">
        <v>45705</v>
      </c>
      <c r="B221" t="s">
        <v>295</v>
      </c>
      <c r="C221" t="s">
        <v>117</v>
      </c>
      <c r="D221" t="s">
        <v>74</v>
      </c>
      <c r="E221" t="s">
        <v>75</v>
      </c>
      <c r="F221" t="s">
        <v>30</v>
      </c>
      <c r="G221" t="s">
        <v>31</v>
      </c>
      <c r="H221" t="s">
        <v>47</v>
      </c>
      <c r="I221">
        <v>93</v>
      </c>
      <c r="J221" s="3">
        <v>5107.28</v>
      </c>
      <c r="K221" s="3">
        <f>Table1[[#This Row],[Quantity]]*Table1[[#This Row],[Unit_Price]]</f>
        <v>474977.04</v>
      </c>
      <c r="L221" s="3">
        <v>31417.07</v>
      </c>
      <c r="M221" s="3">
        <f>Table1[[#This Row],[Gross_Sales]]-Table1[[#This Row],[Discount]]</f>
        <v>443559.97</v>
      </c>
      <c r="N221" s="3">
        <v>333540.34999999998</v>
      </c>
      <c r="O221" s="3">
        <v>16781.169999999998</v>
      </c>
      <c r="P221" s="3">
        <v>29481.95</v>
      </c>
      <c r="Q221" s="3">
        <v>19278.240000000002</v>
      </c>
      <c r="R221" s="3">
        <v>13287.33</v>
      </c>
      <c r="S221" s="3">
        <f>SUM(Table1[[#This Row],[Product_Cost]:[Other_Cost]])</f>
        <v>412369.04</v>
      </c>
      <c r="T221" s="3">
        <f>Table1[[#This Row],[Net_Sales]]-Table1[[#This Row],[Product_Cost]]</f>
        <v>110019.62</v>
      </c>
      <c r="U221" s="3">
        <f>Table1[[#This Row],[Net_Sales]]-Table1[[#This Row],[Total_Cost]]</f>
        <v>31190.929999999993</v>
      </c>
      <c r="V221" s="4">
        <f>Table1[[#This Row],[Net_Profit]]/Table1[[#This Row],[Net_Sales]]</f>
        <v>7.0319533117472244E-2</v>
      </c>
      <c r="W221" t="s">
        <v>33</v>
      </c>
      <c r="X221" t="s">
        <v>209</v>
      </c>
      <c r="Y221">
        <v>2</v>
      </c>
      <c r="Z221" t="str">
        <f>IF(Table1[[#This Row],[Month_No]]&lt;=6, "H1","H2")</f>
        <v>H1</v>
      </c>
    </row>
    <row r="222" spans="1:26" x14ac:dyDescent="0.25">
      <c r="A222" s="2">
        <v>45707</v>
      </c>
      <c r="B222" t="s">
        <v>296</v>
      </c>
      <c r="C222" t="s">
        <v>83</v>
      </c>
      <c r="D222" t="s">
        <v>85</v>
      </c>
      <c r="E222" t="s">
        <v>57</v>
      </c>
      <c r="F222" t="s">
        <v>46</v>
      </c>
      <c r="G222" t="s">
        <v>86</v>
      </c>
      <c r="H222" t="s">
        <v>41</v>
      </c>
      <c r="I222">
        <v>76</v>
      </c>
      <c r="J222" s="3">
        <v>1851.43</v>
      </c>
      <c r="K222" s="3">
        <f>Table1[[#This Row],[Quantity]]*Table1[[#This Row],[Unit_Price]]</f>
        <v>140708.68</v>
      </c>
      <c r="L222" s="3">
        <v>12877.68</v>
      </c>
      <c r="M222" s="3">
        <f>Table1[[#This Row],[Gross_Sales]]-Table1[[#This Row],[Discount]]</f>
        <v>127831</v>
      </c>
      <c r="N222" s="3">
        <v>91002.49</v>
      </c>
      <c r="O222" s="3">
        <v>4120.2</v>
      </c>
      <c r="P222" s="3">
        <v>7813.56</v>
      </c>
      <c r="Q222" s="3">
        <v>6885.1</v>
      </c>
      <c r="R222" s="3">
        <v>3221.54</v>
      </c>
      <c r="S222" s="3">
        <f>SUM(Table1[[#This Row],[Product_Cost]:[Other_Cost]])</f>
        <v>113042.89</v>
      </c>
      <c r="T222" s="3">
        <f>Table1[[#This Row],[Net_Sales]]-Table1[[#This Row],[Product_Cost]]</f>
        <v>36828.509999999995</v>
      </c>
      <c r="U222" s="3">
        <f>Table1[[#This Row],[Net_Sales]]-Table1[[#This Row],[Total_Cost]]</f>
        <v>14788.11</v>
      </c>
      <c r="V222" s="4">
        <f>Table1[[#This Row],[Net_Profit]]/Table1[[#This Row],[Net_Sales]]</f>
        <v>0.11568484952789231</v>
      </c>
      <c r="W222" t="s">
        <v>72</v>
      </c>
      <c r="X222" t="s">
        <v>209</v>
      </c>
      <c r="Y222">
        <v>2</v>
      </c>
      <c r="Z222" t="str">
        <f>IF(Table1[[#This Row],[Month_No]]&lt;=6, "H1","H2")</f>
        <v>H1</v>
      </c>
    </row>
    <row r="223" spans="1:26" x14ac:dyDescent="0.25">
      <c r="A223" s="2">
        <v>45707</v>
      </c>
      <c r="B223" t="s">
        <v>297</v>
      </c>
      <c r="C223" t="s">
        <v>117</v>
      </c>
      <c r="D223" t="s">
        <v>50</v>
      </c>
      <c r="E223" t="s">
        <v>51</v>
      </c>
      <c r="F223" t="s">
        <v>52</v>
      </c>
      <c r="G223" t="s">
        <v>40</v>
      </c>
      <c r="H223" t="s">
        <v>47</v>
      </c>
      <c r="I223">
        <v>55</v>
      </c>
      <c r="J223" s="3">
        <v>839.05</v>
      </c>
      <c r="K223" s="3">
        <f>Table1[[#This Row],[Quantity]]*Table1[[#This Row],[Unit_Price]]</f>
        <v>46147.75</v>
      </c>
      <c r="L223" s="3">
        <v>3889.71</v>
      </c>
      <c r="M223" s="3">
        <f>Table1[[#This Row],[Gross_Sales]]-Table1[[#This Row],[Discount]]</f>
        <v>42258.04</v>
      </c>
      <c r="N223" s="3">
        <v>29131.4</v>
      </c>
      <c r="O223" s="3">
        <v>1157.23</v>
      </c>
      <c r="P223" s="3">
        <v>3008.66</v>
      </c>
      <c r="Q223" s="3">
        <v>1957</v>
      </c>
      <c r="R223" s="3">
        <v>1272.8900000000001</v>
      </c>
      <c r="S223" s="3">
        <f>SUM(Table1[[#This Row],[Product_Cost]:[Other_Cost]])</f>
        <v>36527.18</v>
      </c>
      <c r="T223" s="3">
        <f>Table1[[#This Row],[Net_Sales]]-Table1[[#This Row],[Product_Cost]]</f>
        <v>13126.64</v>
      </c>
      <c r="U223" s="3">
        <f>Table1[[#This Row],[Net_Sales]]-Table1[[#This Row],[Total_Cost]]</f>
        <v>5730.8600000000006</v>
      </c>
      <c r="V223" s="4">
        <f>Table1[[#This Row],[Net_Profit]]/Table1[[#This Row],[Net_Sales]]</f>
        <v>0.13561584967026394</v>
      </c>
      <c r="W223" t="s">
        <v>33</v>
      </c>
      <c r="X223" t="s">
        <v>209</v>
      </c>
      <c r="Y223">
        <v>2</v>
      </c>
      <c r="Z223" t="str">
        <f>IF(Table1[[#This Row],[Month_No]]&lt;=6, "H1","H2")</f>
        <v>H1</v>
      </c>
    </row>
    <row r="224" spans="1:26" x14ac:dyDescent="0.25">
      <c r="A224" s="2">
        <v>45707</v>
      </c>
      <c r="B224" t="s">
        <v>298</v>
      </c>
      <c r="C224" t="s">
        <v>98</v>
      </c>
      <c r="D224" t="s">
        <v>37</v>
      </c>
      <c r="E224" t="s">
        <v>38</v>
      </c>
      <c r="F224" t="s">
        <v>39</v>
      </c>
      <c r="G224" t="s">
        <v>64</v>
      </c>
      <c r="H224" t="s">
        <v>59</v>
      </c>
      <c r="I224">
        <v>57</v>
      </c>
      <c r="J224" s="3">
        <v>4095.26</v>
      </c>
      <c r="K224" s="3">
        <f>Table1[[#This Row],[Quantity]]*Table1[[#This Row],[Unit_Price]]</f>
        <v>233429.82</v>
      </c>
      <c r="L224" s="3">
        <v>19091.52</v>
      </c>
      <c r="M224" s="3">
        <f>Table1[[#This Row],[Gross_Sales]]-Table1[[#This Row],[Discount]]</f>
        <v>214338.30000000002</v>
      </c>
      <c r="N224" s="3">
        <v>151605.03</v>
      </c>
      <c r="O224" s="3">
        <v>9385.2099999999991</v>
      </c>
      <c r="P224" s="3">
        <v>12563.03</v>
      </c>
      <c r="Q224" s="3">
        <v>9261.34</v>
      </c>
      <c r="R224" s="3">
        <v>4794.96</v>
      </c>
      <c r="S224" s="3">
        <f>SUM(Table1[[#This Row],[Product_Cost]:[Other_Cost]])</f>
        <v>187609.56999999998</v>
      </c>
      <c r="T224" s="3">
        <f>Table1[[#This Row],[Net_Sales]]-Table1[[#This Row],[Product_Cost]]</f>
        <v>62733.270000000019</v>
      </c>
      <c r="U224" s="3">
        <f>Table1[[#This Row],[Net_Sales]]-Table1[[#This Row],[Total_Cost]]</f>
        <v>26728.73000000004</v>
      </c>
      <c r="V224" s="4">
        <f>Table1[[#This Row],[Net_Profit]]/Table1[[#This Row],[Net_Sales]]</f>
        <v>0.12470347110152519</v>
      </c>
      <c r="W224" t="s">
        <v>33</v>
      </c>
      <c r="X224" t="s">
        <v>209</v>
      </c>
      <c r="Y224">
        <v>2</v>
      </c>
      <c r="Z224" t="str">
        <f>IF(Table1[[#This Row],[Month_No]]&lt;=6, "H1","H2")</f>
        <v>H1</v>
      </c>
    </row>
    <row r="225" spans="1:26" x14ac:dyDescent="0.25">
      <c r="A225" s="2">
        <v>45707</v>
      </c>
      <c r="B225" t="s">
        <v>299</v>
      </c>
      <c r="C225" t="s">
        <v>27</v>
      </c>
      <c r="D225" t="s">
        <v>37</v>
      </c>
      <c r="E225" t="s">
        <v>38</v>
      </c>
      <c r="F225" t="s">
        <v>46</v>
      </c>
      <c r="G225" t="s">
        <v>31</v>
      </c>
      <c r="H225" t="s">
        <v>47</v>
      </c>
      <c r="I225">
        <v>45</v>
      </c>
      <c r="J225" s="3">
        <v>4344.5600000000004</v>
      </c>
      <c r="K225" s="3">
        <f>Table1[[#This Row],[Quantity]]*Table1[[#This Row],[Unit_Price]]</f>
        <v>195505.2</v>
      </c>
      <c r="L225" s="3">
        <v>15645.05</v>
      </c>
      <c r="M225" s="3">
        <f>Table1[[#This Row],[Gross_Sales]]-Table1[[#This Row],[Discount]]</f>
        <v>179860.15000000002</v>
      </c>
      <c r="N225" s="3">
        <v>134794.85</v>
      </c>
      <c r="O225" s="3">
        <v>5334.58</v>
      </c>
      <c r="P225" s="3">
        <v>11468.13</v>
      </c>
      <c r="Q225" s="3">
        <v>7866.7</v>
      </c>
      <c r="R225" s="3">
        <v>4935.58</v>
      </c>
      <c r="S225" s="3">
        <f>SUM(Table1[[#This Row],[Product_Cost]:[Other_Cost]])</f>
        <v>164399.84</v>
      </c>
      <c r="T225" s="3">
        <f>Table1[[#This Row],[Net_Sales]]-Table1[[#This Row],[Product_Cost]]</f>
        <v>45065.300000000017</v>
      </c>
      <c r="U225" s="3">
        <f>Table1[[#This Row],[Net_Sales]]-Table1[[#This Row],[Total_Cost]]</f>
        <v>15460.310000000027</v>
      </c>
      <c r="V225" s="4">
        <f>Table1[[#This Row],[Net_Profit]]/Table1[[#This Row],[Net_Sales]]</f>
        <v>8.5957395231795505E-2</v>
      </c>
      <c r="W225" t="s">
        <v>33</v>
      </c>
      <c r="X225" t="s">
        <v>209</v>
      </c>
      <c r="Y225">
        <v>2</v>
      </c>
      <c r="Z225" t="str">
        <f>IF(Table1[[#This Row],[Month_No]]&lt;=6, "H1","H2")</f>
        <v>H1</v>
      </c>
    </row>
    <row r="226" spans="1:26" x14ac:dyDescent="0.25">
      <c r="A226" s="2">
        <v>45708</v>
      </c>
      <c r="B226" t="s">
        <v>300</v>
      </c>
      <c r="C226" t="s">
        <v>70</v>
      </c>
      <c r="D226" t="s">
        <v>74</v>
      </c>
      <c r="E226" t="s">
        <v>75</v>
      </c>
      <c r="F226" t="s">
        <v>52</v>
      </c>
      <c r="G226" t="s">
        <v>76</v>
      </c>
      <c r="H226" t="s">
        <v>41</v>
      </c>
      <c r="I226">
        <v>60</v>
      </c>
      <c r="J226" s="3">
        <v>5371.55</v>
      </c>
      <c r="K226" s="3">
        <f>Table1[[#This Row],[Quantity]]*Table1[[#This Row],[Unit_Price]]</f>
        <v>322293</v>
      </c>
      <c r="L226" s="3">
        <v>23431.759999999998</v>
      </c>
      <c r="M226" s="3">
        <f>Table1[[#This Row],[Gross_Sales]]-Table1[[#This Row],[Discount]]</f>
        <v>298861.24</v>
      </c>
      <c r="N226" s="3">
        <v>233084.79999999999</v>
      </c>
      <c r="O226" s="3">
        <v>7096.73</v>
      </c>
      <c r="P226" s="3">
        <v>16737.13</v>
      </c>
      <c r="Q226" s="3">
        <v>12783.94</v>
      </c>
      <c r="R226" s="3">
        <v>6752.92</v>
      </c>
      <c r="S226" s="3">
        <f>SUM(Table1[[#This Row],[Product_Cost]:[Other_Cost]])</f>
        <v>276455.51999999996</v>
      </c>
      <c r="T226" s="3">
        <f>Table1[[#This Row],[Net_Sales]]-Table1[[#This Row],[Product_Cost]]</f>
        <v>65776.44</v>
      </c>
      <c r="U226" s="3">
        <f>Table1[[#This Row],[Net_Sales]]-Table1[[#This Row],[Total_Cost]]</f>
        <v>22405.72000000003</v>
      </c>
      <c r="V226" s="4">
        <f>Table1[[#This Row],[Net_Profit]]/Table1[[#This Row],[Net_Sales]]</f>
        <v>7.4970310636468057E-2</v>
      </c>
      <c r="W226" t="s">
        <v>72</v>
      </c>
      <c r="X226" t="s">
        <v>209</v>
      </c>
      <c r="Y226">
        <v>2</v>
      </c>
      <c r="Z226" t="str">
        <f>IF(Table1[[#This Row],[Month_No]]&lt;=6, "H1","H2")</f>
        <v>H1</v>
      </c>
    </row>
    <row r="227" spans="1:26" x14ac:dyDescent="0.25">
      <c r="A227" s="2">
        <v>45708</v>
      </c>
      <c r="B227" t="s">
        <v>301</v>
      </c>
      <c r="C227" t="s">
        <v>43</v>
      </c>
      <c r="D227" t="s">
        <v>74</v>
      </c>
      <c r="E227" t="s">
        <v>75</v>
      </c>
      <c r="F227" t="s">
        <v>30</v>
      </c>
      <c r="G227" t="s">
        <v>64</v>
      </c>
      <c r="H227" t="s">
        <v>32</v>
      </c>
      <c r="I227">
        <v>77</v>
      </c>
      <c r="J227" s="3">
        <v>5212.04</v>
      </c>
      <c r="K227" s="3">
        <f>Table1[[#This Row],[Quantity]]*Table1[[#This Row],[Unit_Price]]</f>
        <v>401327.08</v>
      </c>
      <c r="L227" s="3">
        <v>38896.839999999997</v>
      </c>
      <c r="M227" s="3">
        <f>Table1[[#This Row],[Gross_Sales]]-Table1[[#This Row],[Discount]]</f>
        <v>362430.24</v>
      </c>
      <c r="N227" s="3">
        <v>281339.58</v>
      </c>
      <c r="O227" s="3">
        <v>12922.42</v>
      </c>
      <c r="P227" s="3">
        <v>22576.79</v>
      </c>
      <c r="Q227" s="3">
        <v>15361.18</v>
      </c>
      <c r="R227" s="3">
        <v>9303.34</v>
      </c>
      <c r="S227" s="3">
        <f>SUM(Table1[[#This Row],[Product_Cost]:[Other_Cost]])</f>
        <v>341503.31</v>
      </c>
      <c r="T227" s="3">
        <f>Table1[[#This Row],[Net_Sales]]-Table1[[#This Row],[Product_Cost]]</f>
        <v>81090.659999999974</v>
      </c>
      <c r="U227" s="3">
        <f>Table1[[#This Row],[Net_Sales]]-Table1[[#This Row],[Total_Cost]]</f>
        <v>20926.929999999993</v>
      </c>
      <c r="V227" s="4">
        <f>Table1[[#This Row],[Net_Profit]]/Table1[[#This Row],[Net_Sales]]</f>
        <v>5.7740573744619085E-2</v>
      </c>
      <c r="W227" t="s">
        <v>33</v>
      </c>
      <c r="X227" t="s">
        <v>209</v>
      </c>
      <c r="Y227">
        <v>2</v>
      </c>
      <c r="Z227" t="str">
        <f>IF(Table1[[#This Row],[Month_No]]&lt;=6, "H1","H2")</f>
        <v>H1</v>
      </c>
    </row>
    <row r="228" spans="1:26" x14ac:dyDescent="0.25">
      <c r="A228" s="2">
        <v>45708</v>
      </c>
      <c r="B228" t="s">
        <v>302</v>
      </c>
      <c r="C228" t="s">
        <v>117</v>
      </c>
      <c r="D228" t="s">
        <v>56</v>
      </c>
      <c r="E228" t="s">
        <v>57</v>
      </c>
      <c r="F228" t="s">
        <v>30</v>
      </c>
      <c r="G228" t="s">
        <v>64</v>
      </c>
      <c r="H228" t="s">
        <v>59</v>
      </c>
      <c r="I228">
        <v>54</v>
      </c>
      <c r="J228" s="3">
        <v>3169.57</v>
      </c>
      <c r="K228" s="3">
        <f>Table1[[#This Row],[Quantity]]*Table1[[#This Row],[Unit_Price]]</f>
        <v>171156.78</v>
      </c>
      <c r="L228" s="3">
        <v>10792.2</v>
      </c>
      <c r="M228" s="3">
        <f>Table1[[#This Row],[Gross_Sales]]-Table1[[#This Row],[Discount]]</f>
        <v>160364.57999999999</v>
      </c>
      <c r="N228" s="3">
        <v>87881.38</v>
      </c>
      <c r="O228" s="3">
        <v>6147.03</v>
      </c>
      <c r="P228" s="3">
        <v>11820.69</v>
      </c>
      <c r="Q228" s="3">
        <v>7464.89</v>
      </c>
      <c r="R228" s="3">
        <v>4082.78</v>
      </c>
      <c r="S228" s="3">
        <f>SUM(Table1[[#This Row],[Product_Cost]:[Other_Cost]])</f>
        <v>117396.77</v>
      </c>
      <c r="T228" s="3">
        <f>Table1[[#This Row],[Net_Sales]]-Table1[[#This Row],[Product_Cost]]</f>
        <v>72483.199999999983</v>
      </c>
      <c r="U228" s="3">
        <f>Table1[[#This Row],[Net_Sales]]-Table1[[#This Row],[Total_Cost]]</f>
        <v>42967.809999999983</v>
      </c>
      <c r="V228" s="4">
        <f>Table1[[#This Row],[Net_Profit]]/Table1[[#This Row],[Net_Sales]]</f>
        <v>0.26793828163301386</v>
      </c>
      <c r="W228" t="s">
        <v>33</v>
      </c>
      <c r="X228" t="s">
        <v>209</v>
      </c>
      <c r="Y228">
        <v>2</v>
      </c>
      <c r="Z228" t="str">
        <f>IF(Table1[[#This Row],[Month_No]]&lt;=6, "H1","H2")</f>
        <v>H1</v>
      </c>
    </row>
    <row r="229" spans="1:26" x14ac:dyDescent="0.25">
      <c r="A229" s="2">
        <v>45709</v>
      </c>
      <c r="B229" t="s">
        <v>303</v>
      </c>
      <c r="C229" t="s">
        <v>43</v>
      </c>
      <c r="D229" t="s">
        <v>44</v>
      </c>
      <c r="E229" t="s">
        <v>45</v>
      </c>
      <c r="F229" t="s">
        <v>52</v>
      </c>
      <c r="G229" t="s">
        <v>76</v>
      </c>
      <c r="H229" t="s">
        <v>59</v>
      </c>
      <c r="I229">
        <v>79</v>
      </c>
      <c r="J229" s="3">
        <v>4115.72</v>
      </c>
      <c r="K229" s="3">
        <f>Table1[[#This Row],[Quantity]]*Table1[[#This Row],[Unit_Price]]</f>
        <v>325141.88</v>
      </c>
      <c r="L229" s="3">
        <v>22589.49</v>
      </c>
      <c r="M229" s="3">
        <f>Table1[[#This Row],[Gross_Sales]]-Table1[[#This Row],[Discount]]</f>
        <v>302552.39</v>
      </c>
      <c r="N229" s="3">
        <v>219511.3</v>
      </c>
      <c r="O229" s="3">
        <v>7455.94</v>
      </c>
      <c r="P229" s="3">
        <v>19877.599999999999</v>
      </c>
      <c r="Q229" s="3">
        <v>14539.55</v>
      </c>
      <c r="R229" s="3">
        <v>7363.65</v>
      </c>
      <c r="S229" s="3">
        <f>SUM(Table1[[#This Row],[Product_Cost]:[Other_Cost]])</f>
        <v>268748.03999999998</v>
      </c>
      <c r="T229" s="3">
        <f>Table1[[#This Row],[Net_Sales]]-Table1[[#This Row],[Product_Cost]]</f>
        <v>83041.090000000026</v>
      </c>
      <c r="U229" s="3">
        <f>Table1[[#This Row],[Net_Sales]]-Table1[[#This Row],[Total_Cost]]</f>
        <v>33804.350000000035</v>
      </c>
      <c r="V229" s="4">
        <f>Table1[[#This Row],[Net_Profit]]/Table1[[#This Row],[Net_Sales]]</f>
        <v>0.11173056672928623</v>
      </c>
      <c r="W229" t="s">
        <v>72</v>
      </c>
      <c r="X229" t="s">
        <v>209</v>
      </c>
      <c r="Y229">
        <v>2</v>
      </c>
      <c r="Z229" t="str">
        <f>IF(Table1[[#This Row],[Month_No]]&lt;=6, "H1","H2")</f>
        <v>H1</v>
      </c>
    </row>
    <row r="230" spans="1:26" x14ac:dyDescent="0.25">
      <c r="A230" s="2">
        <v>45709</v>
      </c>
      <c r="B230" t="s">
        <v>304</v>
      </c>
      <c r="C230" t="s">
        <v>55</v>
      </c>
      <c r="D230" t="s">
        <v>81</v>
      </c>
      <c r="E230" t="s">
        <v>45</v>
      </c>
      <c r="F230" t="s">
        <v>39</v>
      </c>
      <c r="G230" t="s">
        <v>76</v>
      </c>
      <c r="H230" t="s">
        <v>59</v>
      </c>
      <c r="I230">
        <v>54</v>
      </c>
      <c r="J230" s="3">
        <v>6144.02</v>
      </c>
      <c r="K230" s="3">
        <f>Table1[[#This Row],[Quantity]]*Table1[[#This Row],[Unit_Price]]</f>
        <v>331777.08</v>
      </c>
      <c r="L230" s="3">
        <v>25077.06</v>
      </c>
      <c r="M230" s="3">
        <f>Table1[[#This Row],[Gross_Sales]]-Table1[[#This Row],[Discount]]</f>
        <v>306700.02</v>
      </c>
      <c r="N230" s="3">
        <v>182653.4</v>
      </c>
      <c r="O230" s="3">
        <v>13994.59</v>
      </c>
      <c r="P230" s="3">
        <v>21438.81</v>
      </c>
      <c r="Q230" s="3">
        <v>16601.45</v>
      </c>
      <c r="R230" s="3">
        <v>7435.72</v>
      </c>
      <c r="S230" s="3">
        <f>SUM(Table1[[#This Row],[Product_Cost]:[Other_Cost]])</f>
        <v>242123.97</v>
      </c>
      <c r="T230" s="3">
        <f>Table1[[#This Row],[Net_Sales]]-Table1[[#This Row],[Product_Cost]]</f>
        <v>124046.62000000002</v>
      </c>
      <c r="U230" s="3">
        <f>Table1[[#This Row],[Net_Sales]]-Table1[[#This Row],[Total_Cost]]</f>
        <v>64576.050000000017</v>
      </c>
      <c r="V230" s="4">
        <f>Table1[[#This Row],[Net_Profit]]/Table1[[#This Row],[Net_Sales]]</f>
        <v>0.21055117635792789</v>
      </c>
      <c r="W230" t="s">
        <v>33</v>
      </c>
      <c r="X230" t="s">
        <v>209</v>
      </c>
      <c r="Y230">
        <v>2</v>
      </c>
      <c r="Z230" t="str">
        <f>IF(Table1[[#This Row],[Month_No]]&lt;=6, "H1","H2")</f>
        <v>H1</v>
      </c>
    </row>
    <row r="231" spans="1:26" x14ac:dyDescent="0.25">
      <c r="A231" s="2">
        <v>45709</v>
      </c>
      <c r="B231" t="s">
        <v>305</v>
      </c>
      <c r="C231" t="s">
        <v>117</v>
      </c>
      <c r="D231" t="s">
        <v>50</v>
      </c>
      <c r="E231" t="s">
        <v>51</v>
      </c>
      <c r="F231" t="s">
        <v>52</v>
      </c>
      <c r="G231" t="s">
        <v>31</v>
      </c>
      <c r="H231" t="s">
        <v>47</v>
      </c>
      <c r="I231">
        <v>77</v>
      </c>
      <c r="J231" s="3">
        <v>822.87</v>
      </c>
      <c r="K231" s="3">
        <f>Table1[[#This Row],[Quantity]]*Table1[[#This Row],[Unit_Price]]</f>
        <v>63360.99</v>
      </c>
      <c r="L231" s="3">
        <v>5184.0600000000004</v>
      </c>
      <c r="M231" s="3">
        <f>Table1[[#This Row],[Gross_Sales]]-Table1[[#This Row],[Discount]]</f>
        <v>58176.93</v>
      </c>
      <c r="N231" s="3">
        <v>39781.69</v>
      </c>
      <c r="O231" s="3">
        <v>1607.4</v>
      </c>
      <c r="P231" s="3">
        <v>4323.1400000000003</v>
      </c>
      <c r="Q231" s="3">
        <v>2803.18</v>
      </c>
      <c r="R231" s="3">
        <v>1633.06</v>
      </c>
      <c r="S231" s="3">
        <f>SUM(Table1[[#This Row],[Product_Cost]:[Other_Cost]])</f>
        <v>50148.47</v>
      </c>
      <c r="T231" s="3">
        <f>Table1[[#This Row],[Net_Sales]]-Table1[[#This Row],[Product_Cost]]</f>
        <v>18395.239999999998</v>
      </c>
      <c r="U231" s="3">
        <f>Table1[[#This Row],[Net_Sales]]-Table1[[#This Row],[Total_Cost]]</f>
        <v>8028.4599999999991</v>
      </c>
      <c r="V231" s="4">
        <f>Table1[[#This Row],[Net_Profit]]/Table1[[#This Row],[Net_Sales]]</f>
        <v>0.13800075046930113</v>
      </c>
      <c r="W231" t="s">
        <v>33</v>
      </c>
      <c r="X231" t="s">
        <v>209</v>
      </c>
      <c r="Y231">
        <v>2</v>
      </c>
      <c r="Z231" t="str">
        <f>IF(Table1[[#This Row],[Month_No]]&lt;=6, "H1","H2")</f>
        <v>H1</v>
      </c>
    </row>
    <row r="232" spans="1:26" x14ac:dyDescent="0.25">
      <c r="A232" s="2">
        <v>45709</v>
      </c>
      <c r="B232" t="s">
        <v>306</v>
      </c>
      <c r="C232" t="s">
        <v>107</v>
      </c>
      <c r="D232" t="s">
        <v>50</v>
      </c>
      <c r="E232" t="s">
        <v>51</v>
      </c>
      <c r="F232" t="s">
        <v>30</v>
      </c>
      <c r="G232" t="s">
        <v>40</v>
      </c>
      <c r="H232" t="s">
        <v>32</v>
      </c>
      <c r="I232">
        <v>79</v>
      </c>
      <c r="J232" s="3">
        <v>795.95</v>
      </c>
      <c r="K232" s="3">
        <f>Table1[[#This Row],[Quantity]]*Table1[[#This Row],[Unit_Price]]</f>
        <v>62880.05</v>
      </c>
      <c r="L232" s="3">
        <v>4775.93</v>
      </c>
      <c r="M232" s="3">
        <f>Table1[[#This Row],[Gross_Sales]]-Table1[[#This Row],[Discount]]</f>
        <v>58104.12</v>
      </c>
      <c r="N232" s="3">
        <v>39125.54</v>
      </c>
      <c r="O232" s="3">
        <v>2027.38</v>
      </c>
      <c r="P232" s="3">
        <v>3488.16</v>
      </c>
      <c r="Q232" s="3">
        <v>2585.4499999999998</v>
      </c>
      <c r="R232" s="3">
        <v>1553.51</v>
      </c>
      <c r="S232" s="3">
        <f>SUM(Table1[[#This Row],[Product_Cost]:[Other_Cost]])</f>
        <v>48780.04</v>
      </c>
      <c r="T232" s="3">
        <f>Table1[[#This Row],[Net_Sales]]-Table1[[#This Row],[Product_Cost]]</f>
        <v>18978.580000000002</v>
      </c>
      <c r="U232" s="3">
        <f>Table1[[#This Row],[Net_Sales]]-Table1[[#This Row],[Total_Cost]]</f>
        <v>9324.0800000000017</v>
      </c>
      <c r="V232" s="4">
        <f>Table1[[#This Row],[Net_Profit]]/Table1[[#This Row],[Net_Sales]]</f>
        <v>0.16047192522664488</v>
      </c>
      <c r="W232" t="s">
        <v>33</v>
      </c>
      <c r="X232" t="s">
        <v>209</v>
      </c>
      <c r="Y232">
        <v>2</v>
      </c>
      <c r="Z232" t="str">
        <f>IF(Table1[[#This Row],[Month_No]]&lt;=6, "H1","H2")</f>
        <v>H1</v>
      </c>
    </row>
    <row r="233" spans="1:26" x14ac:dyDescent="0.25">
      <c r="A233" s="2">
        <v>45709</v>
      </c>
      <c r="B233" t="s">
        <v>307</v>
      </c>
      <c r="C233" t="s">
        <v>63</v>
      </c>
      <c r="D233" t="s">
        <v>81</v>
      </c>
      <c r="E233" t="s">
        <v>45</v>
      </c>
      <c r="F233" t="s">
        <v>52</v>
      </c>
      <c r="G233" t="s">
        <v>61</v>
      </c>
      <c r="H233" t="s">
        <v>41</v>
      </c>
      <c r="I233">
        <v>39</v>
      </c>
      <c r="J233" s="3">
        <v>6599.14</v>
      </c>
      <c r="K233" s="3">
        <f>Table1[[#This Row],[Quantity]]*Table1[[#This Row],[Unit_Price]]</f>
        <v>257366.46000000002</v>
      </c>
      <c r="L233" s="3">
        <v>23509.93</v>
      </c>
      <c r="M233" s="3">
        <f>Table1[[#This Row],[Gross_Sales]]-Table1[[#This Row],[Discount]]</f>
        <v>233856.53000000003</v>
      </c>
      <c r="N233" s="3">
        <v>138554.43</v>
      </c>
      <c r="O233" s="3">
        <v>6388.49</v>
      </c>
      <c r="P233" s="3">
        <v>13523.66</v>
      </c>
      <c r="Q233" s="3">
        <v>11391.8</v>
      </c>
      <c r="R233" s="3">
        <v>6129.64</v>
      </c>
      <c r="S233" s="3">
        <f>SUM(Table1[[#This Row],[Product_Cost]:[Other_Cost]])</f>
        <v>175988.02</v>
      </c>
      <c r="T233" s="3">
        <f>Table1[[#This Row],[Net_Sales]]-Table1[[#This Row],[Product_Cost]]</f>
        <v>95302.100000000035</v>
      </c>
      <c r="U233" s="3">
        <f>Table1[[#This Row],[Net_Sales]]-Table1[[#This Row],[Total_Cost]]</f>
        <v>57868.510000000038</v>
      </c>
      <c r="V233" s="4">
        <f>Table1[[#This Row],[Net_Profit]]/Table1[[#This Row],[Net_Sales]]</f>
        <v>0.24745304311151811</v>
      </c>
      <c r="W233" t="s">
        <v>33</v>
      </c>
      <c r="X233" t="s">
        <v>209</v>
      </c>
      <c r="Y233">
        <v>2</v>
      </c>
      <c r="Z233" t="str">
        <f>IF(Table1[[#This Row],[Month_No]]&lt;=6, "H1","H2")</f>
        <v>H1</v>
      </c>
    </row>
    <row r="234" spans="1:26" x14ac:dyDescent="0.25">
      <c r="A234" s="2">
        <v>45709</v>
      </c>
      <c r="B234" t="s">
        <v>308</v>
      </c>
      <c r="C234" t="s">
        <v>98</v>
      </c>
      <c r="D234" t="s">
        <v>183</v>
      </c>
      <c r="E234" t="s">
        <v>38</v>
      </c>
      <c r="F234" t="s">
        <v>30</v>
      </c>
      <c r="G234" t="s">
        <v>61</v>
      </c>
      <c r="H234" t="s">
        <v>41</v>
      </c>
      <c r="I234">
        <v>81</v>
      </c>
      <c r="J234" s="3">
        <v>6519.34</v>
      </c>
      <c r="K234" s="3">
        <f>Table1[[#This Row],[Quantity]]*Table1[[#This Row],[Unit_Price]]</f>
        <v>528066.54</v>
      </c>
      <c r="L234" s="3">
        <v>47423.85</v>
      </c>
      <c r="M234" s="3">
        <f>Table1[[#This Row],[Gross_Sales]]-Table1[[#This Row],[Discount]]</f>
        <v>480642.69000000006</v>
      </c>
      <c r="N234" s="3">
        <v>292583.96000000002</v>
      </c>
      <c r="O234" s="3">
        <v>17973.77</v>
      </c>
      <c r="P234" s="3">
        <v>30723.63</v>
      </c>
      <c r="Q234" s="3">
        <v>25238.95</v>
      </c>
      <c r="R234" s="3">
        <v>14713.76</v>
      </c>
      <c r="S234" s="3">
        <f>SUM(Table1[[#This Row],[Product_Cost]:[Other_Cost]])</f>
        <v>381234.07000000007</v>
      </c>
      <c r="T234" s="3">
        <f>Table1[[#This Row],[Net_Sales]]-Table1[[#This Row],[Product_Cost]]</f>
        <v>188058.73000000004</v>
      </c>
      <c r="U234" s="3">
        <f>Table1[[#This Row],[Net_Sales]]-Table1[[#This Row],[Total_Cost]]</f>
        <v>99408.62</v>
      </c>
      <c r="V234" s="4">
        <f>Table1[[#This Row],[Net_Profit]]/Table1[[#This Row],[Net_Sales]]</f>
        <v>0.20682436676608976</v>
      </c>
      <c r="W234" t="s">
        <v>33</v>
      </c>
      <c r="X234" t="s">
        <v>209</v>
      </c>
      <c r="Y234">
        <v>2</v>
      </c>
      <c r="Z234" t="str">
        <f>IF(Table1[[#This Row],[Month_No]]&lt;=6, "H1","H2")</f>
        <v>H1</v>
      </c>
    </row>
    <row r="235" spans="1:26" x14ac:dyDescent="0.25">
      <c r="A235" s="2">
        <v>45709</v>
      </c>
      <c r="B235" t="s">
        <v>309</v>
      </c>
      <c r="C235" t="s">
        <v>49</v>
      </c>
      <c r="D235" t="s">
        <v>74</v>
      </c>
      <c r="E235" t="s">
        <v>75</v>
      </c>
      <c r="F235" t="s">
        <v>52</v>
      </c>
      <c r="G235" t="s">
        <v>86</v>
      </c>
      <c r="H235" t="s">
        <v>59</v>
      </c>
      <c r="I235">
        <v>66</v>
      </c>
      <c r="J235" s="3">
        <v>5195.51</v>
      </c>
      <c r="K235" s="3">
        <f>Table1[[#This Row],[Quantity]]*Table1[[#This Row],[Unit_Price]]</f>
        <v>342903.66000000003</v>
      </c>
      <c r="L235" s="3">
        <v>25736.02</v>
      </c>
      <c r="M235" s="3">
        <f>Table1[[#This Row],[Gross_Sales]]-Table1[[#This Row],[Discount]]</f>
        <v>317167.64</v>
      </c>
      <c r="N235" s="3">
        <v>241822.88</v>
      </c>
      <c r="O235" s="3">
        <v>8339.7800000000007</v>
      </c>
      <c r="P235" s="3">
        <v>21713.27</v>
      </c>
      <c r="Q235" s="3">
        <v>16547.21</v>
      </c>
      <c r="R235" s="3">
        <v>9114.82</v>
      </c>
      <c r="S235" s="3">
        <f>SUM(Table1[[#This Row],[Product_Cost]:[Other_Cost]])</f>
        <v>297537.96000000002</v>
      </c>
      <c r="T235" s="3">
        <f>Table1[[#This Row],[Net_Sales]]-Table1[[#This Row],[Product_Cost]]</f>
        <v>75344.760000000009</v>
      </c>
      <c r="U235" s="3">
        <f>Table1[[#This Row],[Net_Sales]]-Table1[[#This Row],[Total_Cost]]</f>
        <v>19629.679999999993</v>
      </c>
      <c r="V235" s="4">
        <f>Table1[[#This Row],[Net_Profit]]/Table1[[#This Row],[Net_Sales]]</f>
        <v>6.1890551003248605E-2</v>
      </c>
      <c r="W235" t="s">
        <v>33</v>
      </c>
      <c r="X235" t="s">
        <v>209</v>
      </c>
      <c r="Y235">
        <v>2</v>
      </c>
      <c r="Z235" t="str">
        <f>IF(Table1[[#This Row],[Month_No]]&lt;=6, "H1","H2")</f>
        <v>H1</v>
      </c>
    </row>
    <row r="236" spans="1:26" x14ac:dyDescent="0.25">
      <c r="A236" s="2">
        <v>45710</v>
      </c>
      <c r="B236" t="s">
        <v>310</v>
      </c>
      <c r="C236" t="s">
        <v>117</v>
      </c>
      <c r="D236" t="s">
        <v>44</v>
      </c>
      <c r="E236" t="s">
        <v>45</v>
      </c>
      <c r="F236" t="s">
        <v>30</v>
      </c>
      <c r="G236" t="s">
        <v>76</v>
      </c>
      <c r="H236" t="s">
        <v>32</v>
      </c>
      <c r="I236">
        <v>77</v>
      </c>
      <c r="J236" s="3">
        <v>4232.38</v>
      </c>
      <c r="K236" s="3">
        <f>Table1[[#This Row],[Quantity]]*Table1[[#This Row],[Unit_Price]]</f>
        <v>325893.26</v>
      </c>
      <c r="L236" s="3">
        <v>31068.13</v>
      </c>
      <c r="M236" s="3">
        <f>Table1[[#This Row],[Gross_Sales]]-Table1[[#This Row],[Discount]]</f>
        <v>294825.13</v>
      </c>
      <c r="N236" s="3">
        <v>205628.26</v>
      </c>
      <c r="O236" s="3">
        <v>10368.59</v>
      </c>
      <c r="P236" s="3">
        <v>16812.2</v>
      </c>
      <c r="Q236" s="3">
        <v>11565.76</v>
      </c>
      <c r="R236" s="3">
        <v>7139.81</v>
      </c>
      <c r="S236" s="3">
        <f>SUM(Table1[[#This Row],[Product_Cost]:[Other_Cost]])</f>
        <v>251514.62000000002</v>
      </c>
      <c r="T236" s="3">
        <f>Table1[[#This Row],[Net_Sales]]-Table1[[#This Row],[Product_Cost]]</f>
        <v>89196.87</v>
      </c>
      <c r="U236" s="3">
        <f>Table1[[#This Row],[Net_Sales]]-Table1[[#This Row],[Total_Cost]]</f>
        <v>43310.50999999998</v>
      </c>
      <c r="V236" s="4">
        <f>Table1[[#This Row],[Net_Profit]]/Table1[[#This Row],[Net_Sales]]</f>
        <v>0.14690236887201569</v>
      </c>
      <c r="W236" t="s">
        <v>33</v>
      </c>
      <c r="X236" t="s">
        <v>209</v>
      </c>
      <c r="Y236">
        <v>2</v>
      </c>
      <c r="Z236" t="str">
        <f>IF(Table1[[#This Row],[Month_No]]&lt;=6, "H1","H2")</f>
        <v>H1</v>
      </c>
    </row>
    <row r="237" spans="1:26" x14ac:dyDescent="0.25">
      <c r="A237" s="2">
        <v>45711</v>
      </c>
      <c r="B237" t="s">
        <v>311</v>
      </c>
      <c r="C237" t="s">
        <v>70</v>
      </c>
      <c r="D237" t="s">
        <v>50</v>
      </c>
      <c r="E237" t="s">
        <v>51</v>
      </c>
      <c r="F237" t="s">
        <v>52</v>
      </c>
      <c r="G237" t="s">
        <v>61</v>
      </c>
      <c r="H237" t="s">
        <v>47</v>
      </c>
      <c r="I237">
        <v>57</v>
      </c>
      <c r="J237" s="3">
        <v>813.29</v>
      </c>
      <c r="K237" s="3">
        <f>Table1[[#This Row],[Quantity]]*Table1[[#This Row],[Unit_Price]]</f>
        <v>46357.53</v>
      </c>
      <c r="L237" s="3">
        <v>3278.12</v>
      </c>
      <c r="M237" s="3">
        <f>Table1[[#This Row],[Gross_Sales]]-Table1[[#This Row],[Discount]]</f>
        <v>43079.409999999996</v>
      </c>
      <c r="N237" s="3">
        <v>27737.1</v>
      </c>
      <c r="O237" s="3">
        <v>1019.62</v>
      </c>
      <c r="P237" s="3">
        <v>2603.06</v>
      </c>
      <c r="Q237" s="3">
        <v>2353.9499999999998</v>
      </c>
      <c r="R237" s="3">
        <v>1278.8599999999999</v>
      </c>
      <c r="S237" s="3">
        <f>SUM(Table1[[#This Row],[Product_Cost]:[Other_Cost]])</f>
        <v>34992.589999999997</v>
      </c>
      <c r="T237" s="3">
        <f>Table1[[#This Row],[Net_Sales]]-Table1[[#This Row],[Product_Cost]]</f>
        <v>15342.309999999998</v>
      </c>
      <c r="U237" s="3">
        <f>Table1[[#This Row],[Net_Sales]]-Table1[[#This Row],[Total_Cost]]</f>
        <v>8086.82</v>
      </c>
      <c r="V237" s="4">
        <f>Table1[[#This Row],[Net_Profit]]/Table1[[#This Row],[Net_Sales]]</f>
        <v>0.18771891258492168</v>
      </c>
      <c r="W237" t="s">
        <v>33</v>
      </c>
      <c r="X237" t="s">
        <v>209</v>
      </c>
      <c r="Y237">
        <v>2</v>
      </c>
      <c r="Z237" t="str">
        <f>IF(Table1[[#This Row],[Month_No]]&lt;=6, "H1","H2")</f>
        <v>H1</v>
      </c>
    </row>
    <row r="238" spans="1:26" x14ac:dyDescent="0.25">
      <c r="A238" s="2">
        <v>45711</v>
      </c>
      <c r="B238" t="s">
        <v>312</v>
      </c>
      <c r="C238" t="s">
        <v>36</v>
      </c>
      <c r="D238" t="s">
        <v>85</v>
      </c>
      <c r="E238" t="s">
        <v>57</v>
      </c>
      <c r="F238" t="s">
        <v>52</v>
      </c>
      <c r="G238" t="s">
        <v>71</v>
      </c>
      <c r="H238" t="s">
        <v>41</v>
      </c>
      <c r="I238">
        <v>54</v>
      </c>
      <c r="J238" s="3">
        <v>1817.62</v>
      </c>
      <c r="K238" s="3">
        <f>Table1[[#This Row],[Quantity]]*Table1[[#This Row],[Unit_Price]]</f>
        <v>98151.48</v>
      </c>
      <c r="L238" s="3">
        <v>7997.26</v>
      </c>
      <c r="M238" s="3">
        <f>Table1[[#This Row],[Gross_Sales]]-Table1[[#This Row],[Discount]]</f>
        <v>90154.22</v>
      </c>
      <c r="N238" s="3">
        <v>62462.46</v>
      </c>
      <c r="O238" s="3">
        <v>2279.89</v>
      </c>
      <c r="P238" s="3">
        <v>6504.62</v>
      </c>
      <c r="Q238" s="3">
        <v>4384</v>
      </c>
      <c r="R238" s="3">
        <v>1809.58</v>
      </c>
      <c r="S238" s="3">
        <f>SUM(Table1[[#This Row],[Product_Cost]:[Other_Cost]])</f>
        <v>77440.55</v>
      </c>
      <c r="T238" s="3">
        <f>Table1[[#This Row],[Net_Sales]]-Table1[[#This Row],[Product_Cost]]</f>
        <v>27691.760000000002</v>
      </c>
      <c r="U238" s="3">
        <f>Table1[[#This Row],[Net_Sales]]-Table1[[#This Row],[Total_Cost]]</f>
        <v>12713.669999999998</v>
      </c>
      <c r="V238" s="4">
        <f>Table1[[#This Row],[Net_Profit]]/Table1[[#This Row],[Net_Sales]]</f>
        <v>0.14102135207869357</v>
      </c>
      <c r="W238" t="s">
        <v>33</v>
      </c>
      <c r="X238" t="s">
        <v>209</v>
      </c>
      <c r="Y238">
        <v>2</v>
      </c>
      <c r="Z238" t="str">
        <f>IF(Table1[[#This Row],[Month_No]]&lt;=6, "H1","H2")</f>
        <v>H1</v>
      </c>
    </row>
    <row r="239" spans="1:26" x14ac:dyDescent="0.25">
      <c r="A239" s="2">
        <v>45711</v>
      </c>
      <c r="B239" t="s">
        <v>313</v>
      </c>
      <c r="C239" t="s">
        <v>70</v>
      </c>
      <c r="D239" t="s">
        <v>74</v>
      </c>
      <c r="E239" t="s">
        <v>75</v>
      </c>
      <c r="F239" t="s">
        <v>52</v>
      </c>
      <c r="G239" t="s">
        <v>61</v>
      </c>
      <c r="H239" t="s">
        <v>59</v>
      </c>
      <c r="I239">
        <v>70</v>
      </c>
      <c r="J239" s="3">
        <v>5440.01</v>
      </c>
      <c r="K239" s="3">
        <f>Table1[[#This Row],[Quantity]]*Table1[[#This Row],[Unit_Price]]</f>
        <v>380800.7</v>
      </c>
      <c r="L239" s="3">
        <v>26242.54</v>
      </c>
      <c r="M239" s="3">
        <f>Table1[[#This Row],[Gross_Sales]]-Table1[[#This Row],[Discount]]</f>
        <v>354558.16000000003</v>
      </c>
      <c r="N239" s="3">
        <v>261945.89</v>
      </c>
      <c r="O239" s="3">
        <v>9511.3700000000008</v>
      </c>
      <c r="P239" s="3">
        <v>20781.25</v>
      </c>
      <c r="Q239" s="3">
        <v>13218.45</v>
      </c>
      <c r="R239" s="3">
        <v>8370.68</v>
      </c>
      <c r="S239" s="3">
        <f>SUM(Table1[[#This Row],[Product_Cost]:[Other_Cost]])</f>
        <v>313827.64</v>
      </c>
      <c r="T239" s="3">
        <f>Table1[[#This Row],[Net_Sales]]-Table1[[#This Row],[Product_Cost]]</f>
        <v>92612.270000000019</v>
      </c>
      <c r="U239" s="3">
        <f>Table1[[#This Row],[Net_Sales]]-Table1[[#This Row],[Total_Cost]]</f>
        <v>40730.520000000019</v>
      </c>
      <c r="V239" s="4">
        <f>Table1[[#This Row],[Net_Profit]]/Table1[[#This Row],[Net_Sales]]</f>
        <v>0.11487683713160068</v>
      </c>
      <c r="W239" t="s">
        <v>33</v>
      </c>
      <c r="X239" t="s">
        <v>209</v>
      </c>
      <c r="Y239">
        <v>2</v>
      </c>
      <c r="Z239" t="str">
        <f>IF(Table1[[#This Row],[Month_No]]&lt;=6, "H1","H2")</f>
        <v>H1</v>
      </c>
    </row>
    <row r="240" spans="1:26" x14ac:dyDescent="0.25">
      <c r="A240" s="2">
        <v>45711</v>
      </c>
      <c r="B240" t="s">
        <v>314</v>
      </c>
      <c r="C240" t="s">
        <v>70</v>
      </c>
      <c r="D240" t="s">
        <v>85</v>
      </c>
      <c r="E240" t="s">
        <v>57</v>
      </c>
      <c r="F240" t="s">
        <v>39</v>
      </c>
      <c r="G240" t="s">
        <v>86</v>
      </c>
      <c r="H240" t="s">
        <v>41</v>
      </c>
      <c r="I240">
        <v>104</v>
      </c>
      <c r="J240" s="3">
        <v>1776</v>
      </c>
      <c r="K240" s="3">
        <f>Table1[[#This Row],[Quantity]]*Table1[[#This Row],[Unit_Price]]</f>
        <v>184704</v>
      </c>
      <c r="L240" s="3">
        <v>17497.62</v>
      </c>
      <c r="M240" s="3">
        <f>Table1[[#This Row],[Gross_Sales]]-Table1[[#This Row],[Discount]]</f>
        <v>167206.38</v>
      </c>
      <c r="N240" s="3">
        <v>116592.68</v>
      </c>
      <c r="O240" s="3">
        <v>7185.92</v>
      </c>
      <c r="P240" s="3">
        <v>11607.96</v>
      </c>
      <c r="Q240" s="3">
        <v>5975.12</v>
      </c>
      <c r="R240" s="3">
        <v>4526.6499999999996</v>
      </c>
      <c r="S240" s="3">
        <f>SUM(Table1[[#This Row],[Product_Cost]:[Other_Cost]])</f>
        <v>145888.32999999999</v>
      </c>
      <c r="T240" s="3">
        <f>Table1[[#This Row],[Net_Sales]]-Table1[[#This Row],[Product_Cost]]</f>
        <v>50613.700000000012</v>
      </c>
      <c r="U240" s="3">
        <f>Table1[[#This Row],[Net_Sales]]-Table1[[#This Row],[Total_Cost]]</f>
        <v>21318.050000000017</v>
      </c>
      <c r="V240" s="4">
        <f>Table1[[#This Row],[Net_Profit]]/Table1[[#This Row],[Net_Sales]]</f>
        <v>0.12749543408570904</v>
      </c>
      <c r="W240" t="s">
        <v>72</v>
      </c>
      <c r="X240" t="s">
        <v>209</v>
      </c>
      <c r="Y240">
        <v>2</v>
      </c>
      <c r="Z240" t="str">
        <f>IF(Table1[[#This Row],[Month_No]]&lt;=6, "H1","H2")</f>
        <v>H1</v>
      </c>
    </row>
    <row r="241" spans="1:26" x14ac:dyDescent="0.25">
      <c r="A241" s="2">
        <v>45711</v>
      </c>
      <c r="B241" t="s">
        <v>315</v>
      </c>
      <c r="C241" t="s">
        <v>107</v>
      </c>
      <c r="D241" t="s">
        <v>50</v>
      </c>
      <c r="E241" t="s">
        <v>51</v>
      </c>
      <c r="F241" t="s">
        <v>52</v>
      </c>
      <c r="G241" t="s">
        <v>86</v>
      </c>
      <c r="H241" t="s">
        <v>59</v>
      </c>
      <c r="I241">
        <v>55</v>
      </c>
      <c r="J241" s="3">
        <v>790.09</v>
      </c>
      <c r="K241" s="3">
        <f>Table1[[#This Row],[Quantity]]*Table1[[#This Row],[Unit_Price]]</f>
        <v>43454.950000000004</v>
      </c>
      <c r="L241" s="3">
        <v>2895.16</v>
      </c>
      <c r="M241" s="3">
        <f>Table1[[#This Row],[Gross_Sales]]-Table1[[#This Row],[Discount]]</f>
        <v>40559.790000000008</v>
      </c>
      <c r="N241" s="3">
        <v>28247.06</v>
      </c>
      <c r="O241" s="3">
        <v>975.56</v>
      </c>
      <c r="P241" s="3">
        <v>2487.21</v>
      </c>
      <c r="Q241" s="3">
        <v>1587.05</v>
      </c>
      <c r="R241" s="3">
        <v>952.82</v>
      </c>
      <c r="S241" s="3">
        <f>SUM(Table1[[#This Row],[Product_Cost]:[Other_Cost]])</f>
        <v>34249.700000000004</v>
      </c>
      <c r="T241" s="3">
        <f>Table1[[#This Row],[Net_Sales]]-Table1[[#This Row],[Product_Cost]]</f>
        <v>12312.730000000007</v>
      </c>
      <c r="U241" s="3">
        <f>Table1[[#This Row],[Net_Sales]]-Table1[[#This Row],[Total_Cost]]</f>
        <v>6310.0900000000038</v>
      </c>
      <c r="V241" s="4">
        <f>Table1[[#This Row],[Net_Profit]]/Table1[[#This Row],[Net_Sales]]</f>
        <v>0.15557501653731448</v>
      </c>
      <c r="W241" t="s">
        <v>33</v>
      </c>
      <c r="X241" t="s">
        <v>209</v>
      </c>
      <c r="Y241">
        <v>2</v>
      </c>
      <c r="Z241" t="str">
        <f>IF(Table1[[#This Row],[Month_No]]&lt;=6, "H1","H2")</f>
        <v>H1</v>
      </c>
    </row>
    <row r="242" spans="1:26" x14ac:dyDescent="0.25">
      <c r="A242" s="2">
        <v>45712</v>
      </c>
      <c r="B242" t="s">
        <v>316</v>
      </c>
      <c r="C242" t="s">
        <v>70</v>
      </c>
      <c r="D242" t="s">
        <v>50</v>
      </c>
      <c r="E242" t="s">
        <v>51</v>
      </c>
      <c r="F242" t="s">
        <v>46</v>
      </c>
      <c r="G242" t="s">
        <v>61</v>
      </c>
      <c r="H242" t="s">
        <v>32</v>
      </c>
      <c r="I242">
        <v>82</v>
      </c>
      <c r="J242" s="3">
        <v>779.53</v>
      </c>
      <c r="K242" s="3">
        <f>Table1[[#This Row],[Quantity]]*Table1[[#This Row],[Unit_Price]]</f>
        <v>63921.46</v>
      </c>
      <c r="L242" s="3">
        <v>5391.72</v>
      </c>
      <c r="M242" s="3">
        <f>Table1[[#This Row],[Gross_Sales]]-Table1[[#This Row],[Discount]]</f>
        <v>58529.74</v>
      </c>
      <c r="N242" s="3">
        <v>37703.61</v>
      </c>
      <c r="O242" s="3">
        <v>1688.49</v>
      </c>
      <c r="P242" s="3">
        <v>4329.3100000000004</v>
      </c>
      <c r="Q242" s="3">
        <v>2626.16</v>
      </c>
      <c r="R242" s="3">
        <v>1549.91</v>
      </c>
      <c r="S242" s="3">
        <f>SUM(Table1[[#This Row],[Product_Cost]:[Other_Cost]])</f>
        <v>47897.479999999996</v>
      </c>
      <c r="T242" s="3">
        <f>Table1[[#This Row],[Net_Sales]]-Table1[[#This Row],[Product_Cost]]</f>
        <v>20826.129999999997</v>
      </c>
      <c r="U242" s="3">
        <f>Table1[[#This Row],[Net_Sales]]-Table1[[#This Row],[Total_Cost]]</f>
        <v>10632.260000000002</v>
      </c>
      <c r="V242" s="4">
        <f>Table1[[#This Row],[Net_Profit]]/Table1[[#This Row],[Net_Sales]]</f>
        <v>0.18165568478520497</v>
      </c>
      <c r="W242" t="s">
        <v>33</v>
      </c>
      <c r="X242" t="s">
        <v>209</v>
      </c>
      <c r="Y242">
        <v>2</v>
      </c>
      <c r="Z242" t="str">
        <f>IF(Table1[[#This Row],[Month_No]]&lt;=6, "H1","H2")</f>
        <v>H1</v>
      </c>
    </row>
    <row r="243" spans="1:26" x14ac:dyDescent="0.25">
      <c r="A243" s="2">
        <v>45712</v>
      </c>
      <c r="B243" t="s">
        <v>317</v>
      </c>
      <c r="C243" t="s">
        <v>70</v>
      </c>
      <c r="D243" t="s">
        <v>100</v>
      </c>
      <c r="E243" t="s">
        <v>75</v>
      </c>
      <c r="F243" t="s">
        <v>52</v>
      </c>
      <c r="G243" t="s">
        <v>31</v>
      </c>
      <c r="H243" t="s">
        <v>41</v>
      </c>
      <c r="I243">
        <v>46</v>
      </c>
      <c r="J243" s="3">
        <v>6349.34</v>
      </c>
      <c r="K243" s="3">
        <f>Table1[[#This Row],[Quantity]]*Table1[[#This Row],[Unit_Price]]</f>
        <v>292069.64</v>
      </c>
      <c r="L243" s="3">
        <v>21110.2</v>
      </c>
      <c r="M243" s="3">
        <f>Table1[[#This Row],[Gross_Sales]]-Table1[[#This Row],[Discount]]</f>
        <v>270959.44</v>
      </c>
      <c r="N243" s="3">
        <v>170064.53</v>
      </c>
      <c r="O243" s="3">
        <v>6358.28</v>
      </c>
      <c r="P243" s="3">
        <v>20210.98</v>
      </c>
      <c r="Q243" s="3">
        <v>13189.52</v>
      </c>
      <c r="R243" s="3">
        <v>7017.09</v>
      </c>
      <c r="S243" s="3">
        <f>SUM(Table1[[#This Row],[Product_Cost]:[Other_Cost]])</f>
        <v>216840.4</v>
      </c>
      <c r="T243" s="3">
        <f>Table1[[#This Row],[Net_Sales]]-Table1[[#This Row],[Product_Cost]]</f>
        <v>100894.91</v>
      </c>
      <c r="U243" s="3">
        <f>Table1[[#This Row],[Net_Sales]]-Table1[[#This Row],[Total_Cost]]</f>
        <v>54119.040000000008</v>
      </c>
      <c r="V243" s="4">
        <f>Table1[[#This Row],[Net_Profit]]/Table1[[#This Row],[Net_Sales]]</f>
        <v>0.19973114795336161</v>
      </c>
      <c r="W243" t="s">
        <v>33</v>
      </c>
      <c r="X243" t="s">
        <v>209</v>
      </c>
      <c r="Y243">
        <v>2</v>
      </c>
      <c r="Z243" t="str">
        <f>IF(Table1[[#This Row],[Month_No]]&lt;=6, "H1","H2")</f>
        <v>H1</v>
      </c>
    </row>
    <row r="244" spans="1:26" x14ac:dyDescent="0.25">
      <c r="A244" s="2">
        <v>45714</v>
      </c>
      <c r="B244" t="s">
        <v>318</v>
      </c>
      <c r="C244" t="s">
        <v>117</v>
      </c>
      <c r="D244" t="s">
        <v>100</v>
      </c>
      <c r="E244" t="s">
        <v>75</v>
      </c>
      <c r="F244" t="s">
        <v>52</v>
      </c>
      <c r="G244" t="s">
        <v>61</v>
      </c>
      <c r="H244" t="s">
        <v>41</v>
      </c>
      <c r="I244">
        <v>22</v>
      </c>
      <c r="J244" s="3">
        <v>6343.46</v>
      </c>
      <c r="K244" s="3">
        <f>Table1[[#This Row],[Quantity]]*Table1[[#This Row],[Unit_Price]]</f>
        <v>139556.12</v>
      </c>
      <c r="L244" s="3">
        <v>10673.89</v>
      </c>
      <c r="M244" s="3">
        <f>Table1[[#This Row],[Gross_Sales]]-Table1[[#This Row],[Discount]]</f>
        <v>128882.23</v>
      </c>
      <c r="N244" s="3">
        <v>79285.23</v>
      </c>
      <c r="O244" s="3">
        <v>3407.34</v>
      </c>
      <c r="P244" s="3">
        <v>7355.85</v>
      </c>
      <c r="Q244" s="3">
        <v>6018.67</v>
      </c>
      <c r="R244" s="3">
        <v>3998.59</v>
      </c>
      <c r="S244" s="3">
        <f>SUM(Table1[[#This Row],[Product_Cost]:[Other_Cost]])</f>
        <v>100065.68</v>
      </c>
      <c r="T244" s="3">
        <f>Table1[[#This Row],[Net_Sales]]-Table1[[#This Row],[Product_Cost]]</f>
        <v>49597</v>
      </c>
      <c r="U244" s="3">
        <f>Table1[[#This Row],[Net_Sales]]-Table1[[#This Row],[Total_Cost]]</f>
        <v>28816.550000000003</v>
      </c>
      <c r="V244" s="4">
        <f>Table1[[#This Row],[Net_Profit]]/Table1[[#This Row],[Net_Sales]]</f>
        <v>0.22358823245066448</v>
      </c>
      <c r="W244" t="s">
        <v>33</v>
      </c>
      <c r="X244" t="s">
        <v>209</v>
      </c>
      <c r="Y244">
        <v>2</v>
      </c>
      <c r="Z244" t="str">
        <f>IF(Table1[[#This Row],[Month_No]]&lt;=6, "H1","H2")</f>
        <v>H1</v>
      </c>
    </row>
    <row r="245" spans="1:26" x14ac:dyDescent="0.25">
      <c r="A245" s="2">
        <v>45714</v>
      </c>
      <c r="B245" t="s">
        <v>319</v>
      </c>
      <c r="C245" t="s">
        <v>36</v>
      </c>
      <c r="D245" t="s">
        <v>50</v>
      </c>
      <c r="E245" t="s">
        <v>51</v>
      </c>
      <c r="F245" t="s">
        <v>52</v>
      </c>
      <c r="G245" t="s">
        <v>31</v>
      </c>
      <c r="H245" t="s">
        <v>47</v>
      </c>
      <c r="I245">
        <v>81</v>
      </c>
      <c r="J245" s="3">
        <v>806.82</v>
      </c>
      <c r="K245" s="3">
        <f>Table1[[#This Row],[Quantity]]*Table1[[#This Row],[Unit_Price]]</f>
        <v>65352.420000000006</v>
      </c>
      <c r="L245" s="3">
        <v>5145.2299999999996</v>
      </c>
      <c r="M245" s="3">
        <f>Table1[[#This Row],[Gross_Sales]]-Table1[[#This Row],[Discount]]</f>
        <v>60207.19</v>
      </c>
      <c r="N245" s="3">
        <v>39742.699999999997</v>
      </c>
      <c r="O245" s="3">
        <v>1643.72</v>
      </c>
      <c r="P245" s="3">
        <v>4042.17</v>
      </c>
      <c r="Q245" s="3">
        <v>2923.6</v>
      </c>
      <c r="R245" s="3">
        <v>1339.59</v>
      </c>
      <c r="S245" s="3">
        <f>SUM(Table1[[#This Row],[Product_Cost]:[Other_Cost]])</f>
        <v>49691.779999999992</v>
      </c>
      <c r="T245" s="3">
        <f>Table1[[#This Row],[Net_Sales]]-Table1[[#This Row],[Product_Cost]]</f>
        <v>20464.490000000005</v>
      </c>
      <c r="U245" s="3">
        <f>Table1[[#This Row],[Net_Sales]]-Table1[[#This Row],[Total_Cost]]</f>
        <v>10515.410000000011</v>
      </c>
      <c r="V245" s="4">
        <f>Table1[[#This Row],[Net_Profit]]/Table1[[#This Row],[Net_Sales]]</f>
        <v>0.17465372491225734</v>
      </c>
      <c r="W245" t="s">
        <v>33</v>
      </c>
      <c r="X245" t="s">
        <v>209</v>
      </c>
      <c r="Y245">
        <v>2</v>
      </c>
      <c r="Z245" t="str">
        <f>IF(Table1[[#This Row],[Month_No]]&lt;=6, "H1","H2")</f>
        <v>H1</v>
      </c>
    </row>
    <row r="246" spans="1:26" x14ac:dyDescent="0.25">
      <c r="A246" s="2">
        <v>45714</v>
      </c>
      <c r="B246" t="s">
        <v>320</v>
      </c>
      <c r="C246" t="s">
        <v>107</v>
      </c>
      <c r="D246" t="s">
        <v>50</v>
      </c>
      <c r="E246" t="s">
        <v>51</v>
      </c>
      <c r="F246" t="s">
        <v>52</v>
      </c>
      <c r="G246" t="s">
        <v>61</v>
      </c>
      <c r="H246" t="s">
        <v>41</v>
      </c>
      <c r="I246">
        <v>81</v>
      </c>
      <c r="J246" s="3">
        <v>846.05</v>
      </c>
      <c r="K246" s="3">
        <f>Table1[[#This Row],[Quantity]]*Table1[[#This Row],[Unit_Price]]</f>
        <v>68530.05</v>
      </c>
      <c r="L246" s="3">
        <v>6345.61</v>
      </c>
      <c r="M246" s="3">
        <f>Table1[[#This Row],[Gross_Sales]]-Table1[[#This Row],[Discount]]</f>
        <v>62184.44</v>
      </c>
      <c r="N246" s="3">
        <v>40683.82</v>
      </c>
      <c r="O246" s="3">
        <v>1682.34</v>
      </c>
      <c r="P246" s="3">
        <v>4020.28</v>
      </c>
      <c r="Q246" s="3">
        <v>3067.36</v>
      </c>
      <c r="R246" s="3">
        <v>1757.4</v>
      </c>
      <c r="S246" s="3">
        <f>SUM(Table1[[#This Row],[Product_Cost]:[Other_Cost]])</f>
        <v>51211.199999999997</v>
      </c>
      <c r="T246" s="3">
        <f>Table1[[#This Row],[Net_Sales]]-Table1[[#This Row],[Product_Cost]]</f>
        <v>21500.620000000003</v>
      </c>
      <c r="U246" s="3">
        <f>Table1[[#This Row],[Net_Sales]]-Table1[[#This Row],[Total_Cost]]</f>
        <v>10973.240000000005</v>
      </c>
      <c r="V246" s="4">
        <f>Table1[[#This Row],[Net_Profit]]/Table1[[#This Row],[Net_Sales]]</f>
        <v>0.17646279358630559</v>
      </c>
      <c r="W246" t="s">
        <v>33</v>
      </c>
      <c r="X246" t="s">
        <v>209</v>
      </c>
      <c r="Y246">
        <v>2</v>
      </c>
      <c r="Z246" t="str">
        <f>IF(Table1[[#This Row],[Month_No]]&lt;=6, "H1","H2")</f>
        <v>H1</v>
      </c>
    </row>
    <row r="247" spans="1:26" x14ac:dyDescent="0.25">
      <c r="A247" s="2">
        <v>45714</v>
      </c>
      <c r="B247" t="s">
        <v>321</v>
      </c>
      <c r="C247" t="s">
        <v>107</v>
      </c>
      <c r="D247" t="s">
        <v>44</v>
      </c>
      <c r="E247" t="s">
        <v>45</v>
      </c>
      <c r="F247" t="s">
        <v>52</v>
      </c>
      <c r="G247" t="s">
        <v>76</v>
      </c>
      <c r="H247" t="s">
        <v>59</v>
      </c>
      <c r="I247">
        <v>48</v>
      </c>
      <c r="J247" s="3">
        <v>4256.5</v>
      </c>
      <c r="K247" s="3">
        <f>Table1[[#This Row],[Quantity]]*Table1[[#This Row],[Unit_Price]]</f>
        <v>204312</v>
      </c>
      <c r="L247" s="3">
        <v>15865.79</v>
      </c>
      <c r="M247" s="3">
        <f>Table1[[#This Row],[Gross_Sales]]-Table1[[#This Row],[Discount]]</f>
        <v>188446.21</v>
      </c>
      <c r="N247" s="3">
        <v>135175.88</v>
      </c>
      <c r="O247" s="3">
        <v>4697.74</v>
      </c>
      <c r="P247" s="3">
        <v>10932.13</v>
      </c>
      <c r="Q247" s="3">
        <v>7901.73</v>
      </c>
      <c r="R247" s="3">
        <v>5861.4</v>
      </c>
      <c r="S247" s="3">
        <f>SUM(Table1[[#This Row],[Product_Cost]:[Other_Cost]])</f>
        <v>164568.88</v>
      </c>
      <c r="T247" s="3">
        <f>Table1[[#This Row],[Net_Sales]]-Table1[[#This Row],[Product_Cost]]</f>
        <v>53270.329999999987</v>
      </c>
      <c r="U247" s="3">
        <f>Table1[[#This Row],[Net_Sales]]-Table1[[#This Row],[Total_Cost]]</f>
        <v>23877.329999999987</v>
      </c>
      <c r="V247" s="4">
        <f>Table1[[#This Row],[Net_Profit]]/Table1[[#This Row],[Net_Sales]]</f>
        <v>0.12670634235626171</v>
      </c>
      <c r="W247" t="s">
        <v>33</v>
      </c>
      <c r="X247" t="s">
        <v>209</v>
      </c>
      <c r="Y247">
        <v>2</v>
      </c>
      <c r="Z247" t="str">
        <f>IF(Table1[[#This Row],[Month_No]]&lt;=6, "H1","H2")</f>
        <v>H1</v>
      </c>
    </row>
    <row r="248" spans="1:26" x14ac:dyDescent="0.25">
      <c r="A248" s="2">
        <v>45714</v>
      </c>
      <c r="B248" t="s">
        <v>322</v>
      </c>
      <c r="C248" t="s">
        <v>27</v>
      </c>
      <c r="D248" t="s">
        <v>37</v>
      </c>
      <c r="E248" t="s">
        <v>38</v>
      </c>
      <c r="F248" t="s">
        <v>52</v>
      </c>
      <c r="G248" t="s">
        <v>31</v>
      </c>
      <c r="H248" t="s">
        <v>59</v>
      </c>
      <c r="I248">
        <v>54</v>
      </c>
      <c r="J248" s="3">
        <v>4343.3999999999996</v>
      </c>
      <c r="K248" s="3">
        <f>Table1[[#This Row],[Quantity]]*Table1[[#This Row],[Unit_Price]]</f>
        <v>234543.59999999998</v>
      </c>
      <c r="L248" s="3">
        <v>18582.099999999999</v>
      </c>
      <c r="M248" s="3">
        <f>Table1[[#This Row],[Gross_Sales]]-Table1[[#This Row],[Discount]]</f>
        <v>215961.49999999997</v>
      </c>
      <c r="N248" s="3">
        <v>162656.43</v>
      </c>
      <c r="O248" s="3">
        <v>5176.75</v>
      </c>
      <c r="P248" s="3">
        <v>12508.95</v>
      </c>
      <c r="Q248" s="3">
        <v>9104.4500000000007</v>
      </c>
      <c r="R248" s="3">
        <v>5405.01</v>
      </c>
      <c r="S248" s="3">
        <f>SUM(Table1[[#This Row],[Product_Cost]:[Other_Cost]])</f>
        <v>194851.59000000003</v>
      </c>
      <c r="T248" s="3">
        <f>Table1[[#This Row],[Net_Sales]]-Table1[[#This Row],[Product_Cost]]</f>
        <v>53305.069999999978</v>
      </c>
      <c r="U248" s="3">
        <f>Table1[[#This Row],[Net_Sales]]-Table1[[#This Row],[Total_Cost]]</f>
        <v>21109.909999999945</v>
      </c>
      <c r="V248" s="4">
        <f>Table1[[#This Row],[Net_Profit]]/Table1[[#This Row],[Net_Sales]]</f>
        <v>9.7748487577646703E-2</v>
      </c>
      <c r="W248" t="s">
        <v>33</v>
      </c>
      <c r="X248" t="s">
        <v>209</v>
      </c>
      <c r="Y248">
        <v>2</v>
      </c>
      <c r="Z248" t="str">
        <f>IF(Table1[[#This Row],[Month_No]]&lt;=6, "H1","H2")</f>
        <v>H1</v>
      </c>
    </row>
    <row r="249" spans="1:26" x14ac:dyDescent="0.25">
      <c r="A249" s="2">
        <v>45715</v>
      </c>
      <c r="B249" t="s">
        <v>323</v>
      </c>
      <c r="C249" t="s">
        <v>83</v>
      </c>
      <c r="D249" t="s">
        <v>28</v>
      </c>
      <c r="E249" t="s">
        <v>29</v>
      </c>
      <c r="F249" t="s">
        <v>30</v>
      </c>
      <c r="G249" t="s">
        <v>71</v>
      </c>
      <c r="H249" t="s">
        <v>41</v>
      </c>
      <c r="I249">
        <v>90</v>
      </c>
      <c r="J249" s="3">
        <v>1091.28</v>
      </c>
      <c r="K249" s="3">
        <f>Table1[[#This Row],[Quantity]]*Table1[[#This Row],[Unit_Price]]</f>
        <v>98215.2</v>
      </c>
      <c r="L249" s="3">
        <v>7278.56</v>
      </c>
      <c r="M249" s="3">
        <f>Table1[[#This Row],[Gross_Sales]]-Table1[[#This Row],[Discount]]</f>
        <v>90936.639999999999</v>
      </c>
      <c r="N249" s="3">
        <v>54199.63</v>
      </c>
      <c r="O249" s="3">
        <v>3337.09</v>
      </c>
      <c r="P249" s="3">
        <v>5696.82</v>
      </c>
      <c r="Q249" s="3">
        <v>4554.09</v>
      </c>
      <c r="R249" s="3">
        <v>2830.84</v>
      </c>
      <c r="S249" s="3">
        <f>SUM(Table1[[#This Row],[Product_Cost]:[Other_Cost]])</f>
        <v>70618.47</v>
      </c>
      <c r="T249" s="3">
        <f>Table1[[#This Row],[Net_Sales]]-Table1[[#This Row],[Product_Cost]]</f>
        <v>36737.01</v>
      </c>
      <c r="U249" s="3">
        <f>Table1[[#This Row],[Net_Sales]]-Table1[[#This Row],[Total_Cost]]</f>
        <v>20318.169999999998</v>
      </c>
      <c r="V249" s="4">
        <f>Table1[[#This Row],[Net_Profit]]/Table1[[#This Row],[Net_Sales]]</f>
        <v>0.22343216111789482</v>
      </c>
      <c r="W249" t="s">
        <v>33</v>
      </c>
      <c r="X249" t="s">
        <v>209</v>
      </c>
      <c r="Y249">
        <v>2</v>
      </c>
      <c r="Z249" t="str">
        <f>IF(Table1[[#This Row],[Month_No]]&lt;=6, "H1","H2")</f>
        <v>H1</v>
      </c>
    </row>
    <row r="250" spans="1:26" x14ac:dyDescent="0.25">
      <c r="A250" s="2">
        <v>45715</v>
      </c>
      <c r="B250" t="s">
        <v>324</v>
      </c>
      <c r="C250" t="s">
        <v>98</v>
      </c>
      <c r="D250" t="s">
        <v>74</v>
      </c>
      <c r="E250" t="s">
        <v>75</v>
      </c>
      <c r="F250" t="s">
        <v>46</v>
      </c>
      <c r="G250" t="s">
        <v>40</v>
      </c>
      <c r="H250" t="s">
        <v>41</v>
      </c>
      <c r="I250">
        <v>68</v>
      </c>
      <c r="J250" s="3">
        <v>5474.91</v>
      </c>
      <c r="K250" s="3">
        <f>Table1[[#This Row],[Quantity]]*Table1[[#This Row],[Unit_Price]]</f>
        <v>372293.88</v>
      </c>
      <c r="L250" s="3">
        <v>26643.3</v>
      </c>
      <c r="M250" s="3">
        <f>Table1[[#This Row],[Gross_Sales]]-Table1[[#This Row],[Discount]]</f>
        <v>345650.58</v>
      </c>
      <c r="N250" s="3">
        <v>251331.37</v>
      </c>
      <c r="O250" s="3">
        <v>9737.3799999999992</v>
      </c>
      <c r="P250" s="3">
        <v>19496.990000000002</v>
      </c>
      <c r="Q250" s="3">
        <v>13034.39</v>
      </c>
      <c r="R250" s="3">
        <v>9493.32</v>
      </c>
      <c r="S250" s="3">
        <f>SUM(Table1[[#This Row],[Product_Cost]:[Other_Cost]])</f>
        <v>303093.45</v>
      </c>
      <c r="T250" s="3">
        <f>Table1[[#This Row],[Net_Sales]]-Table1[[#This Row],[Product_Cost]]</f>
        <v>94319.210000000021</v>
      </c>
      <c r="U250" s="3">
        <f>Table1[[#This Row],[Net_Sales]]-Table1[[#This Row],[Total_Cost]]</f>
        <v>42557.130000000005</v>
      </c>
      <c r="V250" s="4">
        <f>Table1[[#This Row],[Net_Profit]]/Table1[[#This Row],[Net_Sales]]</f>
        <v>0.12312182435799761</v>
      </c>
      <c r="W250" t="s">
        <v>33</v>
      </c>
      <c r="X250" t="s">
        <v>209</v>
      </c>
      <c r="Y250">
        <v>2</v>
      </c>
      <c r="Z250" t="str">
        <f>IF(Table1[[#This Row],[Month_No]]&lt;=6, "H1","H2")</f>
        <v>H1</v>
      </c>
    </row>
    <row r="251" spans="1:26" x14ac:dyDescent="0.25">
      <c r="A251" s="2">
        <v>45715</v>
      </c>
      <c r="B251" t="s">
        <v>325</v>
      </c>
      <c r="C251" t="s">
        <v>70</v>
      </c>
      <c r="D251" t="s">
        <v>85</v>
      </c>
      <c r="E251" t="s">
        <v>57</v>
      </c>
      <c r="F251" t="s">
        <v>46</v>
      </c>
      <c r="G251" t="s">
        <v>86</v>
      </c>
      <c r="H251" t="s">
        <v>41</v>
      </c>
      <c r="I251">
        <v>50</v>
      </c>
      <c r="J251" s="3">
        <v>1841.82</v>
      </c>
      <c r="K251" s="3">
        <f>Table1[[#This Row],[Quantity]]*Table1[[#This Row],[Unit_Price]]</f>
        <v>92091</v>
      </c>
      <c r="L251" s="3">
        <v>8723.8700000000008</v>
      </c>
      <c r="M251" s="3">
        <f>Table1[[#This Row],[Gross_Sales]]-Table1[[#This Row],[Discount]]</f>
        <v>83367.13</v>
      </c>
      <c r="N251" s="3">
        <v>59125.67</v>
      </c>
      <c r="O251" s="3">
        <v>2626.85</v>
      </c>
      <c r="P251" s="3">
        <v>4786.4799999999996</v>
      </c>
      <c r="Q251" s="3">
        <v>3616.09</v>
      </c>
      <c r="R251" s="3">
        <v>2370.89</v>
      </c>
      <c r="S251" s="3">
        <f>SUM(Table1[[#This Row],[Product_Cost]:[Other_Cost]])</f>
        <v>72525.98</v>
      </c>
      <c r="T251" s="3">
        <f>Table1[[#This Row],[Net_Sales]]-Table1[[#This Row],[Product_Cost]]</f>
        <v>24241.460000000006</v>
      </c>
      <c r="U251" s="3">
        <f>Table1[[#This Row],[Net_Sales]]-Table1[[#This Row],[Total_Cost]]</f>
        <v>10841.150000000009</v>
      </c>
      <c r="V251" s="4">
        <f>Table1[[#This Row],[Net_Profit]]/Table1[[#This Row],[Net_Sales]]</f>
        <v>0.13004106054748446</v>
      </c>
      <c r="W251" t="s">
        <v>33</v>
      </c>
      <c r="X251" t="s">
        <v>209</v>
      </c>
      <c r="Y251">
        <v>2</v>
      </c>
      <c r="Z251" t="str">
        <f>IF(Table1[[#This Row],[Month_No]]&lt;=6, "H1","H2")</f>
        <v>H1</v>
      </c>
    </row>
    <row r="252" spans="1:26" x14ac:dyDescent="0.25">
      <c r="A252" s="2">
        <v>45715</v>
      </c>
      <c r="B252" t="s">
        <v>326</v>
      </c>
      <c r="C252" t="s">
        <v>43</v>
      </c>
      <c r="D252" t="s">
        <v>81</v>
      </c>
      <c r="E252" t="s">
        <v>45</v>
      </c>
      <c r="F252" t="s">
        <v>30</v>
      </c>
      <c r="G252" t="s">
        <v>64</v>
      </c>
      <c r="H252" t="s">
        <v>47</v>
      </c>
      <c r="I252">
        <v>70</v>
      </c>
      <c r="J252" s="3">
        <v>6042.1</v>
      </c>
      <c r="K252" s="3">
        <f>Table1[[#This Row],[Quantity]]*Table1[[#This Row],[Unit_Price]]</f>
        <v>422947</v>
      </c>
      <c r="L252" s="3">
        <v>35323.26</v>
      </c>
      <c r="M252" s="3">
        <f>Table1[[#This Row],[Gross_Sales]]-Table1[[#This Row],[Discount]]</f>
        <v>387623.74</v>
      </c>
      <c r="N252" s="3">
        <v>221069.12</v>
      </c>
      <c r="O252" s="3">
        <v>14020.11</v>
      </c>
      <c r="P252" s="3">
        <v>22937.599999999999</v>
      </c>
      <c r="Q252" s="3">
        <v>15839.47</v>
      </c>
      <c r="R252" s="3">
        <v>9492.75</v>
      </c>
      <c r="S252" s="3">
        <f>SUM(Table1[[#This Row],[Product_Cost]:[Other_Cost]])</f>
        <v>283359.05</v>
      </c>
      <c r="T252" s="3">
        <f>Table1[[#This Row],[Net_Sales]]-Table1[[#This Row],[Product_Cost]]</f>
        <v>166554.62</v>
      </c>
      <c r="U252" s="3">
        <f>Table1[[#This Row],[Net_Sales]]-Table1[[#This Row],[Total_Cost]]</f>
        <v>104264.69</v>
      </c>
      <c r="V252" s="4">
        <f>Table1[[#This Row],[Net_Profit]]/Table1[[#This Row],[Net_Sales]]</f>
        <v>0.26898427325426455</v>
      </c>
      <c r="W252" t="s">
        <v>72</v>
      </c>
      <c r="X252" t="s">
        <v>209</v>
      </c>
      <c r="Y252">
        <v>2</v>
      </c>
      <c r="Z252" t="str">
        <f>IF(Table1[[#This Row],[Month_No]]&lt;=6, "H1","H2")</f>
        <v>H1</v>
      </c>
    </row>
    <row r="253" spans="1:26" x14ac:dyDescent="0.25">
      <c r="A253" s="2">
        <v>45716</v>
      </c>
      <c r="B253" t="s">
        <v>327</v>
      </c>
      <c r="C253" t="s">
        <v>70</v>
      </c>
      <c r="D253" t="s">
        <v>183</v>
      </c>
      <c r="E253" t="s">
        <v>38</v>
      </c>
      <c r="F253" t="s">
        <v>52</v>
      </c>
      <c r="G253" t="s">
        <v>71</v>
      </c>
      <c r="H253" t="s">
        <v>41</v>
      </c>
      <c r="I253">
        <v>9</v>
      </c>
      <c r="J253" s="3">
        <v>6587.2</v>
      </c>
      <c r="K253" s="3">
        <f>Table1[[#This Row],[Quantity]]*Table1[[#This Row],[Unit_Price]]</f>
        <v>59284.799999999996</v>
      </c>
      <c r="L253" s="3">
        <v>4243.72</v>
      </c>
      <c r="M253" s="3">
        <f>Table1[[#This Row],[Gross_Sales]]-Table1[[#This Row],[Discount]]</f>
        <v>55041.079999999994</v>
      </c>
      <c r="N253" s="3">
        <v>33241.15</v>
      </c>
      <c r="O253" s="3">
        <v>1416.58</v>
      </c>
      <c r="P253" s="3">
        <v>3263.14</v>
      </c>
      <c r="Q253" s="3">
        <v>2135.0500000000002</v>
      </c>
      <c r="R253" s="3">
        <v>1484.96</v>
      </c>
      <c r="S253" s="3">
        <f>SUM(Table1[[#This Row],[Product_Cost]:[Other_Cost]])</f>
        <v>41540.880000000005</v>
      </c>
      <c r="T253" s="3">
        <f>Table1[[#This Row],[Net_Sales]]-Table1[[#This Row],[Product_Cost]]</f>
        <v>21799.929999999993</v>
      </c>
      <c r="U253" s="3">
        <f>Table1[[#This Row],[Net_Sales]]-Table1[[#This Row],[Total_Cost]]</f>
        <v>13500.19999999999</v>
      </c>
      <c r="V253" s="4">
        <f>Table1[[#This Row],[Net_Profit]]/Table1[[#This Row],[Net_Sales]]</f>
        <v>0.24527498370308123</v>
      </c>
      <c r="W253" t="s">
        <v>33</v>
      </c>
      <c r="X253" t="s">
        <v>209</v>
      </c>
      <c r="Y253">
        <v>2</v>
      </c>
      <c r="Z253" t="str">
        <f>IF(Table1[[#This Row],[Month_No]]&lt;=6, "H1","H2")</f>
        <v>H1</v>
      </c>
    </row>
    <row r="254" spans="1:26" x14ac:dyDescent="0.25">
      <c r="A254" s="2">
        <v>45716</v>
      </c>
      <c r="B254" t="s">
        <v>328</v>
      </c>
      <c r="C254" t="s">
        <v>63</v>
      </c>
      <c r="D254" t="s">
        <v>37</v>
      </c>
      <c r="E254" t="s">
        <v>38</v>
      </c>
      <c r="F254" t="s">
        <v>30</v>
      </c>
      <c r="G254" t="s">
        <v>64</v>
      </c>
      <c r="H254" t="s">
        <v>41</v>
      </c>
      <c r="I254">
        <v>86</v>
      </c>
      <c r="J254" s="3">
        <v>4235.12</v>
      </c>
      <c r="K254" s="3">
        <f>Table1[[#This Row],[Quantity]]*Table1[[#This Row],[Unit_Price]]</f>
        <v>364220.32</v>
      </c>
      <c r="L254" s="3">
        <v>32250.29</v>
      </c>
      <c r="M254" s="3">
        <f>Table1[[#This Row],[Gross_Sales]]-Table1[[#This Row],[Discount]]</f>
        <v>331970.03000000003</v>
      </c>
      <c r="N254" s="3">
        <v>241092.41</v>
      </c>
      <c r="O254" s="3">
        <v>12145.71</v>
      </c>
      <c r="P254" s="3">
        <v>20517.150000000001</v>
      </c>
      <c r="Q254" s="3">
        <v>17932.16</v>
      </c>
      <c r="R254" s="3">
        <v>6922.44</v>
      </c>
      <c r="S254" s="3">
        <f>SUM(Table1[[#This Row],[Product_Cost]:[Other_Cost]])</f>
        <v>298609.87</v>
      </c>
      <c r="T254" s="3">
        <f>Table1[[#This Row],[Net_Sales]]-Table1[[#This Row],[Product_Cost]]</f>
        <v>90877.620000000024</v>
      </c>
      <c r="U254" s="3">
        <f>Table1[[#This Row],[Net_Sales]]-Table1[[#This Row],[Total_Cost]]</f>
        <v>33360.160000000033</v>
      </c>
      <c r="V254" s="4">
        <f>Table1[[#This Row],[Net_Profit]]/Table1[[#This Row],[Net_Sales]]</f>
        <v>0.10049148111352109</v>
      </c>
      <c r="W254" t="s">
        <v>33</v>
      </c>
      <c r="X254" t="s">
        <v>209</v>
      </c>
      <c r="Y254">
        <v>2</v>
      </c>
      <c r="Z254" t="str">
        <f>IF(Table1[[#This Row],[Month_No]]&lt;=6, "H1","H2")</f>
        <v>H1</v>
      </c>
    </row>
    <row r="255" spans="1:26" x14ac:dyDescent="0.25">
      <c r="A255" s="2">
        <v>45716</v>
      </c>
      <c r="B255" t="s">
        <v>329</v>
      </c>
      <c r="C255" t="s">
        <v>117</v>
      </c>
      <c r="D255" t="s">
        <v>44</v>
      </c>
      <c r="E255" t="s">
        <v>45</v>
      </c>
      <c r="F255" t="s">
        <v>52</v>
      </c>
      <c r="G255" t="s">
        <v>64</v>
      </c>
      <c r="H255" t="s">
        <v>41</v>
      </c>
      <c r="I255">
        <v>71</v>
      </c>
      <c r="J255" s="3">
        <v>4168.6400000000003</v>
      </c>
      <c r="K255" s="3">
        <f>Table1[[#This Row],[Quantity]]*Table1[[#This Row],[Unit_Price]]</f>
        <v>295973.44</v>
      </c>
      <c r="L255" s="3">
        <v>21210.43</v>
      </c>
      <c r="M255" s="3">
        <f>Table1[[#This Row],[Gross_Sales]]-Table1[[#This Row],[Discount]]</f>
        <v>274763.01</v>
      </c>
      <c r="N255" s="3">
        <v>191596.63</v>
      </c>
      <c r="O255" s="3">
        <v>6991.85</v>
      </c>
      <c r="P255" s="3">
        <v>15870.25</v>
      </c>
      <c r="Q255" s="3">
        <v>14618.37</v>
      </c>
      <c r="R255" s="3">
        <v>6082.41</v>
      </c>
      <c r="S255" s="3">
        <f>SUM(Table1[[#This Row],[Product_Cost]:[Other_Cost]])</f>
        <v>235159.51</v>
      </c>
      <c r="T255" s="3">
        <f>Table1[[#This Row],[Net_Sales]]-Table1[[#This Row],[Product_Cost]]</f>
        <v>83166.38</v>
      </c>
      <c r="U255" s="3">
        <f>Table1[[#This Row],[Net_Sales]]-Table1[[#This Row],[Total_Cost]]</f>
        <v>39603.5</v>
      </c>
      <c r="V255" s="4">
        <f>Table1[[#This Row],[Net_Profit]]/Table1[[#This Row],[Net_Sales]]</f>
        <v>0.14413694186855791</v>
      </c>
      <c r="W255" t="s">
        <v>33</v>
      </c>
      <c r="X255" t="s">
        <v>209</v>
      </c>
      <c r="Y255">
        <v>2</v>
      </c>
      <c r="Z255" t="str">
        <f>IF(Table1[[#This Row],[Month_No]]&lt;=6, "H1","H2")</f>
        <v>H1</v>
      </c>
    </row>
    <row r="256" spans="1:26" x14ac:dyDescent="0.25">
      <c r="A256" s="2">
        <v>45716</v>
      </c>
      <c r="B256" t="s">
        <v>330</v>
      </c>
      <c r="C256" t="s">
        <v>63</v>
      </c>
      <c r="D256" t="s">
        <v>68</v>
      </c>
      <c r="E256" t="s">
        <v>29</v>
      </c>
      <c r="F256" t="s">
        <v>30</v>
      </c>
      <c r="G256" t="s">
        <v>58</v>
      </c>
      <c r="H256" t="s">
        <v>47</v>
      </c>
      <c r="I256">
        <v>138</v>
      </c>
      <c r="J256" s="3">
        <v>372.41</v>
      </c>
      <c r="K256" s="3">
        <f>Table1[[#This Row],[Quantity]]*Table1[[#This Row],[Unit_Price]]</f>
        <v>51392.58</v>
      </c>
      <c r="L256" s="3">
        <v>3558.79</v>
      </c>
      <c r="M256" s="3">
        <f>Table1[[#This Row],[Gross_Sales]]-Table1[[#This Row],[Discount]]</f>
        <v>47833.79</v>
      </c>
      <c r="N256" s="3">
        <v>37488.379999999997</v>
      </c>
      <c r="O256" s="3">
        <v>1589.09</v>
      </c>
      <c r="P256" s="3">
        <v>2774.21</v>
      </c>
      <c r="Q256" s="3">
        <v>2382.0500000000002</v>
      </c>
      <c r="R256" s="3">
        <v>1022.79</v>
      </c>
      <c r="S256" s="3">
        <f>SUM(Table1[[#This Row],[Product_Cost]:[Other_Cost]])</f>
        <v>45256.52</v>
      </c>
      <c r="T256" s="3">
        <f>Table1[[#This Row],[Net_Sales]]-Table1[[#This Row],[Product_Cost]]</f>
        <v>10345.410000000003</v>
      </c>
      <c r="U256" s="3">
        <f>Table1[[#This Row],[Net_Sales]]-Table1[[#This Row],[Total_Cost]]</f>
        <v>2577.2700000000041</v>
      </c>
      <c r="V256" s="4">
        <f>Table1[[#This Row],[Net_Profit]]/Table1[[#This Row],[Net_Sales]]</f>
        <v>5.3879694667723466E-2</v>
      </c>
      <c r="W256" t="s">
        <v>33</v>
      </c>
      <c r="X256" t="s">
        <v>209</v>
      </c>
      <c r="Y256">
        <v>2</v>
      </c>
      <c r="Z256" t="str">
        <f>IF(Table1[[#This Row],[Month_No]]&lt;=6, "H1","H2")</f>
        <v>H1</v>
      </c>
    </row>
    <row r="257" spans="1:26" x14ac:dyDescent="0.25">
      <c r="A257" s="2">
        <v>45717</v>
      </c>
      <c r="B257" t="s">
        <v>331</v>
      </c>
      <c r="C257" t="s">
        <v>36</v>
      </c>
      <c r="D257" t="s">
        <v>81</v>
      </c>
      <c r="E257" t="s">
        <v>45</v>
      </c>
      <c r="F257" t="s">
        <v>46</v>
      </c>
      <c r="G257" t="s">
        <v>64</v>
      </c>
      <c r="H257" t="s">
        <v>47</v>
      </c>
      <c r="I257">
        <v>43</v>
      </c>
      <c r="J257" s="3">
        <v>6145.68</v>
      </c>
      <c r="K257" s="3">
        <f>Table1[[#This Row],[Quantity]]*Table1[[#This Row],[Unit_Price]]</f>
        <v>264264.24</v>
      </c>
      <c r="L257" s="3">
        <v>17694.54</v>
      </c>
      <c r="M257" s="3">
        <f>Table1[[#This Row],[Gross_Sales]]-Table1[[#This Row],[Discount]]</f>
        <v>246569.69999999998</v>
      </c>
      <c r="N257" s="3">
        <v>144673.99</v>
      </c>
      <c r="O257" s="3">
        <v>7661.36</v>
      </c>
      <c r="P257" s="3">
        <v>15868.91</v>
      </c>
      <c r="Q257" s="3">
        <v>10070.08</v>
      </c>
      <c r="R257" s="3">
        <v>7656.66</v>
      </c>
      <c r="S257" s="3">
        <f>SUM(Table1[[#This Row],[Product_Cost]:[Other_Cost]])</f>
        <v>185930.99999999997</v>
      </c>
      <c r="T257" s="3">
        <f>Table1[[#This Row],[Net_Sales]]-Table1[[#This Row],[Product_Cost]]</f>
        <v>101895.70999999999</v>
      </c>
      <c r="U257" s="3">
        <f>Table1[[#This Row],[Net_Sales]]-Table1[[#This Row],[Total_Cost]]</f>
        <v>60638.700000000012</v>
      </c>
      <c r="V257" s="4">
        <f>Table1[[#This Row],[Net_Profit]]/Table1[[#This Row],[Net_Sales]]</f>
        <v>0.24592924434754154</v>
      </c>
      <c r="W257" t="s">
        <v>33</v>
      </c>
      <c r="X257" t="s">
        <v>332</v>
      </c>
      <c r="Y257">
        <v>3</v>
      </c>
      <c r="Z257" t="str">
        <f>IF(Table1[[#This Row],[Month_No]]&lt;=6, "H1","H2")</f>
        <v>H1</v>
      </c>
    </row>
    <row r="258" spans="1:26" x14ac:dyDescent="0.25">
      <c r="A258" s="2">
        <v>45717</v>
      </c>
      <c r="B258" t="s">
        <v>333</v>
      </c>
      <c r="C258" t="s">
        <v>78</v>
      </c>
      <c r="D258" t="s">
        <v>28</v>
      </c>
      <c r="E258" t="s">
        <v>29</v>
      </c>
      <c r="F258" t="s">
        <v>39</v>
      </c>
      <c r="G258" t="s">
        <v>31</v>
      </c>
      <c r="H258" t="s">
        <v>41</v>
      </c>
      <c r="I258">
        <v>119</v>
      </c>
      <c r="J258" s="3">
        <v>1164.74</v>
      </c>
      <c r="K258" s="3">
        <f>Table1[[#This Row],[Quantity]]*Table1[[#This Row],[Unit_Price]]</f>
        <v>138604.06</v>
      </c>
      <c r="L258" s="3">
        <v>11815.28</v>
      </c>
      <c r="M258" s="3">
        <f>Table1[[#This Row],[Gross_Sales]]-Table1[[#This Row],[Discount]]</f>
        <v>126788.78</v>
      </c>
      <c r="N258" s="3">
        <v>79037.3</v>
      </c>
      <c r="O258" s="3">
        <v>5282.7</v>
      </c>
      <c r="P258" s="3">
        <v>8382.34</v>
      </c>
      <c r="Q258" s="3">
        <v>5452.41</v>
      </c>
      <c r="R258" s="3">
        <v>2993.97</v>
      </c>
      <c r="S258" s="3">
        <f>SUM(Table1[[#This Row],[Product_Cost]:[Other_Cost]])</f>
        <v>101148.72</v>
      </c>
      <c r="T258" s="3">
        <f>Table1[[#This Row],[Net_Sales]]-Table1[[#This Row],[Product_Cost]]</f>
        <v>47751.479999999996</v>
      </c>
      <c r="U258" s="3">
        <f>Table1[[#This Row],[Net_Sales]]-Table1[[#This Row],[Total_Cost]]</f>
        <v>25640.059999999998</v>
      </c>
      <c r="V258" s="4">
        <f>Table1[[#This Row],[Net_Profit]]/Table1[[#This Row],[Net_Sales]]</f>
        <v>0.20222656925951962</v>
      </c>
      <c r="W258" t="s">
        <v>33</v>
      </c>
      <c r="X258" t="s">
        <v>332</v>
      </c>
      <c r="Y258">
        <v>3</v>
      </c>
      <c r="Z258" t="str">
        <f>IF(Table1[[#This Row],[Month_No]]&lt;=6, "H1","H2")</f>
        <v>H1</v>
      </c>
    </row>
    <row r="259" spans="1:26" x14ac:dyDescent="0.25">
      <c r="A259" s="2">
        <v>45717</v>
      </c>
      <c r="B259" t="s">
        <v>334</v>
      </c>
      <c r="C259" t="s">
        <v>36</v>
      </c>
      <c r="D259" t="s">
        <v>56</v>
      </c>
      <c r="E259" t="s">
        <v>57</v>
      </c>
      <c r="F259" t="s">
        <v>30</v>
      </c>
      <c r="G259" t="s">
        <v>40</v>
      </c>
      <c r="H259" t="s">
        <v>41</v>
      </c>
      <c r="I259">
        <v>31</v>
      </c>
      <c r="J259" s="3">
        <v>3103.91</v>
      </c>
      <c r="K259" s="3">
        <f>Table1[[#This Row],[Quantity]]*Table1[[#This Row],[Unit_Price]]</f>
        <v>96221.209999999992</v>
      </c>
      <c r="L259" s="3">
        <v>9090.2199999999993</v>
      </c>
      <c r="M259" s="3">
        <f>Table1[[#This Row],[Gross_Sales]]-Table1[[#This Row],[Discount]]</f>
        <v>87130.989999999991</v>
      </c>
      <c r="N259" s="3">
        <v>51111.06</v>
      </c>
      <c r="O259" s="3">
        <v>3176.16</v>
      </c>
      <c r="P259" s="3">
        <v>6030.32</v>
      </c>
      <c r="Q259" s="3">
        <v>4757.74</v>
      </c>
      <c r="R259" s="3">
        <v>2531.23</v>
      </c>
      <c r="S259" s="3">
        <f>SUM(Table1[[#This Row],[Product_Cost]:[Other_Cost]])</f>
        <v>67606.509999999995</v>
      </c>
      <c r="T259" s="3">
        <f>Table1[[#This Row],[Net_Sales]]-Table1[[#This Row],[Product_Cost]]</f>
        <v>36019.929999999993</v>
      </c>
      <c r="U259" s="3">
        <f>Table1[[#This Row],[Net_Sales]]-Table1[[#This Row],[Total_Cost]]</f>
        <v>19524.479999999996</v>
      </c>
      <c r="V259" s="4">
        <f>Table1[[#This Row],[Net_Profit]]/Table1[[#This Row],[Net_Sales]]</f>
        <v>0.22408192538613411</v>
      </c>
      <c r="W259" t="s">
        <v>33</v>
      </c>
      <c r="X259" t="s">
        <v>332</v>
      </c>
      <c r="Y259">
        <v>3</v>
      </c>
      <c r="Z259" t="str">
        <f>IF(Table1[[#This Row],[Month_No]]&lt;=6, "H1","H2")</f>
        <v>H1</v>
      </c>
    </row>
    <row r="260" spans="1:26" x14ac:dyDescent="0.25">
      <c r="A260" s="2">
        <v>45717</v>
      </c>
      <c r="B260" t="s">
        <v>335</v>
      </c>
      <c r="C260" t="s">
        <v>36</v>
      </c>
      <c r="D260" t="s">
        <v>37</v>
      </c>
      <c r="E260" t="s">
        <v>38</v>
      </c>
      <c r="F260" t="s">
        <v>52</v>
      </c>
      <c r="G260" t="s">
        <v>61</v>
      </c>
      <c r="H260" t="s">
        <v>41</v>
      </c>
      <c r="I260">
        <v>52</v>
      </c>
      <c r="J260" s="3">
        <v>4180.6899999999996</v>
      </c>
      <c r="K260" s="3">
        <f>Table1[[#This Row],[Quantity]]*Table1[[#This Row],[Unit_Price]]</f>
        <v>217395.87999999998</v>
      </c>
      <c r="L260" s="3">
        <v>17607.16</v>
      </c>
      <c r="M260" s="3">
        <f>Table1[[#This Row],[Gross_Sales]]-Table1[[#This Row],[Discount]]</f>
        <v>199788.71999999997</v>
      </c>
      <c r="N260" s="3">
        <v>144715.67000000001</v>
      </c>
      <c r="O260" s="3">
        <v>5026.49</v>
      </c>
      <c r="P260" s="3">
        <v>14150.18</v>
      </c>
      <c r="Q260" s="3">
        <v>7699.28</v>
      </c>
      <c r="R260" s="3">
        <v>5613.11</v>
      </c>
      <c r="S260" s="3">
        <f>SUM(Table1[[#This Row],[Product_Cost]:[Other_Cost]])</f>
        <v>177204.72999999998</v>
      </c>
      <c r="T260" s="3">
        <f>Table1[[#This Row],[Net_Sales]]-Table1[[#This Row],[Product_Cost]]</f>
        <v>55073.049999999959</v>
      </c>
      <c r="U260" s="3">
        <f>Table1[[#This Row],[Net_Sales]]-Table1[[#This Row],[Total_Cost]]</f>
        <v>22583.989999999991</v>
      </c>
      <c r="V260" s="4">
        <f>Table1[[#This Row],[Net_Profit]]/Table1[[#This Row],[Net_Sales]]</f>
        <v>0.1130393647849588</v>
      </c>
      <c r="W260" t="s">
        <v>33</v>
      </c>
      <c r="X260" t="s">
        <v>332</v>
      </c>
      <c r="Y260">
        <v>3</v>
      </c>
      <c r="Z260" t="str">
        <f>IF(Table1[[#This Row],[Month_No]]&lt;=6, "H1","H2")</f>
        <v>H1</v>
      </c>
    </row>
    <row r="261" spans="1:26" x14ac:dyDescent="0.25">
      <c r="A261" s="2">
        <v>45717</v>
      </c>
      <c r="B261" t="s">
        <v>336</v>
      </c>
      <c r="C261" t="s">
        <v>98</v>
      </c>
      <c r="D261" t="s">
        <v>81</v>
      </c>
      <c r="E261" t="s">
        <v>45</v>
      </c>
      <c r="F261" t="s">
        <v>30</v>
      </c>
      <c r="G261" t="s">
        <v>64</v>
      </c>
      <c r="H261" t="s">
        <v>59</v>
      </c>
      <c r="I261">
        <v>31</v>
      </c>
      <c r="J261" s="3">
        <v>6301.46</v>
      </c>
      <c r="K261" s="3">
        <f>Table1[[#This Row],[Quantity]]*Table1[[#This Row],[Unit_Price]]</f>
        <v>195345.26</v>
      </c>
      <c r="L261" s="3">
        <v>13229.95</v>
      </c>
      <c r="M261" s="3">
        <f>Table1[[#This Row],[Gross_Sales]]-Table1[[#This Row],[Discount]]</f>
        <v>182115.31</v>
      </c>
      <c r="N261" s="3">
        <v>108376.19</v>
      </c>
      <c r="O261" s="3">
        <v>6607.1</v>
      </c>
      <c r="P261" s="3">
        <v>13625.97</v>
      </c>
      <c r="Q261" s="3">
        <v>7929.54</v>
      </c>
      <c r="R261" s="3">
        <v>5382.29</v>
      </c>
      <c r="S261" s="3">
        <f>SUM(Table1[[#This Row],[Product_Cost]:[Other_Cost]])</f>
        <v>141921.09000000003</v>
      </c>
      <c r="T261" s="3">
        <f>Table1[[#This Row],[Net_Sales]]-Table1[[#This Row],[Product_Cost]]</f>
        <v>73739.12</v>
      </c>
      <c r="U261" s="3">
        <f>Table1[[#This Row],[Net_Sales]]-Table1[[#This Row],[Total_Cost]]</f>
        <v>40194.219999999972</v>
      </c>
      <c r="V261" s="4">
        <f>Table1[[#This Row],[Net_Profit]]/Table1[[#This Row],[Net_Sales]]</f>
        <v>0.22070752865313725</v>
      </c>
      <c r="W261" t="s">
        <v>33</v>
      </c>
      <c r="X261" t="s">
        <v>332</v>
      </c>
      <c r="Y261">
        <v>3</v>
      </c>
      <c r="Z261" t="str">
        <f>IF(Table1[[#This Row],[Month_No]]&lt;=6, "H1","H2")</f>
        <v>H1</v>
      </c>
    </row>
    <row r="262" spans="1:26" x14ac:dyDescent="0.25">
      <c r="A262" s="2">
        <v>45717</v>
      </c>
      <c r="B262" t="s">
        <v>337</v>
      </c>
      <c r="C262" t="s">
        <v>78</v>
      </c>
      <c r="D262" t="s">
        <v>74</v>
      </c>
      <c r="E262" t="s">
        <v>75</v>
      </c>
      <c r="F262" t="s">
        <v>52</v>
      </c>
      <c r="G262" t="s">
        <v>58</v>
      </c>
      <c r="H262" t="s">
        <v>47</v>
      </c>
      <c r="I262">
        <v>33</v>
      </c>
      <c r="J262" s="3">
        <v>5470.84</v>
      </c>
      <c r="K262" s="3">
        <f>Table1[[#This Row],[Quantity]]*Table1[[#This Row],[Unit_Price]]</f>
        <v>180537.72</v>
      </c>
      <c r="L262" s="3">
        <v>16133.15</v>
      </c>
      <c r="M262" s="3">
        <f>Table1[[#This Row],[Gross_Sales]]-Table1[[#This Row],[Discount]]</f>
        <v>164404.57</v>
      </c>
      <c r="N262" s="3">
        <v>119928.34</v>
      </c>
      <c r="O262" s="3">
        <v>3899.16</v>
      </c>
      <c r="P262" s="3">
        <v>10016.290000000001</v>
      </c>
      <c r="Q262" s="3">
        <v>7942.01</v>
      </c>
      <c r="R262" s="3">
        <v>4759.12</v>
      </c>
      <c r="S262" s="3">
        <f>SUM(Table1[[#This Row],[Product_Cost]:[Other_Cost]])</f>
        <v>146544.92000000001</v>
      </c>
      <c r="T262" s="3">
        <f>Table1[[#This Row],[Net_Sales]]-Table1[[#This Row],[Product_Cost]]</f>
        <v>44476.23000000001</v>
      </c>
      <c r="U262" s="3">
        <f>Table1[[#This Row],[Net_Sales]]-Table1[[#This Row],[Total_Cost]]</f>
        <v>17859.649999999994</v>
      </c>
      <c r="V262" s="4">
        <f>Table1[[#This Row],[Net_Profit]]/Table1[[#This Row],[Net_Sales]]</f>
        <v>0.10863232086553308</v>
      </c>
      <c r="W262" t="s">
        <v>33</v>
      </c>
      <c r="X262" t="s">
        <v>332</v>
      </c>
      <c r="Y262">
        <v>3</v>
      </c>
      <c r="Z262" t="str">
        <f>IF(Table1[[#This Row],[Month_No]]&lt;=6, "H1","H2")</f>
        <v>H1</v>
      </c>
    </row>
    <row r="263" spans="1:26" x14ac:dyDescent="0.25">
      <c r="A263" s="2">
        <v>45717</v>
      </c>
      <c r="B263" t="s">
        <v>338</v>
      </c>
      <c r="C263" t="s">
        <v>55</v>
      </c>
      <c r="D263" t="s">
        <v>50</v>
      </c>
      <c r="E263" t="s">
        <v>51</v>
      </c>
      <c r="F263" t="s">
        <v>30</v>
      </c>
      <c r="G263" t="s">
        <v>40</v>
      </c>
      <c r="H263" t="s">
        <v>41</v>
      </c>
      <c r="I263">
        <v>52</v>
      </c>
      <c r="J263" s="3">
        <v>839.1</v>
      </c>
      <c r="K263" s="3">
        <f>Table1[[#This Row],[Quantity]]*Table1[[#This Row],[Unit_Price]]</f>
        <v>43633.200000000004</v>
      </c>
      <c r="L263" s="3">
        <v>3697.46</v>
      </c>
      <c r="M263" s="3">
        <f>Table1[[#This Row],[Gross_Sales]]-Table1[[#This Row],[Discount]]</f>
        <v>39935.740000000005</v>
      </c>
      <c r="N263" s="3">
        <v>26457</v>
      </c>
      <c r="O263" s="3">
        <v>1449.87</v>
      </c>
      <c r="P263" s="3">
        <v>2373.06</v>
      </c>
      <c r="Q263" s="3">
        <v>1814.38</v>
      </c>
      <c r="R263" s="3">
        <v>801.69</v>
      </c>
      <c r="S263" s="3">
        <f>SUM(Table1[[#This Row],[Product_Cost]:[Other_Cost]])</f>
        <v>32896</v>
      </c>
      <c r="T263" s="3">
        <f>Table1[[#This Row],[Net_Sales]]-Table1[[#This Row],[Product_Cost]]</f>
        <v>13478.740000000005</v>
      </c>
      <c r="U263" s="3">
        <f>Table1[[#This Row],[Net_Sales]]-Table1[[#This Row],[Total_Cost]]</f>
        <v>7039.7400000000052</v>
      </c>
      <c r="V263" s="4">
        <f>Table1[[#This Row],[Net_Profit]]/Table1[[#This Row],[Net_Sales]]</f>
        <v>0.17627668850007547</v>
      </c>
      <c r="W263" t="s">
        <v>33</v>
      </c>
      <c r="X263" t="s">
        <v>332</v>
      </c>
      <c r="Y263">
        <v>3</v>
      </c>
      <c r="Z263" t="str">
        <f>IF(Table1[[#This Row],[Month_No]]&lt;=6, "H1","H2")</f>
        <v>H1</v>
      </c>
    </row>
    <row r="264" spans="1:26" x14ac:dyDescent="0.25">
      <c r="A264" s="2">
        <v>45718</v>
      </c>
      <c r="B264" t="s">
        <v>339</v>
      </c>
      <c r="C264" t="s">
        <v>83</v>
      </c>
      <c r="D264" t="s">
        <v>68</v>
      </c>
      <c r="E264" t="s">
        <v>29</v>
      </c>
      <c r="F264" t="s">
        <v>52</v>
      </c>
      <c r="G264" t="s">
        <v>86</v>
      </c>
      <c r="H264" t="s">
        <v>47</v>
      </c>
      <c r="I264">
        <v>133</v>
      </c>
      <c r="J264" s="3">
        <v>375.17</v>
      </c>
      <c r="K264" s="3">
        <f>Table1[[#This Row],[Quantity]]*Table1[[#This Row],[Unit_Price]]</f>
        <v>49897.61</v>
      </c>
      <c r="L264" s="3">
        <v>4151.09</v>
      </c>
      <c r="M264" s="3">
        <f>Table1[[#This Row],[Gross_Sales]]-Table1[[#This Row],[Discount]]</f>
        <v>45746.520000000004</v>
      </c>
      <c r="N264" s="3">
        <v>34588.120000000003</v>
      </c>
      <c r="O264" s="3">
        <v>1161.51</v>
      </c>
      <c r="P264" s="3">
        <v>2523.86</v>
      </c>
      <c r="Q264" s="3">
        <v>2466.81</v>
      </c>
      <c r="R264" s="3">
        <v>1023.82</v>
      </c>
      <c r="S264" s="3">
        <f>SUM(Table1[[#This Row],[Product_Cost]:[Other_Cost]])</f>
        <v>41764.120000000003</v>
      </c>
      <c r="T264" s="3">
        <f>Table1[[#This Row],[Net_Sales]]-Table1[[#This Row],[Product_Cost]]</f>
        <v>11158.400000000001</v>
      </c>
      <c r="U264" s="3">
        <f>Table1[[#This Row],[Net_Sales]]-Table1[[#This Row],[Total_Cost]]</f>
        <v>3982.4000000000015</v>
      </c>
      <c r="V264" s="4">
        <f>Table1[[#This Row],[Net_Profit]]/Table1[[#This Row],[Net_Sales]]</f>
        <v>8.7053616318793228E-2</v>
      </c>
      <c r="W264" t="s">
        <v>33</v>
      </c>
      <c r="X264" t="s">
        <v>332</v>
      </c>
      <c r="Y264">
        <v>3</v>
      </c>
      <c r="Z264" t="str">
        <f>IF(Table1[[#This Row],[Month_No]]&lt;=6, "H1","H2")</f>
        <v>H1</v>
      </c>
    </row>
    <row r="265" spans="1:26" x14ac:dyDescent="0.25">
      <c r="A265" s="2">
        <v>45718</v>
      </c>
      <c r="B265" t="s">
        <v>340</v>
      </c>
      <c r="C265" t="s">
        <v>36</v>
      </c>
      <c r="D265" t="s">
        <v>28</v>
      </c>
      <c r="E265" t="s">
        <v>29</v>
      </c>
      <c r="F265" t="s">
        <v>46</v>
      </c>
      <c r="G265" t="s">
        <v>31</v>
      </c>
      <c r="H265" t="s">
        <v>59</v>
      </c>
      <c r="I265">
        <v>46</v>
      </c>
      <c r="J265" s="3">
        <v>1122.4100000000001</v>
      </c>
      <c r="K265" s="3">
        <f>Table1[[#This Row],[Quantity]]*Table1[[#This Row],[Unit_Price]]</f>
        <v>51630.86</v>
      </c>
      <c r="L265" s="3">
        <v>3145.56</v>
      </c>
      <c r="M265" s="3">
        <f>Table1[[#This Row],[Gross_Sales]]-Table1[[#This Row],[Discount]]</f>
        <v>48485.3</v>
      </c>
      <c r="N265" s="3">
        <v>29041.26</v>
      </c>
      <c r="O265" s="3">
        <v>1392.52</v>
      </c>
      <c r="P265" s="3">
        <v>3261.99</v>
      </c>
      <c r="Q265" s="3">
        <v>2527.48</v>
      </c>
      <c r="R265" s="3">
        <v>1054.49</v>
      </c>
      <c r="S265" s="3">
        <f>SUM(Table1[[#This Row],[Product_Cost]:[Other_Cost]])</f>
        <v>37277.74</v>
      </c>
      <c r="T265" s="3">
        <f>Table1[[#This Row],[Net_Sales]]-Table1[[#This Row],[Product_Cost]]</f>
        <v>19444.040000000005</v>
      </c>
      <c r="U265" s="3">
        <f>Table1[[#This Row],[Net_Sales]]-Table1[[#This Row],[Total_Cost]]</f>
        <v>11207.560000000005</v>
      </c>
      <c r="V265" s="4">
        <f>Table1[[#This Row],[Net_Profit]]/Table1[[#This Row],[Net_Sales]]</f>
        <v>0.23115377238049478</v>
      </c>
      <c r="W265" t="s">
        <v>33</v>
      </c>
      <c r="X265" t="s">
        <v>332</v>
      </c>
      <c r="Y265">
        <v>3</v>
      </c>
      <c r="Z265" t="str">
        <f>IF(Table1[[#This Row],[Month_No]]&lt;=6, "H1","H2")</f>
        <v>H1</v>
      </c>
    </row>
    <row r="266" spans="1:26" x14ac:dyDescent="0.25">
      <c r="A266" s="2">
        <v>45718</v>
      </c>
      <c r="B266" t="s">
        <v>341</v>
      </c>
      <c r="C266" t="s">
        <v>70</v>
      </c>
      <c r="D266" t="s">
        <v>68</v>
      </c>
      <c r="E266" t="s">
        <v>29</v>
      </c>
      <c r="F266" t="s">
        <v>39</v>
      </c>
      <c r="G266" t="s">
        <v>40</v>
      </c>
      <c r="H266" t="s">
        <v>41</v>
      </c>
      <c r="I266">
        <v>115</v>
      </c>
      <c r="J266" s="3">
        <v>374.39</v>
      </c>
      <c r="K266" s="3">
        <f>Table1[[#This Row],[Quantity]]*Table1[[#This Row],[Unit_Price]]</f>
        <v>43054.85</v>
      </c>
      <c r="L266" s="3">
        <v>3656.98</v>
      </c>
      <c r="M266" s="3">
        <f>Table1[[#This Row],[Gross_Sales]]-Table1[[#This Row],[Discount]]</f>
        <v>39397.869999999995</v>
      </c>
      <c r="N266" s="3">
        <v>29844.15</v>
      </c>
      <c r="O266" s="3">
        <v>1678.46</v>
      </c>
      <c r="P266" s="3">
        <v>2191.34</v>
      </c>
      <c r="Q266" s="3">
        <v>2039.56</v>
      </c>
      <c r="R266" s="3">
        <v>1247.82</v>
      </c>
      <c r="S266" s="3">
        <f>SUM(Table1[[#This Row],[Product_Cost]:[Other_Cost]])</f>
        <v>37001.329999999994</v>
      </c>
      <c r="T266" s="3">
        <f>Table1[[#This Row],[Net_Sales]]-Table1[[#This Row],[Product_Cost]]</f>
        <v>9553.7199999999939</v>
      </c>
      <c r="U266" s="3">
        <f>Table1[[#This Row],[Net_Sales]]-Table1[[#This Row],[Total_Cost]]</f>
        <v>2396.5400000000009</v>
      </c>
      <c r="V266" s="4">
        <f>Table1[[#This Row],[Net_Profit]]/Table1[[#This Row],[Net_Sales]]</f>
        <v>6.0829176805751201E-2</v>
      </c>
      <c r="W266" t="s">
        <v>33</v>
      </c>
      <c r="X266" t="s">
        <v>332</v>
      </c>
      <c r="Y266">
        <v>3</v>
      </c>
      <c r="Z266" t="str">
        <f>IF(Table1[[#This Row],[Month_No]]&lt;=6, "H1","H2")</f>
        <v>H1</v>
      </c>
    </row>
    <row r="267" spans="1:26" x14ac:dyDescent="0.25">
      <c r="A267" s="2">
        <v>45718</v>
      </c>
      <c r="B267" t="s">
        <v>342</v>
      </c>
      <c r="C267" t="s">
        <v>78</v>
      </c>
      <c r="D267" t="s">
        <v>44</v>
      </c>
      <c r="E267" t="s">
        <v>45</v>
      </c>
      <c r="F267" t="s">
        <v>46</v>
      </c>
      <c r="G267" t="s">
        <v>61</v>
      </c>
      <c r="H267" t="s">
        <v>59</v>
      </c>
      <c r="I267">
        <v>57</v>
      </c>
      <c r="J267" s="3">
        <v>4430.5</v>
      </c>
      <c r="K267" s="3">
        <f>Table1[[#This Row],[Quantity]]*Table1[[#This Row],[Unit_Price]]</f>
        <v>252538.5</v>
      </c>
      <c r="L267" s="3">
        <v>13948.21</v>
      </c>
      <c r="M267" s="3">
        <f>Table1[[#This Row],[Gross_Sales]]-Table1[[#This Row],[Discount]]</f>
        <v>238590.29</v>
      </c>
      <c r="N267" s="3">
        <v>173596.51</v>
      </c>
      <c r="O267" s="3">
        <v>7716.41</v>
      </c>
      <c r="P267" s="3">
        <v>15020.03</v>
      </c>
      <c r="Q267" s="3">
        <v>9464.7099999999991</v>
      </c>
      <c r="R267" s="3">
        <v>6649.48</v>
      </c>
      <c r="S267" s="3">
        <f>SUM(Table1[[#This Row],[Product_Cost]:[Other_Cost]])</f>
        <v>212447.14</v>
      </c>
      <c r="T267" s="3">
        <f>Table1[[#This Row],[Net_Sales]]-Table1[[#This Row],[Product_Cost]]</f>
        <v>64993.78</v>
      </c>
      <c r="U267" s="3">
        <f>Table1[[#This Row],[Net_Sales]]-Table1[[#This Row],[Total_Cost]]</f>
        <v>26143.149999999994</v>
      </c>
      <c r="V267" s="4">
        <f>Table1[[#This Row],[Net_Profit]]/Table1[[#This Row],[Net_Sales]]</f>
        <v>0.10957340300814418</v>
      </c>
      <c r="W267" t="s">
        <v>33</v>
      </c>
      <c r="X267" t="s">
        <v>332</v>
      </c>
      <c r="Y267">
        <v>3</v>
      </c>
      <c r="Z267" t="str">
        <f>IF(Table1[[#This Row],[Month_No]]&lt;=6, "H1","H2")</f>
        <v>H1</v>
      </c>
    </row>
    <row r="268" spans="1:26" x14ac:dyDescent="0.25">
      <c r="A268" s="2">
        <v>45719</v>
      </c>
      <c r="B268" t="s">
        <v>343</v>
      </c>
      <c r="C268" t="s">
        <v>43</v>
      </c>
      <c r="D268" t="s">
        <v>68</v>
      </c>
      <c r="E268" t="s">
        <v>29</v>
      </c>
      <c r="F268" t="s">
        <v>39</v>
      </c>
      <c r="G268" t="s">
        <v>76</v>
      </c>
      <c r="H268" t="s">
        <v>47</v>
      </c>
      <c r="I268">
        <v>144</v>
      </c>
      <c r="J268" s="3">
        <v>371.39</v>
      </c>
      <c r="K268" s="3">
        <f>Table1[[#This Row],[Quantity]]*Table1[[#This Row],[Unit_Price]]</f>
        <v>53480.159999999996</v>
      </c>
      <c r="L268" s="3">
        <v>4169.7</v>
      </c>
      <c r="M268" s="3">
        <f>Table1[[#This Row],[Gross_Sales]]-Table1[[#This Row],[Discount]]</f>
        <v>49310.46</v>
      </c>
      <c r="N268" s="3">
        <v>39108.53</v>
      </c>
      <c r="O268" s="3">
        <v>1902.82</v>
      </c>
      <c r="P268" s="3">
        <v>3594.33</v>
      </c>
      <c r="Q268" s="3">
        <v>1735.47</v>
      </c>
      <c r="R268" s="3">
        <v>1271.96</v>
      </c>
      <c r="S268" s="3">
        <f>SUM(Table1[[#This Row],[Product_Cost]:[Other_Cost]])</f>
        <v>47613.11</v>
      </c>
      <c r="T268" s="3">
        <f>Table1[[#This Row],[Net_Sales]]-Table1[[#This Row],[Product_Cost]]</f>
        <v>10201.93</v>
      </c>
      <c r="U268" s="3">
        <f>Table1[[#This Row],[Net_Sales]]-Table1[[#This Row],[Total_Cost]]</f>
        <v>1697.3499999999985</v>
      </c>
      <c r="V268" s="4">
        <f>Table1[[#This Row],[Net_Profit]]/Table1[[#This Row],[Net_Sales]]</f>
        <v>3.4421702819239543E-2</v>
      </c>
      <c r="W268" t="s">
        <v>72</v>
      </c>
      <c r="X268" t="s">
        <v>332</v>
      </c>
      <c r="Y268">
        <v>3</v>
      </c>
      <c r="Z268" t="str">
        <f>IF(Table1[[#This Row],[Month_No]]&lt;=6, "H1","H2")</f>
        <v>H1</v>
      </c>
    </row>
    <row r="269" spans="1:26" x14ac:dyDescent="0.25">
      <c r="A269" s="2">
        <v>45719</v>
      </c>
      <c r="B269" t="s">
        <v>344</v>
      </c>
      <c r="C269" t="s">
        <v>107</v>
      </c>
      <c r="D269" t="s">
        <v>81</v>
      </c>
      <c r="E269" t="s">
        <v>45</v>
      </c>
      <c r="F269" t="s">
        <v>30</v>
      </c>
      <c r="G269" t="s">
        <v>64</v>
      </c>
      <c r="H269" t="s">
        <v>41</v>
      </c>
      <c r="I269">
        <v>58</v>
      </c>
      <c r="J269" s="3">
        <v>6446.66</v>
      </c>
      <c r="K269" s="3">
        <f>Table1[[#This Row],[Quantity]]*Table1[[#This Row],[Unit_Price]]</f>
        <v>373906.27999999997</v>
      </c>
      <c r="L269" s="3">
        <v>32957.120000000003</v>
      </c>
      <c r="M269" s="3">
        <f>Table1[[#This Row],[Gross_Sales]]-Table1[[#This Row],[Discount]]</f>
        <v>340949.16</v>
      </c>
      <c r="N269" s="3">
        <v>193803.96</v>
      </c>
      <c r="O269" s="3">
        <v>11626.51</v>
      </c>
      <c r="P269" s="3">
        <v>22913.73</v>
      </c>
      <c r="Q269" s="3">
        <v>17349.2</v>
      </c>
      <c r="R269" s="3">
        <v>9474.75</v>
      </c>
      <c r="S269" s="3">
        <f>SUM(Table1[[#This Row],[Product_Cost]:[Other_Cost]])</f>
        <v>255168.15000000002</v>
      </c>
      <c r="T269" s="3">
        <f>Table1[[#This Row],[Net_Sales]]-Table1[[#This Row],[Product_Cost]]</f>
        <v>147145.19999999998</v>
      </c>
      <c r="U269" s="3">
        <f>Table1[[#This Row],[Net_Sales]]-Table1[[#This Row],[Total_Cost]]</f>
        <v>85781.009999999951</v>
      </c>
      <c r="V269" s="4">
        <f>Table1[[#This Row],[Net_Profit]]/Table1[[#This Row],[Net_Sales]]</f>
        <v>0.25159472456245369</v>
      </c>
      <c r="W269" t="s">
        <v>33</v>
      </c>
      <c r="X269" t="s">
        <v>332</v>
      </c>
      <c r="Y269">
        <v>3</v>
      </c>
      <c r="Z269" t="str">
        <f>IF(Table1[[#This Row],[Month_No]]&lt;=6, "H1","H2")</f>
        <v>H1</v>
      </c>
    </row>
    <row r="270" spans="1:26" x14ac:dyDescent="0.25">
      <c r="A270" s="2">
        <v>45720</v>
      </c>
      <c r="B270" t="s">
        <v>345</v>
      </c>
      <c r="C270" t="s">
        <v>78</v>
      </c>
      <c r="D270" t="s">
        <v>28</v>
      </c>
      <c r="E270" t="s">
        <v>29</v>
      </c>
      <c r="F270" t="s">
        <v>39</v>
      </c>
      <c r="G270" t="s">
        <v>31</v>
      </c>
      <c r="H270" t="s">
        <v>47</v>
      </c>
      <c r="I270">
        <v>65</v>
      </c>
      <c r="J270" s="3">
        <v>1087.82</v>
      </c>
      <c r="K270" s="3">
        <f>Table1[[#This Row],[Quantity]]*Table1[[#This Row],[Unit_Price]]</f>
        <v>70708.3</v>
      </c>
      <c r="L270" s="3">
        <v>6141.34</v>
      </c>
      <c r="M270" s="3">
        <f>Table1[[#This Row],[Gross_Sales]]-Table1[[#This Row],[Discount]]</f>
        <v>64566.960000000006</v>
      </c>
      <c r="N270" s="3">
        <v>37339.26</v>
      </c>
      <c r="O270" s="3">
        <v>2622.84</v>
      </c>
      <c r="P270" s="3">
        <v>4391.0200000000004</v>
      </c>
      <c r="Q270" s="3">
        <v>2626.98</v>
      </c>
      <c r="R270" s="3">
        <v>1549.96</v>
      </c>
      <c r="S270" s="3">
        <f>SUM(Table1[[#This Row],[Product_Cost]:[Other_Cost]])</f>
        <v>48530.060000000012</v>
      </c>
      <c r="T270" s="3">
        <f>Table1[[#This Row],[Net_Sales]]-Table1[[#This Row],[Product_Cost]]</f>
        <v>27227.700000000004</v>
      </c>
      <c r="U270" s="3">
        <f>Table1[[#This Row],[Net_Sales]]-Table1[[#This Row],[Total_Cost]]</f>
        <v>16036.899999999994</v>
      </c>
      <c r="V270" s="4">
        <f>Table1[[#This Row],[Net_Profit]]/Table1[[#This Row],[Net_Sales]]</f>
        <v>0.24837625931281251</v>
      </c>
      <c r="W270" t="s">
        <v>72</v>
      </c>
      <c r="X270" t="s">
        <v>332</v>
      </c>
      <c r="Y270">
        <v>3</v>
      </c>
      <c r="Z270" t="str">
        <f>IF(Table1[[#This Row],[Month_No]]&lt;=6, "H1","H2")</f>
        <v>H1</v>
      </c>
    </row>
    <row r="271" spans="1:26" x14ac:dyDescent="0.25">
      <c r="A271" s="2">
        <v>45720</v>
      </c>
      <c r="B271" t="s">
        <v>346</v>
      </c>
      <c r="C271" t="s">
        <v>117</v>
      </c>
      <c r="D271" t="s">
        <v>66</v>
      </c>
      <c r="E271" t="s">
        <v>51</v>
      </c>
      <c r="F271" t="s">
        <v>52</v>
      </c>
      <c r="G271" t="s">
        <v>86</v>
      </c>
      <c r="H271" t="s">
        <v>41</v>
      </c>
      <c r="I271">
        <v>59</v>
      </c>
      <c r="J271" s="3">
        <v>1459.88</v>
      </c>
      <c r="K271" s="3">
        <f>Table1[[#This Row],[Quantity]]*Table1[[#This Row],[Unit_Price]]</f>
        <v>86132.920000000013</v>
      </c>
      <c r="L271" s="3">
        <v>7549.94</v>
      </c>
      <c r="M271" s="3">
        <f>Table1[[#This Row],[Gross_Sales]]-Table1[[#This Row],[Discount]]</f>
        <v>78582.98000000001</v>
      </c>
      <c r="N271" s="3">
        <v>42907.58</v>
      </c>
      <c r="O271" s="3">
        <v>1969.11</v>
      </c>
      <c r="P271" s="3">
        <v>5518.06</v>
      </c>
      <c r="Q271" s="3">
        <v>3615.12</v>
      </c>
      <c r="R271" s="3">
        <v>2386.9499999999998</v>
      </c>
      <c r="S271" s="3">
        <f>SUM(Table1[[#This Row],[Product_Cost]:[Other_Cost]])</f>
        <v>56396.82</v>
      </c>
      <c r="T271" s="3">
        <f>Table1[[#This Row],[Net_Sales]]-Table1[[#This Row],[Product_Cost]]</f>
        <v>35675.400000000009</v>
      </c>
      <c r="U271" s="3">
        <f>Table1[[#This Row],[Net_Sales]]-Table1[[#This Row],[Total_Cost]]</f>
        <v>22186.160000000011</v>
      </c>
      <c r="V271" s="4">
        <f>Table1[[#This Row],[Net_Profit]]/Table1[[#This Row],[Net_Sales]]</f>
        <v>0.28232780177081612</v>
      </c>
      <c r="W271" t="s">
        <v>33</v>
      </c>
      <c r="X271" t="s">
        <v>332</v>
      </c>
      <c r="Y271">
        <v>3</v>
      </c>
      <c r="Z271" t="str">
        <f>IF(Table1[[#This Row],[Month_No]]&lt;=6, "H1","H2")</f>
        <v>H1</v>
      </c>
    </row>
    <row r="272" spans="1:26" x14ac:dyDescent="0.25">
      <c r="A272" s="2">
        <v>45720</v>
      </c>
      <c r="B272" t="s">
        <v>347</v>
      </c>
      <c r="C272" t="s">
        <v>63</v>
      </c>
      <c r="D272" t="s">
        <v>37</v>
      </c>
      <c r="E272" t="s">
        <v>38</v>
      </c>
      <c r="F272" t="s">
        <v>39</v>
      </c>
      <c r="G272" t="s">
        <v>64</v>
      </c>
      <c r="H272" t="s">
        <v>32</v>
      </c>
      <c r="I272">
        <v>67</v>
      </c>
      <c r="J272" s="3">
        <v>4178.4799999999996</v>
      </c>
      <c r="K272" s="3">
        <f>Table1[[#This Row],[Quantity]]*Table1[[#This Row],[Unit_Price]]</f>
        <v>279958.15999999997</v>
      </c>
      <c r="L272" s="3">
        <v>24344.65</v>
      </c>
      <c r="M272" s="3">
        <f>Table1[[#This Row],[Gross_Sales]]-Table1[[#This Row],[Discount]]</f>
        <v>255613.50999999998</v>
      </c>
      <c r="N272" s="3">
        <v>179916.85</v>
      </c>
      <c r="O272" s="3">
        <v>10772.72</v>
      </c>
      <c r="P272" s="3">
        <v>17302.64</v>
      </c>
      <c r="Q272" s="3">
        <v>9859.94</v>
      </c>
      <c r="R272" s="3">
        <v>6042.06</v>
      </c>
      <c r="S272" s="3">
        <f>SUM(Table1[[#This Row],[Product_Cost]:[Other_Cost]])</f>
        <v>223894.21000000002</v>
      </c>
      <c r="T272" s="3">
        <f>Table1[[#This Row],[Net_Sales]]-Table1[[#This Row],[Product_Cost]]</f>
        <v>75696.659999999974</v>
      </c>
      <c r="U272" s="3">
        <f>Table1[[#This Row],[Net_Sales]]-Table1[[#This Row],[Total_Cost]]</f>
        <v>31719.299999999959</v>
      </c>
      <c r="V272" s="4">
        <f>Table1[[#This Row],[Net_Profit]]/Table1[[#This Row],[Net_Sales]]</f>
        <v>0.12409085889083078</v>
      </c>
      <c r="W272" t="s">
        <v>72</v>
      </c>
      <c r="X272" t="s">
        <v>332</v>
      </c>
      <c r="Y272">
        <v>3</v>
      </c>
      <c r="Z272" t="str">
        <f>IF(Table1[[#This Row],[Month_No]]&lt;=6, "H1","H2")</f>
        <v>H1</v>
      </c>
    </row>
    <row r="273" spans="1:26" x14ac:dyDescent="0.25">
      <c r="A273" s="2">
        <v>45720</v>
      </c>
      <c r="B273" t="s">
        <v>348</v>
      </c>
      <c r="C273" t="s">
        <v>27</v>
      </c>
      <c r="D273" t="s">
        <v>44</v>
      </c>
      <c r="E273" t="s">
        <v>45</v>
      </c>
      <c r="F273" t="s">
        <v>30</v>
      </c>
      <c r="G273" t="s">
        <v>58</v>
      </c>
      <c r="H273" t="s">
        <v>41</v>
      </c>
      <c r="I273">
        <v>95</v>
      </c>
      <c r="J273" s="3">
        <v>4428.42</v>
      </c>
      <c r="K273" s="3">
        <f>Table1[[#This Row],[Quantity]]*Table1[[#This Row],[Unit_Price]]</f>
        <v>420699.9</v>
      </c>
      <c r="L273" s="3">
        <v>39062.97</v>
      </c>
      <c r="M273" s="3">
        <f>Table1[[#This Row],[Gross_Sales]]-Table1[[#This Row],[Discount]]</f>
        <v>381636.93000000005</v>
      </c>
      <c r="N273" s="3">
        <v>270253.71000000002</v>
      </c>
      <c r="O273" s="3">
        <v>13871.52</v>
      </c>
      <c r="P273" s="3">
        <v>27664.51</v>
      </c>
      <c r="Q273" s="3">
        <v>20778.93</v>
      </c>
      <c r="R273" s="3">
        <v>9415.89</v>
      </c>
      <c r="S273" s="3">
        <f>SUM(Table1[[#This Row],[Product_Cost]:[Other_Cost]])</f>
        <v>341984.56000000006</v>
      </c>
      <c r="T273" s="3">
        <f>Table1[[#This Row],[Net_Sales]]-Table1[[#This Row],[Product_Cost]]</f>
        <v>111383.22000000003</v>
      </c>
      <c r="U273" s="3">
        <f>Table1[[#This Row],[Net_Sales]]-Table1[[#This Row],[Total_Cost]]</f>
        <v>39652.369999999995</v>
      </c>
      <c r="V273" s="4">
        <f>Table1[[#This Row],[Net_Profit]]/Table1[[#This Row],[Net_Sales]]</f>
        <v>0.10390076767465871</v>
      </c>
      <c r="W273" t="s">
        <v>72</v>
      </c>
      <c r="X273" t="s">
        <v>332</v>
      </c>
      <c r="Y273">
        <v>3</v>
      </c>
      <c r="Z273" t="str">
        <f>IF(Table1[[#This Row],[Month_No]]&lt;=6, "H1","H2")</f>
        <v>H1</v>
      </c>
    </row>
    <row r="274" spans="1:26" x14ac:dyDescent="0.25">
      <c r="A274" s="2">
        <v>45721</v>
      </c>
      <c r="B274" t="s">
        <v>349</v>
      </c>
      <c r="C274" t="s">
        <v>49</v>
      </c>
      <c r="D274" t="s">
        <v>44</v>
      </c>
      <c r="E274" t="s">
        <v>45</v>
      </c>
      <c r="F274" t="s">
        <v>52</v>
      </c>
      <c r="G274" t="s">
        <v>61</v>
      </c>
      <c r="H274" t="s">
        <v>41</v>
      </c>
      <c r="I274">
        <v>52</v>
      </c>
      <c r="J274" s="3">
        <v>4475.6000000000004</v>
      </c>
      <c r="K274" s="3">
        <f>Table1[[#This Row],[Quantity]]*Table1[[#This Row],[Unit_Price]]</f>
        <v>232731.2</v>
      </c>
      <c r="L274" s="3">
        <v>20816.25</v>
      </c>
      <c r="M274" s="3">
        <f>Table1[[#This Row],[Gross_Sales]]-Table1[[#This Row],[Discount]]</f>
        <v>211914.95</v>
      </c>
      <c r="N274" s="3">
        <v>150617.91</v>
      </c>
      <c r="O274" s="3">
        <v>5463.03</v>
      </c>
      <c r="P274" s="3">
        <v>13408.92</v>
      </c>
      <c r="Q274" s="3">
        <v>11174.82</v>
      </c>
      <c r="R274" s="3">
        <v>6516.45</v>
      </c>
      <c r="S274" s="3">
        <f>SUM(Table1[[#This Row],[Product_Cost]:[Other_Cost]])</f>
        <v>187181.13000000003</v>
      </c>
      <c r="T274" s="3">
        <f>Table1[[#This Row],[Net_Sales]]-Table1[[#This Row],[Product_Cost]]</f>
        <v>61297.040000000008</v>
      </c>
      <c r="U274" s="3">
        <f>Table1[[#This Row],[Net_Sales]]-Table1[[#This Row],[Total_Cost]]</f>
        <v>24733.819999999978</v>
      </c>
      <c r="V274" s="4">
        <f>Table1[[#This Row],[Net_Profit]]/Table1[[#This Row],[Net_Sales]]</f>
        <v>0.11671578621517725</v>
      </c>
      <c r="W274" t="s">
        <v>33</v>
      </c>
      <c r="X274" t="s">
        <v>332</v>
      </c>
      <c r="Y274">
        <v>3</v>
      </c>
      <c r="Z274" t="str">
        <f>IF(Table1[[#This Row],[Month_No]]&lt;=6, "H1","H2")</f>
        <v>H1</v>
      </c>
    </row>
    <row r="275" spans="1:26" x14ac:dyDescent="0.25">
      <c r="A275" s="2">
        <v>45721</v>
      </c>
      <c r="B275" t="s">
        <v>350</v>
      </c>
      <c r="C275" t="s">
        <v>107</v>
      </c>
      <c r="D275" t="s">
        <v>74</v>
      </c>
      <c r="E275" t="s">
        <v>75</v>
      </c>
      <c r="F275" t="s">
        <v>52</v>
      </c>
      <c r="G275" t="s">
        <v>58</v>
      </c>
      <c r="H275" t="s">
        <v>32</v>
      </c>
      <c r="I275">
        <v>75</v>
      </c>
      <c r="J275" s="3">
        <v>5225.6099999999997</v>
      </c>
      <c r="K275" s="3">
        <f>Table1[[#This Row],[Quantity]]*Table1[[#This Row],[Unit_Price]]</f>
        <v>391920.75</v>
      </c>
      <c r="L275" s="3">
        <v>36875.32</v>
      </c>
      <c r="M275" s="3">
        <f>Table1[[#This Row],[Gross_Sales]]-Table1[[#This Row],[Discount]]</f>
        <v>355045.43</v>
      </c>
      <c r="N275" s="3">
        <v>260787.42</v>
      </c>
      <c r="O275" s="3">
        <v>9360.9500000000007</v>
      </c>
      <c r="P275" s="3">
        <v>19585.95</v>
      </c>
      <c r="Q275" s="3">
        <v>15248.8</v>
      </c>
      <c r="R275" s="3">
        <v>10547.06</v>
      </c>
      <c r="S275" s="3">
        <f>SUM(Table1[[#This Row],[Product_Cost]:[Other_Cost]])</f>
        <v>315530.18</v>
      </c>
      <c r="T275" s="3">
        <f>Table1[[#This Row],[Net_Sales]]-Table1[[#This Row],[Product_Cost]]</f>
        <v>94258.00999999998</v>
      </c>
      <c r="U275" s="3">
        <f>Table1[[#This Row],[Net_Sales]]-Table1[[#This Row],[Total_Cost]]</f>
        <v>39515.25</v>
      </c>
      <c r="V275" s="4">
        <f>Table1[[#This Row],[Net_Profit]]/Table1[[#This Row],[Net_Sales]]</f>
        <v>0.11129632058635426</v>
      </c>
      <c r="W275" t="s">
        <v>33</v>
      </c>
      <c r="X275" t="s">
        <v>332</v>
      </c>
      <c r="Y275">
        <v>3</v>
      </c>
      <c r="Z275" t="str">
        <f>IF(Table1[[#This Row],[Month_No]]&lt;=6, "H1","H2")</f>
        <v>H1</v>
      </c>
    </row>
    <row r="276" spans="1:26" x14ac:dyDescent="0.25">
      <c r="A276" s="2">
        <v>45721</v>
      </c>
      <c r="B276" t="s">
        <v>351</v>
      </c>
      <c r="C276" t="s">
        <v>43</v>
      </c>
      <c r="D276" t="s">
        <v>68</v>
      </c>
      <c r="E276" t="s">
        <v>29</v>
      </c>
      <c r="F276" t="s">
        <v>39</v>
      </c>
      <c r="G276" t="s">
        <v>76</v>
      </c>
      <c r="H276" t="s">
        <v>59</v>
      </c>
      <c r="I276">
        <v>101</v>
      </c>
      <c r="J276" s="3">
        <v>356.21</v>
      </c>
      <c r="K276" s="3">
        <f>Table1[[#This Row],[Quantity]]*Table1[[#This Row],[Unit_Price]]</f>
        <v>35977.21</v>
      </c>
      <c r="L276" s="3">
        <v>2219.8000000000002</v>
      </c>
      <c r="M276" s="3">
        <f>Table1[[#This Row],[Gross_Sales]]-Table1[[#This Row],[Discount]]</f>
        <v>33757.409999999996</v>
      </c>
      <c r="N276" s="3">
        <v>27365.39</v>
      </c>
      <c r="O276" s="3">
        <v>1355.77</v>
      </c>
      <c r="P276" s="3">
        <v>2009.99</v>
      </c>
      <c r="Q276" s="3">
        <v>1440.85</v>
      </c>
      <c r="R276" s="3">
        <v>850.64</v>
      </c>
      <c r="S276" s="3">
        <f>SUM(Table1[[#This Row],[Product_Cost]:[Other_Cost]])</f>
        <v>33022.639999999999</v>
      </c>
      <c r="T276" s="3">
        <f>Table1[[#This Row],[Net_Sales]]-Table1[[#This Row],[Product_Cost]]</f>
        <v>6392.0199999999968</v>
      </c>
      <c r="U276" s="3">
        <f>Table1[[#This Row],[Net_Sales]]-Table1[[#This Row],[Total_Cost]]</f>
        <v>734.7699999999968</v>
      </c>
      <c r="V276" s="4">
        <f>Table1[[#This Row],[Net_Profit]]/Table1[[#This Row],[Net_Sales]]</f>
        <v>2.1766184076325669E-2</v>
      </c>
      <c r="W276" t="s">
        <v>33</v>
      </c>
      <c r="X276" t="s">
        <v>332</v>
      </c>
      <c r="Y276">
        <v>3</v>
      </c>
      <c r="Z276" t="str">
        <f>IF(Table1[[#This Row],[Month_No]]&lt;=6, "H1","H2")</f>
        <v>H1</v>
      </c>
    </row>
    <row r="277" spans="1:26" x14ac:dyDescent="0.25">
      <c r="A277" s="2">
        <v>45721</v>
      </c>
      <c r="B277" t="s">
        <v>352</v>
      </c>
      <c r="C277" t="s">
        <v>49</v>
      </c>
      <c r="D277" t="s">
        <v>74</v>
      </c>
      <c r="E277" t="s">
        <v>75</v>
      </c>
      <c r="F277" t="s">
        <v>30</v>
      </c>
      <c r="G277" t="s">
        <v>64</v>
      </c>
      <c r="H277" t="s">
        <v>41</v>
      </c>
      <c r="I277">
        <v>66</v>
      </c>
      <c r="J277" s="3">
        <v>5258.68</v>
      </c>
      <c r="K277" s="3">
        <f>Table1[[#This Row],[Quantity]]*Table1[[#This Row],[Unit_Price]]</f>
        <v>347072.88</v>
      </c>
      <c r="L277" s="3">
        <v>28316.89</v>
      </c>
      <c r="M277" s="3">
        <f>Table1[[#This Row],[Gross_Sales]]-Table1[[#This Row],[Discount]]</f>
        <v>318755.99</v>
      </c>
      <c r="N277" s="3">
        <v>242957.7</v>
      </c>
      <c r="O277" s="3">
        <v>11316.64</v>
      </c>
      <c r="P277" s="3">
        <v>23715.64</v>
      </c>
      <c r="Q277" s="3">
        <v>17373.22</v>
      </c>
      <c r="R277" s="3">
        <v>7435.72</v>
      </c>
      <c r="S277" s="3">
        <f>SUM(Table1[[#This Row],[Product_Cost]:[Other_Cost]])</f>
        <v>302798.92000000004</v>
      </c>
      <c r="T277" s="3">
        <f>Table1[[#This Row],[Net_Sales]]-Table1[[#This Row],[Product_Cost]]</f>
        <v>75798.289999999979</v>
      </c>
      <c r="U277" s="3">
        <f>Table1[[#This Row],[Net_Sales]]-Table1[[#This Row],[Total_Cost]]</f>
        <v>15957.069999999949</v>
      </c>
      <c r="V277" s="4">
        <f>Table1[[#This Row],[Net_Profit]]/Table1[[#This Row],[Net_Sales]]</f>
        <v>5.0060455334501944E-2</v>
      </c>
      <c r="W277" t="s">
        <v>33</v>
      </c>
      <c r="X277" t="s">
        <v>332</v>
      </c>
      <c r="Y277">
        <v>3</v>
      </c>
      <c r="Z277" t="str">
        <f>IF(Table1[[#This Row],[Month_No]]&lt;=6, "H1","H2")</f>
        <v>H1</v>
      </c>
    </row>
    <row r="278" spans="1:26" x14ac:dyDescent="0.25">
      <c r="A278" s="2">
        <v>45721</v>
      </c>
      <c r="B278" t="s">
        <v>353</v>
      </c>
      <c r="C278" t="s">
        <v>55</v>
      </c>
      <c r="D278" t="s">
        <v>28</v>
      </c>
      <c r="E278" t="s">
        <v>29</v>
      </c>
      <c r="F278" t="s">
        <v>30</v>
      </c>
      <c r="G278" t="s">
        <v>64</v>
      </c>
      <c r="H278" t="s">
        <v>41</v>
      </c>
      <c r="I278">
        <v>50</v>
      </c>
      <c r="J278" s="3">
        <v>1109.1199999999999</v>
      </c>
      <c r="K278" s="3">
        <f>Table1[[#This Row],[Quantity]]*Table1[[#This Row],[Unit_Price]]</f>
        <v>55455.999999999993</v>
      </c>
      <c r="L278" s="3">
        <v>4573.28</v>
      </c>
      <c r="M278" s="3">
        <f>Table1[[#This Row],[Gross_Sales]]-Table1[[#This Row],[Discount]]</f>
        <v>50882.719999999994</v>
      </c>
      <c r="N278" s="3">
        <v>29761.39</v>
      </c>
      <c r="O278" s="3">
        <v>1957.47</v>
      </c>
      <c r="P278" s="3">
        <v>3022.26</v>
      </c>
      <c r="Q278" s="3">
        <v>2253.3000000000002</v>
      </c>
      <c r="R278" s="3">
        <v>1213.78</v>
      </c>
      <c r="S278" s="3">
        <f>SUM(Table1[[#This Row],[Product_Cost]:[Other_Cost]])</f>
        <v>38208.200000000004</v>
      </c>
      <c r="T278" s="3">
        <f>Table1[[#This Row],[Net_Sales]]-Table1[[#This Row],[Product_Cost]]</f>
        <v>21121.329999999994</v>
      </c>
      <c r="U278" s="3">
        <f>Table1[[#This Row],[Net_Sales]]-Table1[[#This Row],[Total_Cost]]</f>
        <v>12674.51999999999</v>
      </c>
      <c r="V278" s="4">
        <f>Table1[[#This Row],[Net_Profit]]/Table1[[#This Row],[Net_Sales]]</f>
        <v>0.24909281579286624</v>
      </c>
      <c r="W278" t="s">
        <v>33</v>
      </c>
      <c r="X278" t="s">
        <v>332</v>
      </c>
      <c r="Y278">
        <v>3</v>
      </c>
      <c r="Z278" t="str">
        <f>IF(Table1[[#This Row],[Month_No]]&lt;=6, "H1","H2")</f>
        <v>H1</v>
      </c>
    </row>
    <row r="279" spans="1:26" x14ac:dyDescent="0.25">
      <c r="A279" s="2">
        <v>45721</v>
      </c>
      <c r="B279" t="s">
        <v>354</v>
      </c>
      <c r="C279" t="s">
        <v>36</v>
      </c>
      <c r="D279" t="s">
        <v>68</v>
      </c>
      <c r="E279" t="s">
        <v>29</v>
      </c>
      <c r="F279" t="s">
        <v>30</v>
      </c>
      <c r="G279" t="s">
        <v>31</v>
      </c>
      <c r="H279" t="s">
        <v>32</v>
      </c>
      <c r="I279">
        <v>98</v>
      </c>
      <c r="J279" s="3">
        <v>351.35</v>
      </c>
      <c r="K279" s="3">
        <f>Table1[[#This Row],[Quantity]]*Table1[[#This Row],[Unit_Price]]</f>
        <v>34432.300000000003</v>
      </c>
      <c r="L279" s="3">
        <v>3118.56</v>
      </c>
      <c r="M279" s="3">
        <f>Table1[[#This Row],[Gross_Sales]]-Table1[[#This Row],[Discount]]</f>
        <v>31313.74</v>
      </c>
      <c r="N279" s="3">
        <v>25278.12</v>
      </c>
      <c r="O279" s="3">
        <v>1149.44</v>
      </c>
      <c r="P279" s="3">
        <v>2235.54</v>
      </c>
      <c r="Q279" s="3">
        <v>1465.48</v>
      </c>
      <c r="R279" s="3">
        <v>885.9</v>
      </c>
      <c r="S279" s="3">
        <f>SUM(Table1[[#This Row],[Product_Cost]:[Other_Cost]])</f>
        <v>31014.48</v>
      </c>
      <c r="T279" s="3">
        <f>Table1[[#This Row],[Net_Sales]]-Table1[[#This Row],[Product_Cost]]</f>
        <v>6035.6200000000026</v>
      </c>
      <c r="U279" s="3">
        <f>Table1[[#This Row],[Net_Sales]]-Table1[[#This Row],[Total_Cost]]</f>
        <v>299.26000000000204</v>
      </c>
      <c r="V279" s="4">
        <f>Table1[[#This Row],[Net_Profit]]/Table1[[#This Row],[Net_Sales]]</f>
        <v>9.5568271308378375E-3</v>
      </c>
      <c r="W279" t="s">
        <v>33</v>
      </c>
      <c r="X279" t="s">
        <v>332</v>
      </c>
      <c r="Y279">
        <v>3</v>
      </c>
      <c r="Z279" t="str">
        <f>IF(Table1[[#This Row],[Month_No]]&lt;=6, "H1","H2")</f>
        <v>H1</v>
      </c>
    </row>
    <row r="280" spans="1:26" x14ac:dyDescent="0.25">
      <c r="A280" s="2">
        <v>45721</v>
      </c>
      <c r="B280" t="s">
        <v>355</v>
      </c>
      <c r="C280" t="s">
        <v>117</v>
      </c>
      <c r="D280" t="s">
        <v>28</v>
      </c>
      <c r="E280" t="s">
        <v>29</v>
      </c>
      <c r="F280" t="s">
        <v>52</v>
      </c>
      <c r="G280" t="s">
        <v>86</v>
      </c>
      <c r="H280" t="s">
        <v>32</v>
      </c>
      <c r="I280">
        <v>103</v>
      </c>
      <c r="J280" s="3">
        <v>1169.32</v>
      </c>
      <c r="K280" s="3">
        <f>Table1[[#This Row],[Quantity]]*Table1[[#This Row],[Unit_Price]]</f>
        <v>120439.95999999999</v>
      </c>
      <c r="L280" s="3">
        <v>8602.6</v>
      </c>
      <c r="M280" s="3">
        <f>Table1[[#This Row],[Gross_Sales]]-Table1[[#This Row],[Discount]]</f>
        <v>111837.35999999999</v>
      </c>
      <c r="N280" s="3">
        <v>65988.600000000006</v>
      </c>
      <c r="O280" s="3">
        <v>2672.24</v>
      </c>
      <c r="P280" s="3">
        <v>8161.48</v>
      </c>
      <c r="Q280" s="3">
        <v>5272.64</v>
      </c>
      <c r="R280" s="3">
        <v>3026.81</v>
      </c>
      <c r="S280" s="3">
        <f>SUM(Table1[[#This Row],[Product_Cost]:[Other_Cost]])</f>
        <v>85121.77</v>
      </c>
      <c r="T280" s="3">
        <f>Table1[[#This Row],[Net_Sales]]-Table1[[#This Row],[Product_Cost]]</f>
        <v>45848.75999999998</v>
      </c>
      <c r="U280" s="3">
        <f>Table1[[#This Row],[Net_Sales]]-Table1[[#This Row],[Total_Cost]]</f>
        <v>26715.589999999982</v>
      </c>
      <c r="V280" s="4">
        <f>Table1[[#This Row],[Net_Profit]]/Table1[[#This Row],[Net_Sales]]</f>
        <v>0.23887893991775186</v>
      </c>
      <c r="W280" t="s">
        <v>33</v>
      </c>
      <c r="X280" t="s">
        <v>332</v>
      </c>
      <c r="Y280">
        <v>3</v>
      </c>
      <c r="Z280" t="str">
        <f>IF(Table1[[#This Row],[Month_No]]&lt;=6, "H1","H2")</f>
        <v>H1</v>
      </c>
    </row>
    <row r="281" spans="1:26" x14ac:dyDescent="0.25">
      <c r="A281" s="2">
        <v>45722</v>
      </c>
      <c r="B281" t="s">
        <v>356</v>
      </c>
      <c r="C281" t="s">
        <v>49</v>
      </c>
      <c r="D281" t="s">
        <v>68</v>
      </c>
      <c r="E281" t="s">
        <v>29</v>
      </c>
      <c r="F281" t="s">
        <v>39</v>
      </c>
      <c r="G281" t="s">
        <v>58</v>
      </c>
      <c r="H281" t="s">
        <v>32</v>
      </c>
      <c r="I281">
        <v>93</v>
      </c>
      <c r="J281" s="3">
        <v>370.01</v>
      </c>
      <c r="K281" s="3">
        <f>Table1[[#This Row],[Quantity]]*Table1[[#This Row],[Unit_Price]]</f>
        <v>34410.93</v>
      </c>
      <c r="L281" s="3">
        <v>3401.79</v>
      </c>
      <c r="M281" s="3">
        <f>Table1[[#This Row],[Gross_Sales]]-Table1[[#This Row],[Discount]]</f>
        <v>31009.14</v>
      </c>
      <c r="N281" s="3">
        <v>24787.81</v>
      </c>
      <c r="O281" s="3">
        <v>1396.81</v>
      </c>
      <c r="P281" s="3">
        <v>2138.4</v>
      </c>
      <c r="Q281" s="3">
        <v>1231.72</v>
      </c>
      <c r="R281" s="3">
        <v>751.13</v>
      </c>
      <c r="S281" s="3">
        <f>SUM(Table1[[#This Row],[Product_Cost]:[Other_Cost]])</f>
        <v>30305.870000000006</v>
      </c>
      <c r="T281" s="3">
        <f>Table1[[#This Row],[Net_Sales]]-Table1[[#This Row],[Product_Cost]]</f>
        <v>6221.3299999999981</v>
      </c>
      <c r="U281" s="3">
        <f>Table1[[#This Row],[Net_Sales]]-Table1[[#This Row],[Total_Cost]]</f>
        <v>703.26999999999316</v>
      </c>
      <c r="V281" s="4">
        <f>Table1[[#This Row],[Net_Profit]]/Table1[[#This Row],[Net_Sales]]</f>
        <v>2.2679442254767247E-2</v>
      </c>
      <c r="W281" t="s">
        <v>33</v>
      </c>
      <c r="X281" t="s">
        <v>332</v>
      </c>
      <c r="Y281">
        <v>3</v>
      </c>
      <c r="Z281" t="str">
        <f>IF(Table1[[#This Row],[Month_No]]&lt;=6, "H1","H2")</f>
        <v>H1</v>
      </c>
    </row>
    <row r="282" spans="1:26" x14ac:dyDescent="0.25">
      <c r="A282" s="2">
        <v>45722</v>
      </c>
      <c r="B282" t="s">
        <v>357</v>
      </c>
      <c r="C282" t="s">
        <v>107</v>
      </c>
      <c r="D282" t="s">
        <v>100</v>
      </c>
      <c r="E282" t="s">
        <v>75</v>
      </c>
      <c r="F282" t="s">
        <v>52</v>
      </c>
      <c r="G282" t="s">
        <v>64</v>
      </c>
      <c r="H282" t="s">
        <v>59</v>
      </c>
      <c r="I282">
        <v>60</v>
      </c>
      <c r="J282" s="3">
        <v>6887.76</v>
      </c>
      <c r="K282" s="3">
        <f>Table1[[#This Row],[Quantity]]*Table1[[#This Row],[Unit_Price]]</f>
        <v>413265.60000000003</v>
      </c>
      <c r="L282" s="3">
        <v>28764.36</v>
      </c>
      <c r="M282" s="3">
        <f>Table1[[#This Row],[Gross_Sales]]-Table1[[#This Row],[Discount]]</f>
        <v>384501.24000000005</v>
      </c>
      <c r="N282" s="3">
        <v>232054.5</v>
      </c>
      <c r="O282" s="3">
        <v>10884.27</v>
      </c>
      <c r="P282" s="3">
        <v>24065.62</v>
      </c>
      <c r="Q282" s="3">
        <v>17913.3</v>
      </c>
      <c r="R282" s="3">
        <v>8820.9699999999993</v>
      </c>
      <c r="S282" s="3">
        <f>SUM(Table1[[#This Row],[Product_Cost]:[Other_Cost]])</f>
        <v>293738.65999999997</v>
      </c>
      <c r="T282" s="3">
        <f>Table1[[#This Row],[Net_Sales]]-Table1[[#This Row],[Product_Cost]]</f>
        <v>152446.74000000005</v>
      </c>
      <c r="U282" s="3">
        <f>Table1[[#This Row],[Net_Sales]]-Table1[[#This Row],[Total_Cost]]</f>
        <v>90762.580000000075</v>
      </c>
      <c r="V282" s="4">
        <f>Table1[[#This Row],[Net_Profit]]/Table1[[#This Row],[Net_Sales]]</f>
        <v>0.23605276279473134</v>
      </c>
      <c r="W282" t="s">
        <v>33</v>
      </c>
      <c r="X282" t="s">
        <v>332</v>
      </c>
      <c r="Y282">
        <v>3</v>
      </c>
      <c r="Z282" t="str">
        <f>IF(Table1[[#This Row],[Month_No]]&lt;=6, "H1","H2")</f>
        <v>H1</v>
      </c>
    </row>
    <row r="283" spans="1:26" x14ac:dyDescent="0.25">
      <c r="A283" s="2">
        <v>45722</v>
      </c>
      <c r="B283" t="s">
        <v>358</v>
      </c>
      <c r="C283" t="s">
        <v>78</v>
      </c>
      <c r="D283" t="s">
        <v>74</v>
      </c>
      <c r="E283" t="s">
        <v>75</v>
      </c>
      <c r="F283" t="s">
        <v>52</v>
      </c>
      <c r="G283" t="s">
        <v>86</v>
      </c>
      <c r="H283" t="s">
        <v>41</v>
      </c>
      <c r="I283">
        <v>58</v>
      </c>
      <c r="J283" s="3">
        <v>5163.1099999999997</v>
      </c>
      <c r="K283" s="3">
        <f>Table1[[#This Row],[Quantity]]*Table1[[#This Row],[Unit_Price]]</f>
        <v>299460.38</v>
      </c>
      <c r="L283" s="3">
        <v>25953.68</v>
      </c>
      <c r="M283" s="3">
        <f>Table1[[#This Row],[Gross_Sales]]-Table1[[#This Row],[Discount]]</f>
        <v>273506.7</v>
      </c>
      <c r="N283" s="3">
        <v>202769.66</v>
      </c>
      <c r="O283" s="3">
        <v>7047.5</v>
      </c>
      <c r="P283" s="3">
        <v>16145.55</v>
      </c>
      <c r="Q283" s="3">
        <v>13873.91</v>
      </c>
      <c r="R283" s="3">
        <v>5554.81</v>
      </c>
      <c r="S283" s="3">
        <f>SUM(Table1[[#This Row],[Product_Cost]:[Other_Cost]])</f>
        <v>245391.43</v>
      </c>
      <c r="T283" s="3">
        <f>Table1[[#This Row],[Net_Sales]]-Table1[[#This Row],[Product_Cost]]</f>
        <v>70737.040000000008</v>
      </c>
      <c r="U283" s="3">
        <f>Table1[[#This Row],[Net_Sales]]-Table1[[#This Row],[Total_Cost]]</f>
        <v>28115.270000000019</v>
      </c>
      <c r="V283" s="4">
        <f>Table1[[#This Row],[Net_Profit]]/Table1[[#This Row],[Net_Sales]]</f>
        <v>0.10279554394828359</v>
      </c>
      <c r="W283" t="s">
        <v>33</v>
      </c>
      <c r="X283" t="s">
        <v>332</v>
      </c>
      <c r="Y283">
        <v>3</v>
      </c>
      <c r="Z283" t="str">
        <f>IF(Table1[[#This Row],[Month_No]]&lt;=6, "H1","H2")</f>
        <v>H1</v>
      </c>
    </row>
    <row r="284" spans="1:26" x14ac:dyDescent="0.25">
      <c r="A284" s="2">
        <v>45722</v>
      </c>
      <c r="B284" t="s">
        <v>359</v>
      </c>
      <c r="C284" t="s">
        <v>27</v>
      </c>
      <c r="D284" t="s">
        <v>74</v>
      </c>
      <c r="E284" t="s">
        <v>75</v>
      </c>
      <c r="F284" t="s">
        <v>39</v>
      </c>
      <c r="G284" t="s">
        <v>61</v>
      </c>
      <c r="H284" t="s">
        <v>47</v>
      </c>
      <c r="I284">
        <v>26</v>
      </c>
      <c r="J284" s="3">
        <v>5215.88</v>
      </c>
      <c r="K284" s="3">
        <f>Table1[[#This Row],[Quantity]]*Table1[[#This Row],[Unit_Price]]</f>
        <v>135612.88</v>
      </c>
      <c r="L284" s="3">
        <v>8833.8799999999992</v>
      </c>
      <c r="M284" s="3">
        <f>Table1[[#This Row],[Gross_Sales]]-Table1[[#This Row],[Discount]]</f>
        <v>126779</v>
      </c>
      <c r="N284" s="3">
        <v>97936.43</v>
      </c>
      <c r="O284" s="3">
        <v>5801.19</v>
      </c>
      <c r="P284" s="3">
        <v>8469.5</v>
      </c>
      <c r="Q284" s="3">
        <v>6094.88</v>
      </c>
      <c r="R284" s="3">
        <v>3911.3</v>
      </c>
      <c r="S284" s="3">
        <f>SUM(Table1[[#This Row],[Product_Cost]:[Other_Cost]])</f>
        <v>122213.3</v>
      </c>
      <c r="T284" s="3">
        <f>Table1[[#This Row],[Net_Sales]]-Table1[[#This Row],[Product_Cost]]</f>
        <v>28842.570000000007</v>
      </c>
      <c r="U284" s="3">
        <f>Table1[[#This Row],[Net_Sales]]-Table1[[#This Row],[Total_Cost]]</f>
        <v>4565.6999999999971</v>
      </c>
      <c r="V284" s="4">
        <f>Table1[[#This Row],[Net_Profit]]/Table1[[#This Row],[Net_Sales]]</f>
        <v>3.601306210019007E-2</v>
      </c>
      <c r="W284" t="s">
        <v>33</v>
      </c>
      <c r="X284" t="s">
        <v>332</v>
      </c>
      <c r="Y284">
        <v>3</v>
      </c>
      <c r="Z284" t="str">
        <f>IF(Table1[[#This Row],[Month_No]]&lt;=6, "H1","H2")</f>
        <v>H1</v>
      </c>
    </row>
    <row r="285" spans="1:26" x14ac:dyDescent="0.25">
      <c r="A285" s="2">
        <v>45722</v>
      </c>
      <c r="B285" t="s">
        <v>360</v>
      </c>
      <c r="C285" t="s">
        <v>117</v>
      </c>
      <c r="D285" t="s">
        <v>68</v>
      </c>
      <c r="E285" t="s">
        <v>29</v>
      </c>
      <c r="F285" t="s">
        <v>46</v>
      </c>
      <c r="G285" t="s">
        <v>61</v>
      </c>
      <c r="H285" t="s">
        <v>59</v>
      </c>
      <c r="I285">
        <v>88</v>
      </c>
      <c r="J285" s="3">
        <v>368.26</v>
      </c>
      <c r="K285" s="3">
        <f>Table1[[#This Row],[Quantity]]*Table1[[#This Row],[Unit_Price]]</f>
        <v>32406.879999999997</v>
      </c>
      <c r="L285" s="3">
        <v>2678.22</v>
      </c>
      <c r="M285" s="3">
        <f>Table1[[#This Row],[Gross_Sales]]-Table1[[#This Row],[Discount]]</f>
        <v>29728.659999999996</v>
      </c>
      <c r="N285" s="3">
        <v>22373.57</v>
      </c>
      <c r="O285" s="3">
        <v>909.41</v>
      </c>
      <c r="P285" s="3">
        <v>1953.41</v>
      </c>
      <c r="Q285" s="3">
        <v>1102.52</v>
      </c>
      <c r="R285" s="3">
        <v>710.27</v>
      </c>
      <c r="S285" s="3">
        <f>SUM(Table1[[#This Row],[Product_Cost]:[Other_Cost]])</f>
        <v>27049.18</v>
      </c>
      <c r="T285" s="3">
        <f>Table1[[#This Row],[Net_Sales]]-Table1[[#This Row],[Product_Cost]]</f>
        <v>7355.0899999999965</v>
      </c>
      <c r="U285" s="3">
        <f>Table1[[#This Row],[Net_Sales]]-Table1[[#This Row],[Total_Cost]]</f>
        <v>2679.4799999999959</v>
      </c>
      <c r="V285" s="4">
        <f>Table1[[#This Row],[Net_Profit]]/Table1[[#This Row],[Net_Sales]]</f>
        <v>9.0131206721056262E-2</v>
      </c>
      <c r="W285" t="s">
        <v>33</v>
      </c>
      <c r="X285" t="s">
        <v>332</v>
      </c>
      <c r="Y285">
        <v>3</v>
      </c>
      <c r="Z285" t="str">
        <f>IF(Table1[[#This Row],[Month_No]]&lt;=6, "H1","H2")</f>
        <v>H1</v>
      </c>
    </row>
    <row r="286" spans="1:26" x14ac:dyDescent="0.25">
      <c r="A286" s="2">
        <v>45722</v>
      </c>
      <c r="B286" t="s">
        <v>361</v>
      </c>
      <c r="C286" t="s">
        <v>78</v>
      </c>
      <c r="D286" t="s">
        <v>44</v>
      </c>
      <c r="E286" t="s">
        <v>45</v>
      </c>
      <c r="F286" t="s">
        <v>52</v>
      </c>
      <c r="G286" t="s">
        <v>31</v>
      </c>
      <c r="H286" t="s">
        <v>59</v>
      </c>
      <c r="I286">
        <v>58</v>
      </c>
      <c r="J286" s="3">
        <v>4365.21</v>
      </c>
      <c r="K286" s="3">
        <f>Table1[[#This Row],[Quantity]]*Table1[[#This Row],[Unit_Price]]</f>
        <v>253182.18</v>
      </c>
      <c r="L286" s="3">
        <v>18446.45</v>
      </c>
      <c r="M286" s="3">
        <f>Table1[[#This Row],[Gross_Sales]]-Table1[[#This Row],[Discount]]</f>
        <v>234735.72999999998</v>
      </c>
      <c r="N286" s="3">
        <v>171837.15</v>
      </c>
      <c r="O286" s="3">
        <v>5910.68</v>
      </c>
      <c r="P286" s="3">
        <v>14612.18</v>
      </c>
      <c r="Q286" s="3">
        <v>11749.04</v>
      </c>
      <c r="R286" s="3">
        <v>7360.05</v>
      </c>
      <c r="S286" s="3">
        <f>SUM(Table1[[#This Row],[Product_Cost]:[Other_Cost]])</f>
        <v>211469.09999999998</v>
      </c>
      <c r="T286" s="3">
        <f>Table1[[#This Row],[Net_Sales]]-Table1[[#This Row],[Product_Cost]]</f>
        <v>62898.579999999987</v>
      </c>
      <c r="U286" s="3">
        <f>Table1[[#This Row],[Net_Sales]]-Table1[[#This Row],[Total_Cost]]</f>
        <v>23266.630000000005</v>
      </c>
      <c r="V286" s="4">
        <f>Table1[[#This Row],[Net_Profit]]/Table1[[#This Row],[Net_Sales]]</f>
        <v>9.9118400083361854E-2</v>
      </c>
      <c r="W286" t="s">
        <v>33</v>
      </c>
      <c r="X286" t="s">
        <v>332</v>
      </c>
      <c r="Y286">
        <v>3</v>
      </c>
      <c r="Z286" t="str">
        <f>IF(Table1[[#This Row],[Month_No]]&lt;=6, "H1","H2")</f>
        <v>H1</v>
      </c>
    </row>
    <row r="287" spans="1:26" x14ac:dyDescent="0.25">
      <c r="A287" s="2">
        <v>45723</v>
      </c>
      <c r="B287" t="s">
        <v>362</v>
      </c>
      <c r="C287" t="s">
        <v>70</v>
      </c>
      <c r="D287" t="s">
        <v>66</v>
      </c>
      <c r="E287" t="s">
        <v>51</v>
      </c>
      <c r="F287" t="s">
        <v>52</v>
      </c>
      <c r="G287" t="s">
        <v>71</v>
      </c>
      <c r="H287" t="s">
        <v>47</v>
      </c>
      <c r="I287">
        <v>86</v>
      </c>
      <c r="J287" s="3">
        <v>1482.37</v>
      </c>
      <c r="K287" s="3">
        <f>Table1[[#This Row],[Quantity]]*Table1[[#This Row],[Unit_Price]]</f>
        <v>127483.81999999999</v>
      </c>
      <c r="L287" s="3">
        <v>9575.02</v>
      </c>
      <c r="M287" s="3">
        <f>Table1[[#This Row],[Gross_Sales]]-Table1[[#This Row],[Discount]]</f>
        <v>117908.79999999999</v>
      </c>
      <c r="N287" s="3">
        <v>62845.97</v>
      </c>
      <c r="O287" s="3">
        <v>3118.5</v>
      </c>
      <c r="P287" s="3">
        <v>7695.44</v>
      </c>
      <c r="Q287" s="3">
        <v>6473.09</v>
      </c>
      <c r="R287" s="3">
        <v>2513.7600000000002</v>
      </c>
      <c r="S287" s="3">
        <f>SUM(Table1[[#This Row],[Product_Cost]:[Other_Cost]])</f>
        <v>82646.759999999995</v>
      </c>
      <c r="T287" s="3">
        <f>Table1[[#This Row],[Net_Sales]]-Table1[[#This Row],[Product_Cost]]</f>
        <v>55062.829999999987</v>
      </c>
      <c r="U287" s="3">
        <f>Table1[[#This Row],[Net_Sales]]-Table1[[#This Row],[Total_Cost]]</f>
        <v>35262.039999999994</v>
      </c>
      <c r="V287" s="4">
        <f>Table1[[#This Row],[Net_Profit]]/Table1[[#This Row],[Net_Sales]]</f>
        <v>0.2990619868915636</v>
      </c>
      <c r="W287" t="s">
        <v>33</v>
      </c>
      <c r="X287" t="s">
        <v>332</v>
      </c>
      <c r="Y287">
        <v>3</v>
      </c>
      <c r="Z287" t="str">
        <f>IF(Table1[[#This Row],[Month_No]]&lt;=6, "H1","H2")</f>
        <v>H1</v>
      </c>
    </row>
    <row r="288" spans="1:26" x14ac:dyDescent="0.25">
      <c r="A288" s="2">
        <v>45723</v>
      </c>
      <c r="B288" t="s">
        <v>363</v>
      </c>
      <c r="C288" t="s">
        <v>27</v>
      </c>
      <c r="D288" t="s">
        <v>68</v>
      </c>
      <c r="E288" t="s">
        <v>29</v>
      </c>
      <c r="F288" t="s">
        <v>46</v>
      </c>
      <c r="G288" t="s">
        <v>71</v>
      </c>
      <c r="H288" t="s">
        <v>41</v>
      </c>
      <c r="I288">
        <v>79</v>
      </c>
      <c r="J288" s="3">
        <v>372.1</v>
      </c>
      <c r="K288" s="3">
        <f>Table1[[#This Row],[Quantity]]*Table1[[#This Row],[Unit_Price]]</f>
        <v>29395.9</v>
      </c>
      <c r="L288" s="3">
        <v>1971.68</v>
      </c>
      <c r="M288" s="3">
        <f>Table1[[#This Row],[Gross_Sales]]-Table1[[#This Row],[Discount]]</f>
        <v>27424.22</v>
      </c>
      <c r="N288" s="3">
        <v>21134.33</v>
      </c>
      <c r="O288" s="3">
        <v>859.46</v>
      </c>
      <c r="P288" s="3">
        <v>1547.4</v>
      </c>
      <c r="Q288" s="3">
        <v>1463.4</v>
      </c>
      <c r="R288" s="3">
        <v>661.72</v>
      </c>
      <c r="S288" s="3">
        <f>SUM(Table1[[#This Row],[Product_Cost]:[Other_Cost]])</f>
        <v>25666.310000000005</v>
      </c>
      <c r="T288" s="3">
        <f>Table1[[#This Row],[Net_Sales]]-Table1[[#This Row],[Product_Cost]]</f>
        <v>6289.8899999999994</v>
      </c>
      <c r="U288" s="3">
        <f>Table1[[#This Row],[Net_Sales]]-Table1[[#This Row],[Total_Cost]]</f>
        <v>1757.9099999999962</v>
      </c>
      <c r="V288" s="4">
        <f>Table1[[#This Row],[Net_Profit]]/Table1[[#This Row],[Net_Sales]]</f>
        <v>6.410063804914036E-2</v>
      </c>
      <c r="W288" t="s">
        <v>33</v>
      </c>
      <c r="X288" t="s">
        <v>332</v>
      </c>
      <c r="Y288">
        <v>3</v>
      </c>
      <c r="Z288" t="str">
        <f>IF(Table1[[#This Row],[Month_No]]&lt;=6, "H1","H2")</f>
        <v>H1</v>
      </c>
    </row>
    <row r="289" spans="1:26" x14ac:dyDescent="0.25">
      <c r="A289" s="2">
        <v>45723</v>
      </c>
      <c r="B289" t="s">
        <v>364</v>
      </c>
      <c r="C289" t="s">
        <v>117</v>
      </c>
      <c r="D289" t="s">
        <v>66</v>
      </c>
      <c r="E289" t="s">
        <v>51</v>
      </c>
      <c r="F289" t="s">
        <v>39</v>
      </c>
      <c r="G289" t="s">
        <v>71</v>
      </c>
      <c r="H289" t="s">
        <v>47</v>
      </c>
      <c r="I289">
        <v>73</v>
      </c>
      <c r="J289" s="3">
        <v>1473.39</v>
      </c>
      <c r="K289" s="3">
        <f>Table1[[#This Row],[Quantity]]*Table1[[#This Row],[Unit_Price]]</f>
        <v>107557.47</v>
      </c>
      <c r="L289" s="3">
        <v>8815.44</v>
      </c>
      <c r="M289" s="3">
        <f>Table1[[#This Row],[Gross_Sales]]-Table1[[#This Row],[Discount]]</f>
        <v>98742.03</v>
      </c>
      <c r="N289" s="3">
        <v>55994.49</v>
      </c>
      <c r="O289" s="3">
        <v>4251.46</v>
      </c>
      <c r="P289" s="3">
        <v>6745.34</v>
      </c>
      <c r="Q289" s="3">
        <v>5259.44</v>
      </c>
      <c r="R289" s="3">
        <v>2477.67</v>
      </c>
      <c r="S289" s="3">
        <f>SUM(Table1[[#This Row],[Product_Cost]:[Other_Cost]])</f>
        <v>74728.399999999994</v>
      </c>
      <c r="T289" s="3">
        <f>Table1[[#This Row],[Net_Sales]]-Table1[[#This Row],[Product_Cost]]</f>
        <v>42747.54</v>
      </c>
      <c r="U289" s="3">
        <f>Table1[[#This Row],[Net_Sales]]-Table1[[#This Row],[Total_Cost]]</f>
        <v>24013.630000000005</v>
      </c>
      <c r="V289" s="4">
        <f>Table1[[#This Row],[Net_Profit]]/Table1[[#This Row],[Net_Sales]]</f>
        <v>0.243195628042081</v>
      </c>
      <c r="W289" t="s">
        <v>33</v>
      </c>
      <c r="X289" t="s">
        <v>332</v>
      </c>
      <c r="Y289">
        <v>3</v>
      </c>
      <c r="Z289" t="str">
        <f>IF(Table1[[#This Row],[Month_No]]&lt;=6, "H1","H2")</f>
        <v>H1</v>
      </c>
    </row>
    <row r="290" spans="1:26" x14ac:dyDescent="0.25">
      <c r="A290" s="2">
        <v>45724</v>
      </c>
      <c r="B290" t="s">
        <v>365</v>
      </c>
      <c r="C290" t="s">
        <v>36</v>
      </c>
      <c r="D290" t="s">
        <v>85</v>
      </c>
      <c r="E290" t="s">
        <v>57</v>
      </c>
      <c r="F290" t="s">
        <v>52</v>
      </c>
      <c r="G290" t="s">
        <v>71</v>
      </c>
      <c r="H290" t="s">
        <v>59</v>
      </c>
      <c r="I290">
        <v>60</v>
      </c>
      <c r="J290" s="3">
        <v>1784.41</v>
      </c>
      <c r="K290" s="3">
        <f>Table1[[#This Row],[Quantity]]*Table1[[#This Row],[Unit_Price]]</f>
        <v>107064.6</v>
      </c>
      <c r="L290" s="3">
        <v>9080.92</v>
      </c>
      <c r="M290" s="3">
        <f>Table1[[#This Row],[Gross_Sales]]-Table1[[#This Row],[Discount]]</f>
        <v>97983.680000000008</v>
      </c>
      <c r="N290" s="3">
        <v>66475.55</v>
      </c>
      <c r="O290" s="3">
        <v>2321.3000000000002</v>
      </c>
      <c r="P290" s="3">
        <v>6883.8</v>
      </c>
      <c r="Q290" s="3">
        <v>4150.66</v>
      </c>
      <c r="R290" s="3">
        <v>2997.18</v>
      </c>
      <c r="S290" s="3">
        <f>SUM(Table1[[#This Row],[Product_Cost]:[Other_Cost]])</f>
        <v>82828.490000000005</v>
      </c>
      <c r="T290" s="3">
        <f>Table1[[#This Row],[Net_Sales]]-Table1[[#This Row],[Product_Cost]]</f>
        <v>31508.130000000005</v>
      </c>
      <c r="U290" s="3">
        <f>Table1[[#This Row],[Net_Sales]]-Table1[[#This Row],[Total_Cost]]</f>
        <v>15155.190000000002</v>
      </c>
      <c r="V290" s="4">
        <f>Table1[[#This Row],[Net_Profit]]/Table1[[#This Row],[Net_Sales]]</f>
        <v>0.15467055330030471</v>
      </c>
      <c r="W290" t="s">
        <v>33</v>
      </c>
      <c r="X290" t="s">
        <v>332</v>
      </c>
      <c r="Y290">
        <v>3</v>
      </c>
      <c r="Z290" t="str">
        <f>IF(Table1[[#This Row],[Month_No]]&lt;=6, "H1","H2")</f>
        <v>H1</v>
      </c>
    </row>
    <row r="291" spans="1:26" x14ac:dyDescent="0.25">
      <c r="A291" s="2">
        <v>45725</v>
      </c>
      <c r="B291" t="s">
        <v>366</v>
      </c>
      <c r="C291" t="s">
        <v>117</v>
      </c>
      <c r="D291" t="s">
        <v>56</v>
      </c>
      <c r="E291" t="s">
        <v>57</v>
      </c>
      <c r="F291" t="s">
        <v>39</v>
      </c>
      <c r="G291" t="s">
        <v>76</v>
      </c>
      <c r="H291" t="s">
        <v>59</v>
      </c>
      <c r="I291">
        <v>92</v>
      </c>
      <c r="J291" s="3">
        <v>3030.26</v>
      </c>
      <c r="K291" s="3">
        <f>Table1[[#This Row],[Quantity]]*Table1[[#This Row],[Unit_Price]]</f>
        <v>278783.92000000004</v>
      </c>
      <c r="L291" s="3">
        <v>18230.97</v>
      </c>
      <c r="M291" s="3">
        <f>Table1[[#This Row],[Gross_Sales]]-Table1[[#This Row],[Discount]]</f>
        <v>260552.95000000004</v>
      </c>
      <c r="N291" s="3">
        <v>144823.79</v>
      </c>
      <c r="O291" s="3">
        <v>10443.6</v>
      </c>
      <c r="P291" s="3">
        <v>16046.42</v>
      </c>
      <c r="Q291" s="3">
        <v>13246.16</v>
      </c>
      <c r="R291" s="3">
        <v>6611</v>
      </c>
      <c r="S291" s="3">
        <f>SUM(Table1[[#This Row],[Product_Cost]:[Other_Cost]])</f>
        <v>191170.97000000003</v>
      </c>
      <c r="T291" s="3">
        <f>Table1[[#This Row],[Net_Sales]]-Table1[[#This Row],[Product_Cost]]</f>
        <v>115729.16000000003</v>
      </c>
      <c r="U291" s="3">
        <f>Table1[[#This Row],[Net_Sales]]-Table1[[#This Row],[Total_Cost]]</f>
        <v>69381.98000000001</v>
      </c>
      <c r="V291" s="4">
        <f>Table1[[#This Row],[Net_Profit]]/Table1[[#This Row],[Net_Sales]]</f>
        <v>0.26628744752266287</v>
      </c>
      <c r="W291" t="s">
        <v>33</v>
      </c>
      <c r="X291" t="s">
        <v>332</v>
      </c>
      <c r="Y291">
        <v>3</v>
      </c>
      <c r="Z291" t="str">
        <f>IF(Table1[[#This Row],[Month_No]]&lt;=6, "H1","H2")</f>
        <v>H1</v>
      </c>
    </row>
    <row r="292" spans="1:26" x14ac:dyDescent="0.25">
      <c r="A292" s="2">
        <v>45726</v>
      </c>
      <c r="B292" t="s">
        <v>367</v>
      </c>
      <c r="C292" t="s">
        <v>78</v>
      </c>
      <c r="D292" t="s">
        <v>37</v>
      </c>
      <c r="E292" t="s">
        <v>38</v>
      </c>
      <c r="F292" t="s">
        <v>46</v>
      </c>
      <c r="G292" t="s">
        <v>31</v>
      </c>
      <c r="H292" t="s">
        <v>41</v>
      </c>
      <c r="I292">
        <v>66</v>
      </c>
      <c r="J292" s="3">
        <v>4341.51</v>
      </c>
      <c r="K292" s="3">
        <f>Table1[[#This Row],[Quantity]]*Table1[[#This Row],[Unit_Price]]</f>
        <v>286539.66000000003</v>
      </c>
      <c r="L292" s="3">
        <v>27208.799999999999</v>
      </c>
      <c r="M292" s="3">
        <f>Table1[[#This Row],[Gross_Sales]]-Table1[[#This Row],[Discount]]</f>
        <v>259330.86000000004</v>
      </c>
      <c r="N292" s="3">
        <v>191114.1</v>
      </c>
      <c r="O292" s="3">
        <v>7842.93</v>
      </c>
      <c r="P292" s="3">
        <v>18928.349999999999</v>
      </c>
      <c r="Q292" s="3">
        <v>12257.51</v>
      </c>
      <c r="R292" s="3">
        <v>5283.07</v>
      </c>
      <c r="S292" s="3">
        <f>SUM(Table1[[#This Row],[Product_Cost]:[Other_Cost]])</f>
        <v>235425.96000000002</v>
      </c>
      <c r="T292" s="3">
        <f>Table1[[#This Row],[Net_Sales]]-Table1[[#This Row],[Product_Cost]]</f>
        <v>68216.760000000038</v>
      </c>
      <c r="U292" s="3">
        <f>Table1[[#This Row],[Net_Sales]]-Table1[[#This Row],[Total_Cost]]</f>
        <v>23904.900000000023</v>
      </c>
      <c r="V292" s="4">
        <f>Table1[[#This Row],[Net_Profit]]/Table1[[#This Row],[Net_Sales]]</f>
        <v>9.2179156772934853E-2</v>
      </c>
      <c r="W292" t="s">
        <v>33</v>
      </c>
      <c r="X292" t="s">
        <v>332</v>
      </c>
      <c r="Y292">
        <v>3</v>
      </c>
      <c r="Z292" t="str">
        <f>IF(Table1[[#This Row],[Month_No]]&lt;=6, "H1","H2")</f>
        <v>H1</v>
      </c>
    </row>
    <row r="293" spans="1:26" x14ac:dyDescent="0.25">
      <c r="A293" s="2">
        <v>45726</v>
      </c>
      <c r="B293" t="s">
        <v>368</v>
      </c>
      <c r="C293" t="s">
        <v>49</v>
      </c>
      <c r="D293" t="s">
        <v>44</v>
      </c>
      <c r="E293" t="s">
        <v>45</v>
      </c>
      <c r="F293" t="s">
        <v>46</v>
      </c>
      <c r="G293" t="s">
        <v>40</v>
      </c>
      <c r="H293" t="s">
        <v>59</v>
      </c>
      <c r="I293">
        <v>68</v>
      </c>
      <c r="J293" s="3">
        <v>4414.2299999999996</v>
      </c>
      <c r="K293" s="3">
        <f>Table1[[#This Row],[Quantity]]*Table1[[#This Row],[Unit_Price]]</f>
        <v>300167.63999999996</v>
      </c>
      <c r="L293" s="3">
        <v>19725.62</v>
      </c>
      <c r="M293" s="3">
        <f>Table1[[#This Row],[Gross_Sales]]-Table1[[#This Row],[Discount]]</f>
        <v>280442.01999999996</v>
      </c>
      <c r="N293" s="3">
        <v>203490.76</v>
      </c>
      <c r="O293" s="3">
        <v>7993.37</v>
      </c>
      <c r="P293" s="3">
        <v>15452.41</v>
      </c>
      <c r="Q293" s="3">
        <v>9878.33</v>
      </c>
      <c r="R293" s="3">
        <v>6028.5</v>
      </c>
      <c r="S293" s="3">
        <f>SUM(Table1[[#This Row],[Product_Cost]:[Other_Cost]])</f>
        <v>242843.37</v>
      </c>
      <c r="T293" s="3">
        <f>Table1[[#This Row],[Net_Sales]]-Table1[[#This Row],[Product_Cost]]</f>
        <v>76951.259999999951</v>
      </c>
      <c r="U293" s="3">
        <f>Table1[[#This Row],[Net_Sales]]-Table1[[#This Row],[Total_Cost]]</f>
        <v>37598.649999999965</v>
      </c>
      <c r="V293" s="4">
        <f>Table1[[#This Row],[Net_Profit]]/Table1[[#This Row],[Net_Sales]]</f>
        <v>0.13406924540052867</v>
      </c>
      <c r="W293" t="s">
        <v>33</v>
      </c>
      <c r="X293" t="s">
        <v>332</v>
      </c>
      <c r="Y293">
        <v>3</v>
      </c>
      <c r="Z293" t="str">
        <f>IF(Table1[[#This Row],[Month_No]]&lt;=6, "H1","H2")</f>
        <v>H1</v>
      </c>
    </row>
    <row r="294" spans="1:26" x14ac:dyDescent="0.25">
      <c r="A294" s="2">
        <v>45726</v>
      </c>
      <c r="B294" t="s">
        <v>369</v>
      </c>
      <c r="C294" t="s">
        <v>107</v>
      </c>
      <c r="D294" t="s">
        <v>28</v>
      </c>
      <c r="E294" t="s">
        <v>29</v>
      </c>
      <c r="F294" t="s">
        <v>46</v>
      </c>
      <c r="G294" t="s">
        <v>58</v>
      </c>
      <c r="H294" t="s">
        <v>41</v>
      </c>
      <c r="I294">
        <v>56</v>
      </c>
      <c r="J294" s="3">
        <v>1156.02</v>
      </c>
      <c r="K294" s="3">
        <f>Table1[[#This Row],[Quantity]]*Table1[[#This Row],[Unit_Price]]</f>
        <v>64737.119999999995</v>
      </c>
      <c r="L294" s="3">
        <v>5269.87</v>
      </c>
      <c r="M294" s="3">
        <f>Table1[[#This Row],[Gross_Sales]]-Table1[[#This Row],[Discount]]</f>
        <v>59467.249999999993</v>
      </c>
      <c r="N294" s="3">
        <v>36691.43</v>
      </c>
      <c r="O294" s="3">
        <v>1919.09</v>
      </c>
      <c r="P294" s="3">
        <v>3455.23</v>
      </c>
      <c r="Q294" s="3">
        <v>2496.88</v>
      </c>
      <c r="R294" s="3">
        <v>1324.18</v>
      </c>
      <c r="S294" s="3">
        <f>SUM(Table1[[#This Row],[Product_Cost]:[Other_Cost]])</f>
        <v>45886.81</v>
      </c>
      <c r="T294" s="3">
        <f>Table1[[#This Row],[Net_Sales]]-Table1[[#This Row],[Product_Cost]]</f>
        <v>22775.819999999992</v>
      </c>
      <c r="U294" s="3">
        <f>Table1[[#This Row],[Net_Sales]]-Table1[[#This Row],[Total_Cost]]</f>
        <v>13580.439999999995</v>
      </c>
      <c r="V294" s="4">
        <f>Table1[[#This Row],[Net_Profit]]/Table1[[#This Row],[Net_Sales]]</f>
        <v>0.22836838764193731</v>
      </c>
      <c r="W294" t="s">
        <v>33</v>
      </c>
      <c r="X294" t="s">
        <v>332</v>
      </c>
      <c r="Y294">
        <v>3</v>
      </c>
      <c r="Z294" t="str">
        <f>IF(Table1[[#This Row],[Month_No]]&lt;=6, "H1","H2")</f>
        <v>H1</v>
      </c>
    </row>
    <row r="295" spans="1:26" x14ac:dyDescent="0.25">
      <c r="A295" s="2">
        <v>45726</v>
      </c>
      <c r="B295" t="s">
        <v>370</v>
      </c>
      <c r="C295" t="s">
        <v>49</v>
      </c>
      <c r="D295" t="s">
        <v>44</v>
      </c>
      <c r="E295" t="s">
        <v>45</v>
      </c>
      <c r="F295" t="s">
        <v>52</v>
      </c>
      <c r="G295" t="s">
        <v>31</v>
      </c>
      <c r="H295" t="s">
        <v>32</v>
      </c>
      <c r="I295">
        <v>67</v>
      </c>
      <c r="J295" s="3">
        <v>4308.8500000000004</v>
      </c>
      <c r="K295" s="3">
        <f>Table1[[#This Row],[Quantity]]*Table1[[#This Row],[Unit_Price]]</f>
        <v>288692.95</v>
      </c>
      <c r="L295" s="3">
        <v>21522.45</v>
      </c>
      <c r="M295" s="3">
        <f>Table1[[#This Row],[Gross_Sales]]-Table1[[#This Row],[Discount]]</f>
        <v>267170.5</v>
      </c>
      <c r="N295" s="3">
        <v>189372.63</v>
      </c>
      <c r="O295" s="3">
        <v>7286.59</v>
      </c>
      <c r="P295" s="3">
        <v>19305.79</v>
      </c>
      <c r="Q295" s="3">
        <v>9489.61</v>
      </c>
      <c r="R295" s="3">
        <v>8334.48</v>
      </c>
      <c r="S295" s="3">
        <f>SUM(Table1[[#This Row],[Product_Cost]:[Other_Cost]])</f>
        <v>233789.1</v>
      </c>
      <c r="T295" s="3">
        <f>Table1[[#This Row],[Net_Sales]]-Table1[[#This Row],[Product_Cost]]</f>
        <v>77797.87</v>
      </c>
      <c r="U295" s="3">
        <f>Table1[[#This Row],[Net_Sales]]-Table1[[#This Row],[Total_Cost]]</f>
        <v>33381.399999999994</v>
      </c>
      <c r="V295" s="4">
        <f>Table1[[#This Row],[Net_Profit]]/Table1[[#This Row],[Net_Sales]]</f>
        <v>0.12494418358314258</v>
      </c>
      <c r="W295" t="s">
        <v>72</v>
      </c>
      <c r="X295" t="s">
        <v>332</v>
      </c>
      <c r="Y295">
        <v>3</v>
      </c>
      <c r="Z295" t="str">
        <f>IF(Table1[[#This Row],[Month_No]]&lt;=6, "H1","H2")</f>
        <v>H1</v>
      </c>
    </row>
    <row r="296" spans="1:26" x14ac:dyDescent="0.25">
      <c r="A296" s="2">
        <v>45727</v>
      </c>
      <c r="B296" t="s">
        <v>371</v>
      </c>
      <c r="C296" t="s">
        <v>98</v>
      </c>
      <c r="D296" t="s">
        <v>68</v>
      </c>
      <c r="E296" t="s">
        <v>29</v>
      </c>
      <c r="F296" t="s">
        <v>30</v>
      </c>
      <c r="G296" t="s">
        <v>76</v>
      </c>
      <c r="H296" t="s">
        <v>41</v>
      </c>
      <c r="I296">
        <v>115</v>
      </c>
      <c r="J296" s="3">
        <v>349.83</v>
      </c>
      <c r="K296" s="3">
        <f>Table1[[#This Row],[Quantity]]*Table1[[#This Row],[Unit_Price]]</f>
        <v>40230.449999999997</v>
      </c>
      <c r="L296" s="3">
        <v>3299.74</v>
      </c>
      <c r="M296" s="3">
        <f>Table1[[#This Row],[Gross_Sales]]-Table1[[#This Row],[Discount]]</f>
        <v>36930.71</v>
      </c>
      <c r="N296" s="3">
        <v>28162.639999999999</v>
      </c>
      <c r="O296" s="3">
        <v>1211.9100000000001</v>
      </c>
      <c r="P296" s="3">
        <v>2554.23</v>
      </c>
      <c r="Q296" s="3">
        <v>1361.13</v>
      </c>
      <c r="R296" s="3">
        <v>937.25</v>
      </c>
      <c r="S296" s="3">
        <f>SUM(Table1[[#This Row],[Product_Cost]:[Other_Cost]])</f>
        <v>34227.159999999996</v>
      </c>
      <c r="T296" s="3">
        <f>Table1[[#This Row],[Net_Sales]]-Table1[[#This Row],[Product_Cost]]</f>
        <v>8768.07</v>
      </c>
      <c r="U296" s="3">
        <f>Table1[[#This Row],[Net_Sales]]-Table1[[#This Row],[Total_Cost]]</f>
        <v>2703.5500000000029</v>
      </c>
      <c r="V296" s="4">
        <f>Table1[[#This Row],[Net_Profit]]/Table1[[#This Row],[Net_Sales]]</f>
        <v>7.320601201547447E-2</v>
      </c>
      <c r="W296" t="s">
        <v>33</v>
      </c>
      <c r="X296" t="s">
        <v>332</v>
      </c>
      <c r="Y296">
        <v>3</v>
      </c>
      <c r="Z296" t="str">
        <f>IF(Table1[[#This Row],[Month_No]]&lt;=6, "H1","H2")</f>
        <v>H1</v>
      </c>
    </row>
    <row r="297" spans="1:26" x14ac:dyDescent="0.25">
      <c r="A297" s="2">
        <v>45727</v>
      </c>
      <c r="B297" t="s">
        <v>372</v>
      </c>
      <c r="C297" t="s">
        <v>36</v>
      </c>
      <c r="D297" t="s">
        <v>37</v>
      </c>
      <c r="E297" t="s">
        <v>38</v>
      </c>
      <c r="F297" t="s">
        <v>52</v>
      </c>
      <c r="G297" t="s">
        <v>71</v>
      </c>
      <c r="H297" t="s">
        <v>47</v>
      </c>
      <c r="I297">
        <v>76</v>
      </c>
      <c r="J297" s="3">
        <v>4423.66</v>
      </c>
      <c r="K297" s="3">
        <f>Table1[[#This Row],[Quantity]]*Table1[[#This Row],[Unit_Price]]</f>
        <v>336198.16</v>
      </c>
      <c r="L297" s="3">
        <v>26900.76</v>
      </c>
      <c r="M297" s="3">
        <f>Table1[[#This Row],[Gross_Sales]]-Table1[[#This Row],[Discount]]</f>
        <v>309297.39999999997</v>
      </c>
      <c r="N297" s="3">
        <v>227279.3</v>
      </c>
      <c r="O297" s="3">
        <v>8641.94</v>
      </c>
      <c r="P297" s="3">
        <v>22583.8</v>
      </c>
      <c r="Q297" s="3">
        <v>16017.22</v>
      </c>
      <c r="R297" s="3">
        <v>9536.5300000000007</v>
      </c>
      <c r="S297" s="3">
        <f>SUM(Table1[[#This Row],[Product_Cost]:[Other_Cost]])</f>
        <v>284058.78999999998</v>
      </c>
      <c r="T297" s="3">
        <f>Table1[[#This Row],[Net_Sales]]-Table1[[#This Row],[Product_Cost]]</f>
        <v>82018.099999999977</v>
      </c>
      <c r="U297" s="3">
        <f>Table1[[#This Row],[Net_Sales]]-Table1[[#This Row],[Total_Cost]]</f>
        <v>25238.609999999986</v>
      </c>
      <c r="V297" s="4">
        <f>Table1[[#This Row],[Net_Profit]]/Table1[[#This Row],[Net_Sales]]</f>
        <v>8.1599812995518189E-2</v>
      </c>
      <c r="W297" t="s">
        <v>72</v>
      </c>
      <c r="X297" t="s">
        <v>332</v>
      </c>
      <c r="Y297">
        <v>3</v>
      </c>
      <c r="Z297" t="str">
        <f>IF(Table1[[#This Row],[Month_No]]&lt;=6, "H1","H2")</f>
        <v>H1</v>
      </c>
    </row>
    <row r="298" spans="1:26" x14ac:dyDescent="0.25">
      <c r="A298" s="2">
        <v>45728</v>
      </c>
      <c r="B298" t="s">
        <v>373</v>
      </c>
      <c r="C298" t="s">
        <v>43</v>
      </c>
      <c r="D298" t="s">
        <v>44</v>
      </c>
      <c r="E298" t="s">
        <v>45</v>
      </c>
      <c r="F298" t="s">
        <v>46</v>
      </c>
      <c r="G298" t="s">
        <v>40</v>
      </c>
      <c r="H298" t="s">
        <v>47</v>
      </c>
      <c r="I298">
        <v>56</v>
      </c>
      <c r="J298" s="3">
        <v>4272.62</v>
      </c>
      <c r="K298" s="3">
        <f>Table1[[#This Row],[Quantity]]*Table1[[#This Row],[Unit_Price]]</f>
        <v>239266.72</v>
      </c>
      <c r="L298" s="3">
        <v>19103.18</v>
      </c>
      <c r="M298" s="3">
        <f>Table1[[#This Row],[Gross_Sales]]-Table1[[#This Row],[Discount]]</f>
        <v>220163.54</v>
      </c>
      <c r="N298" s="3">
        <v>153163.84</v>
      </c>
      <c r="O298" s="3">
        <v>6463.61</v>
      </c>
      <c r="P298" s="3">
        <v>14276.21</v>
      </c>
      <c r="Q298" s="3">
        <v>9006.49</v>
      </c>
      <c r="R298" s="3">
        <v>5397.74</v>
      </c>
      <c r="S298" s="3">
        <f>SUM(Table1[[#This Row],[Product_Cost]:[Other_Cost]])</f>
        <v>188307.88999999996</v>
      </c>
      <c r="T298" s="3">
        <f>Table1[[#This Row],[Net_Sales]]-Table1[[#This Row],[Product_Cost]]</f>
        <v>66999.700000000012</v>
      </c>
      <c r="U298" s="3">
        <f>Table1[[#This Row],[Net_Sales]]-Table1[[#This Row],[Total_Cost]]</f>
        <v>31855.650000000052</v>
      </c>
      <c r="V298" s="4">
        <f>Table1[[#This Row],[Net_Profit]]/Table1[[#This Row],[Net_Sales]]</f>
        <v>0.14469085117363234</v>
      </c>
      <c r="W298" t="s">
        <v>33</v>
      </c>
      <c r="X298" t="s">
        <v>332</v>
      </c>
      <c r="Y298">
        <v>3</v>
      </c>
      <c r="Z298" t="str">
        <f>IF(Table1[[#This Row],[Month_No]]&lt;=6, "H1","H2")</f>
        <v>H1</v>
      </c>
    </row>
    <row r="299" spans="1:26" x14ac:dyDescent="0.25">
      <c r="A299" s="2">
        <v>45728</v>
      </c>
      <c r="B299" t="s">
        <v>374</v>
      </c>
      <c r="C299" t="s">
        <v>107</v>
      </c>
      <c r="D299" t="s">
        <v>74</v>
      </c>
      <c r="E299" t="s">
        <v>75</v>
      </c>
      <c r="F299" t="s">
        <v>39</v>
      </c>
      <c r="G299" t="s">
        <v>61</v>
      </c>
      <c r="H299" t="s">
        <v>47</v>
      </c>
      <c r="I299">
        <v>82</v>
      </c>
      <c r="J299" s="3">
        <v>5221.5600000000004</v>
      </c>
      <c r="K299" s="3">
        <f>Table1[[#This Row],[Quantity]]*Table1[[#This Row],[Unit_Price]]</f>
        <v>428167.92000000004</v>
      </c>
      <c r="L299" s="3">
        <v>26200.81</v>
      </c>
      <c r="M299" s="3">
        <f>Table1[[#This Row],[Gross_Sales]]-Table1[[#This Row],[Discount]]</f>
        <v>401967.11000000004</v>
      </c>
      <c r="N299" s="3">
        <v>297263.73</v>
      </c>
      <c r="O299" s="3">
        <v>15597.37</v>
      </c>
      <c r="P299" s="3">
        <v>28781.58</v>
      </c>
      <c r="Q299" s="3">
        <v>16293</v>
      </c>
      <c r="R299" s="3">
        <v>10324.24</v>
      </c>
      <c r="S299" s="3">
        <f>SUM(Table1[[#This Row],[Product_Cost]:[Other_Cost]])</f>
        <v>368259.92</v>
      </c>
      <c r="T299" s="3">
        <f>Table1[[#This Row],[Net_Sales]]-Table1[[#This Row],[Product_Cost]]</f>
        <v>104703.38000000006</v>
      </c>
      <c r="U299" s="3">
        <f>Table1[[#This Row],[Net_Sales]]-Table1[[#This Row],[Total_Cost]]</f>
        <v>33707.190000000061</v>
      </c>
      <c r="V299" s="4">
        <f>Table1[[#This Row],[Net_Profit]]/Table1[[#This Row],[Net_Sales]]</f>
        <v>8.3855592065729095E-2</v>
      </c>
      <c r="W299" t="s">
        <v>33</v>
      </c>
      <c r="X299" t="s">
        <v>332</v>
      </c>
      <c r="Y299">
        <v>3</v>
      </c>
      <c r="Z299" t="str">
        <f>IF(Table1[[#This Row],[Month_No]]&lt;=6, "H1","H2")</f>
        <v>H1</v>
      </c>
    </row>
    <row r="300" spans="1:26" x14ac:dyDescent="0.25">
      <c r="A300" s="2">
        <v>45728</v>
      </c>
      <c r="B300" t="s">
        <v>375</v>
      </c>
      <c r="C300" t="s">
        <v>70</v>
      </c>
      <c r="D300" t="s">
        <v>68</v>
      </c>
      <c r="E300" t="s">
        <v>29</v>
      </c>
      <c r="F300" t="s">
        <v>52</v>
      </c>
      <c r="G300" t="s">
        <v>64</v>
      </c>
      <c r="H300" t="s">
        <v>41</v>
      </c>
      <c r="I300">
        <v>132</v>
      </c>
      <c r="J300" s="3">
        <v>371.21</v>
      </c>
      <c r="K300" s="3">
        <f>Table1[[#This Row],[Quantity]]*Table1[[#This Row],[Unit_Price]]</f>
        <v>48999.719999999994</v>
      </c>
      <c r="L300" s="3">
        <v>3692.74</v>
      </c>
      <c r="M300" s="3">
        <f>Table1[[#This Row],[Gross_Sales]]-Table1[[#This Row],[Discount]]</f>
        <v>45306.979999999996</v>
      </c>
      <c r="N300" s="3">
        <v>35662.06</v>
      </c>
      <c r="O300" s="3">
        <v>1261.22</v>
      </c>
      <c r="P300" s="3">
        <v>3183.82</v>
      </c>
      <c r="Q300" s="3">
        <v>1905.93</v>
      </c>
      <c r="R300" s="3">
        <v>972.35</v>
      </c>
      <c r="S300" s="3">
        <f>SUM(Table1[[#This Row],[Product_Cost]:[Other_Cost]])</f>
        <v>42985.38</v>
      </c>
      <c r="T300" s="3">
        <f>Table1[[#This Row],[Net_Sales]]-Table1[[#This Row],[Product_Cost]]</f>
        <v>9644.9199999999983</v>
      </c>
      <c r="U300" s="3">
        <f>Table1[[#This Row],[Net_Sales]]-Table1[[#This Row],[Total_Cost]]</f>
        <v>2321.5999999999985</v>
      </c>
      <c r="V300" s="4">
        <f>Table1[[#This Row],[Net_Profit]]/Table1[[#This Row],[Net_Sales]]</f>
        <v>5.1241552626107474E-2</v>
      </c>
      <c r="W300" t="s">
        <v>33</v>
      </c>
      <c r="X300" t="s">
        <v>332</v>
      </c>
      <c r="Y300">
        <v>3</v>
      </c>
      <c r="Z300" t="str">
        <f>IF(Table1[[#This Row],[Month_No]]&lt;=6, "H1","H2")</f>
        <v>H1</v>
      </c>
    </row>
    <row r="301" spans="1:26" x14ac:dyDescent="0.25">
      <c r="A301" s="2">
        <v>45728</v>
      </c>
      <c r="B301" t="s">
        <v>376</v>
      </c>
      <c r="C301" t="s">
        <v>27</v>
      </c>
      <c r="D301" t="s">
        <v>68</v>
      </c>
      <c r="E301" t="s">
        <v>29</v>
      </c>
      <c r="F301" t="s">
        <v>52</v>
      </c>
      <c r="G301" t="s">
        <v>64</v>
      </c>
      <c r="H301" t="s">
        <v>47</v>
      </c>
      <c r="I301">
        <v>146</v>
      </c>
      <c r="J301" s="3">
        <v>373.25</v>
      </c>
      <c r="K301" s="3">
        <f>Table1[[#This Row],[Quantity]]*Table1[[#This Row],[Unit_Price]]</f>
        <v>54494.5</v>
      </c>
      <c r="L301" s="3">
        <v>4576.7700000000004</v>
      </c>
      <c r="M301" s="3">
        <f>Table1[[#This Row],[Gross_Sales]]-Table1[[#This Row],[Discount]]</f>
        <v>49917.729999999996</v>
      </c>
      <c r="N301" s="3">
        <v>38142.82</v>
      </c>
      <c r="O301" s="3">
        <v>1305.29</v>
      </c>
      <c r="P301" s="3">
        <v>3564.67</v>
      </c>
      <c r="Q301" s="3">
        <v>2659.1</v>
      </c>
      <c r="R301" s="3">
        <v>1331.34</v>
      </c>
      <c r="S301" s="3">
        <f>SUM(Table1[[#This Row],[Product_Cost]:[Other_Cost]])</f>
        <v>47003.219999999994</v>
      </c>
      <c r="T301" s="3">
        <f>Table1[[#This Row],[Net_Sales]]-Table1[[#This Row],[Product_Cost]]</f>
        <v>11774.909999999996</v>
      </c>
      <c r="U301" s="3">
        <f>Table1[[#This Row],[Net_Sales]]-Table1[[#This Row],[Total_Cost]]</f>
        <v>2914.510000000002</v>
      </c>
      <c r="V301" s="4">
        <f>Table1[[#This Row],[Net_Profit]]/Table1[[#This Row],[Net_Sales]]</f>
        <v>5.8386268766628655E-2</v>
      </c>
      <c r="W301" t="s">
        <v>72</v>
      </c>
      <c r="X301" t="s">
        <v>332</v>
      </c>
      <c r="Y301">
        <v>3</v>
      </c>
      <c r="Z301" t="str">
        <f>IF(Table1[[#This Row],[Month_No]]&lt;=6, "H1","H2")</f>
        <v>H1</v>
      </c>
    </row>
    <row r="302" spans="1:26" x14ac:dyDescent="0.25">
      <c r="A302" s="2">
        <v>45729</v>
      </c>
      <c r="B302" t="s">
        <v>377</v>
      </c>
      <c r="C302" t="s">
        <v>107</v>
      </c>
      <c r="D302" t="s">
        <v>28</v>
      </c>
      <c r="E302" t="s">
        <v>29</v>
      </c>
      <c r="F302" t="s">
        <v>52</v>
      </c>
      <c r="G302" t="s">
        <v>40</v>
      </c>
      <c r="H302" t="s">
        <v>41</v>
      </c>
      <c r="I302">
        <v>80</v>
      </c>
      <c r="J302" s="3">
        <v>1173.48</v>
      </c>
      <c r="K302" s="3">
        <f>Table1[[#This Row],[Quantity]]*Table1[[#This Row],[Unit_Price]]</f>
        <v>93878.399999999994</v>
      </c>
      <c r="L302" s="3">
        <v>7984.23</v>
      </c>
      <c r="M302" s="3">
        <f>Table1[[#This Row],[Gross_Sales]]-Table1[[#This Row],[Discount]]</f>
        <v>85894.17</v>
      </c>
      <c r="N302" s="3">
        <v>51118.36</v>
      </c>
      <c r="O302" s="3">
        <v>2128.98</v>
      </c>
      <c r="P302" s="3">
        <v>4998.24</v>
      </c>
      <c r="Q302" s="3">
        <v>3701.33</v>
      </c>
      <c r="R302" s="3">
        <v>2432.89</v>
      </c>
      <c r="S302" s="3">
        <f>SUM(Table1[[#This Row],[Product_Cost]:[Other_Cost]])</f>
        <v>64379.8</v>
      </c>
      <c r="T302" s="3">
        <f>Table1[[#This Row],[Net_Sales]]-Table1[[#This Row],[Product_Cost]]</f>
        <v>34775.81</v>
      </c>
      <c r="U302" s="3">
        <f>Table1[[#This Row],[Net_Sales]]-Table1[[#This Row],[Total_Cost]]</f>
        <v>21514.369999999995</v>
      </c>
      <c r="V302" s="4">
        <f>Table1[[#This Row],[Net_Profit]]/Table1[[#This Row],[Net_Sales]]</f>
        <v>0.25047532329609795</v>
      </c>
      <c r="W302" t="s">
        <v>33</v>
      </c>
      <c r="X302" t="s">
        <v>332</v>
      </c>
      <c r="Y302">
        <v>3</v>
      </c>
      <c r="Z302" t="str">
        <f>IF(Table1[[#This Row],[Month_No]]&lt;=6, "H1","H2")</f>
        <v>H1</v>
      </c>
    </row>
    <row r="303" spans="1:26" x14ac:dyDescent="0.25">
      <c r="A303" s="2">
        <v>45730</v>
      </c>
      <c r="B303" t="s">
        <v>378</v>
      </c>
      <c r="C303" t="s">
        <v>55</v>
      </c>
      <c r="D303" t="s">
        <v>85</v>
      </c>
      <c r="E303" t="s">
        <v>57</v>
      </c>
      <c r="F303" t="s">
        <v>46</v>
      </c>
      <c r="G303" t="s">
        <v>31</v>
      </c>
      <c r="H303" t="s">
        <v>32</v>
      </c>
      <c r="I303">
        <v>60</v>
      </c>
      <c r="J303" s="3">
        <v>1793.51</v>
      </c>
      <c r="K303" s="3">
        <f>Table1[[#This Row],[Quantity]]*Table1[[#This Row],[Unit_Price]]</f>
        <v>107610.6</v>
      </c>
      <c r="L303" s="3">
        <v>8961.69</v>
      </c>
      <c r="M303" s="3">
        <f>Table1[[#This Row],[Gross_Sales]]-Table1[[#This Row],[Discount]]</f>
        <v>98648.91</v>
      </c>
      <c r="N303" s="3">
        <v>68597.67</v>
      </c>
      <c r="O303" s="3">
        <v>2841.86</v>
      </c>
      <c r="P303" s="3">
        <v>7158.96</v>
      </c>
      <c r="Q303" s="3">
        <v>3769.37</v>
      </c>
      <c r="R303" s="3">
        <v>3136.07</v>
      </c>
      <c r="S303" s="3">
        <f>SUM(Table1[[#This Row],[Product_Cost]:[Other_Cost]])</f>
        <v>85503.930000000008</v>
      </c>
      <c r="T303" s="3">
        <f>Table1[[#This Row],[Net_Sales]]-Table1[[#This Row],[Product_Cost]]</f>
        <v>30051.240000000005</v>
      </c>
      <c r="U303" s="3">
        <f>Table1[[#This Row],[Net_Sales]]-Table1[[#This Row],[Total_Cost]]</f>
        <v>13144.979999999996</v>
      </c>
      <c r="V303" s="4">
        <f>Table1[[#This Row],[Net_Profit]]/Table1[[#This Row],[Net_Sales]]</f>
        <v>0.13325012917020568</v>
      </c>
      <c r="W303" t="s">
        <v>33</v>
      </c>
      <c r="X303" t="s">
        <v>332</v>
      </c>
      <c r="Y303">
        <v>3</v>
      </c>
      <c r="Z303" t="str">
        <f>IF(Table1[[#This Row],[Month_No]]&lt;=6, "H1","H2")</f>
        <v>H1</v>
      </c>
    </row>
    <row r="304" spans="1:26" x14ac:dyDescent="0.25">
      <c r="A304" s="2">
        <v>45730</v>
      </c>
      <c r="B304" t="s">
        <v>379</v>
      </c>
      <c r="C304" t="s">
        <v>36</v>
      </c>
      <c r="D304" t="s">
        <v>74</v>
      </c>
      <c r="E304" t="s">
        <v>75</v>
      </c>
      <c r="F304" t="s">
        <v>52</v>
      </c>
      <c r="G304" t="s">
        <v>58</v>
      </c>
      <c r="H304" t="s">
        <v>47</v>
      </c>
      <c r="I304">
        <v>84</v>
      </c>
      <c r="J304" s="3">
        <v>5176.68</v>
      </c>
      <c r="K304" s="3">
        <f>Table1[[#This Row],[Quantity]]*Table1[[#This Row],[Unit_Price]]</f>
        <v>434841.12</v>
      </c>
      <c r="L304" s="3">
        <v>34492.06</v>
      </c>
      <c r="M304" s="3">
        <f>Table1[[#This Row],[Gross_Sales]]-Table1[[#This Row],[Discount]]</f>
        <v>400349.06</v>
      </c>
      <c r="N304" s="3">
        <v>311426.5</v>
      </c>
      <c r="O304" s="3">
        <v>11185.97</v>
      </c>
      <c r="P304" s="3">
        <v>24670.720000000001</v>
      </c>
      <c r="Q304" s="3">
        <v>17606.259999999998</v>
      </c>
      <c r="R304" s="3">
        <v>10544.89</v>
      </c>
      <c r="S304" s="3">
        <f>SUM(Table1[[#This Row],[Product_Cost]:[Other_Cost]])</f>
        <v>375434.33999999997</v>
      </c>
      <c r="T304" s="3">
        <f>Table1[[#This Row],[Net_Sales]]-Table1[[#This Row],[Product_Cost]]</f>
        <v>88922.559999999998</v>
      </c>
      <c r="U304" s="3">
        <f>Table1[[#This Row],[Net_Sales]]-Table1[[#This Row],[Total_Cost]]</f>
        <v>24914.72000000003</v>
      </c>
      <c r="V304" s="4">
        <f>Table1[[#This Row],[Net_Profit]]/Table1[[#This Row],[Net_Sales]]</f>
        <v>6.2232492815144938E-2</v>
      </c>
      <c r="W304" t="s">
        <v>33</v>
      </c>
      <c r="X304" t="s">
        <v>332</v>
      </c>
      <c r="Y304">
        <v>3</v>
      </c>
      <c r="Z304" t="str">
        <f>IF(Table1[[#This Row],[Month_No]]&lt;=6, "H1","H2")</f>
        <v>H1</v>
      </c>
    </row>
    <row r="305" spans="1:26" x14ac:dyDescent="0.25">
      <c r="A305" s="2">
        <v>45730</v>
      </c>
      <c r="B305" t="s">
        <v>380</v>
      </c>
      <c r="C305" t="s">
        <v>117</v>
      </c>
      <c r="D305" t="s">
        <v>44</v>
      </c>
      <c r="E305" t="s">
        <v>45</v>
      </c>
      <c r="F305" t="s">
        <v>52</v>
      </c>
      <c r="G305" t="s">
        <v>31</v>
      </c>
      <c r="H305" t="s">
        <v>59</v>
      </c>
      <c r="I305">
        <v>20</v>
      </c>
      <c r="J305" s="3">
        <v>4161.88</v>
      </c>
      <c r="K305" s="3">
        <f>Table1[[#This Row],[Quantity]]*Table1[[#This Row],[Unit_Price]]</f>
        <v>83237.600000000006</v>
      </c>
      <c r="L305" s="3">
        <v>6076.13</v>
      </c>
      <c r="M305" s="3">
        <f>Table1[[#This Row],[Gross_Sales]]-Table1[[#This Row],[Discount]]</f>
        <v>77161.47</v>
      </c>
      <c r="N305" s="3">
        <v>56875.48</v>
      </c>
      <c r="O305" s="3">
        <v>2197.84</v>
      </c>
      <c r="P305" s="3">
        <v>4578.88</v>
      </c>
      <c r="Q305" s="3">
        <v>3613.96</v>
      </c>
      <c r="R305" s="3">
        <v>1577.41</v>
      </c>
      <c r="S305" s="3">
        <f>SUM(Table1[[#This Row],[Product_Cost]:[Other_Cost]])</f>
        <v>68843.570000000007</v>
      </c>
      <c r="T305" s="3">
        <f>Table1[[#This Row],[Net_Sales]]-Table1[[#This Row],[Product_Cost]]</f>
        <v>20285.989999999998</v>
      </c>
      <c r="U305" s="3">
        <f>Table1[[#This Row],[Net_Sales]]-Table1[[#This Row],[Total_Cost]]</f>
        <v>8317.8999999999942</v>
      </c>
      <c r="V305" s="4">
        <f>Table1[[#This Row],[Net_Profit]]/Table1[[#This Row],[Net_Sales]]</f>
        <v>0.10779862021809582</v>
      </c>
      <c r="W305" t="s">
        <v>72</v>
      </c>
      <c r="X305" t="s">
        <v>332</v>
      </c>
      <c r="Y305">
        <v>3</v>
      </c>
      <c r="Z305" t="str">
        <f>IF(Table1[[#This Row],[Month_No]]&lt;=6, "H1","H2")</f>
        <v>H1</v>
      </c>
    </row>
    <row r="306" spans="1:26" x14ac:dyDescent="0.25">
      <c r="A306" s="2">
        <v>45730</v>
      </c>
      <c r="B306" t="s">
        <v>381</v>
      </c>
      <c r="C306" t="s">
        <v>117</v>
      </c>
      <c r="D306" t="s">
        <v>66</v>
      </c>
      <c r="E306" t="s">
        <v>51</v>
      </c>
      <c r="F306" t="s">
        <v>30</v>
      </c>
      <c r="G306" t="s">
        <v>61</v>
      </c>
      <c r="H306" t="s">
        <v>32</v>
      </c>
      <c r="I306">
        <v>66</v>
      </c>
      <c r="J306" s="3">
        <v>1476.56</v>
      </c>
      <c r="K306" s="3">
        <f>Table1[[#This Row],[Quantity]]*Table1[[#This Row],[Unit_Price]]</f>
        <v>97452.959999999992</v>
      </c>
      <c r="L306" s="3">
        <v>6973.51</v>
      </c>
      <c r="M306" s="3">
        <f>Table1[[#This Row],[Gross_Sales]]-Table1[[#This Row],[Discount]]</f>
        <v>90479.45</v>
      </c>
      <c r="N306" s="3">
        <v>50579.08</v>
      </c>
      <c r="O306" s="3">
        <v>2993.95</v>
      </c>
      <c r="P306" s="3">
        <v>6396.78</v>
      </c>
      <c r="Q306" s="3">
        <v>3974.03</v>
      </c>
      <c r="R306" s="3">
        <v>2157.8000000000002</v>
      </c>
      <c r="S306" s="3">
        <f>SUM(Table1[[#This Row],[Product_Cost]:[Other_Cost]])</f>
        <v>66101.64</v>
      </c>
      <c r="T306" s="3">
        <f>Table1[[#This Row],[Net_Sales]]-Table1[[#This Row],[Product_Cost]]</f>
        <v>39900.369999999995</v>
      </c>
      <c r="U306" s="3">
        <f>Table1[[#This Row],[Net_Sales]]-Table1[[#This Row],[Total_Cost]]</f>
        <v>24377.809999999998</v>
      </c>
      <c r="V306" s="4">
        <f>Table1[[#This Row],[Net_Profit]]/Table1[[#This Row],[Net_Sales]]</f>
        <v>0.2694292460884764</v>
      </c>
      <c r="W306" t="s">
        <v>33</v>
      </c>
      <c r="X306" t="s">
        <v>332</v>
      </c>
      <c r="Y306">
        <v>3</v>
      </c>
      <c r="Z306" t="str">
        <f>IF(Table1[[#This Row],[Month_No]]&lt;=6, "H1","H2")</f>
        <v>H1</v>
      </c>
    </row>
    <row r="307" spans="1:26" x14ac:dyDescent="0.25">
      <c r="A307" s="2">
        <v>45730</v>
      </c>
      <c r="B307" t="s">
        <v>382</v>
      </c>
      <c r="C307" t="s">
        <v>70</v>
      </c>
      <c r="D307" t="s">
        <v>74</v>
      </c>
      <c r="E307" t="s">
        <v>75</v>
      </c>
      <c r="F307" t="s">
        <v>52</v>
      </c>
      <c r="G307" t="s">
        <v>76</v>
      </c>
      <c r="H307" t="s">
        <v>59</v>
      </c>
      <c r="I307">
        <v>61</v>
      </c>
      <c r="J307" s="3">
        <v>5463.73</v>
      </c>
      <c r="K307" s="3">
        <f>Table1[[#This Row],[Quantity]]*Table1[[#This Row],[Unit_Price]]</f>
        <v>333287.52999999997</v>
      </c>
      <c r="L307" s="3">
        <v>20542.689999999999</v>
      </c>
      <c r="M307" s="3">
        <f>Table1[[#This Row],[Gross_Sales]]-Table1[[#This Row],[Discount]]</f>
        <v>312744.83999999997</v>
      </c>
      <c r="N307" s="3">
        <v>231610.11</v>
      </c>
      <c r="O307" s="3">
        <v>7376.67</v>
      </c>
      <c r="P307" s="3">
        <v>22504.81</v>
      </c>
      <c r="Q307" s="3">
        <v>15710.32</v>
      </c>
      <c r="R307" s="3">
        <v>6760.15</v>
      </c>
      <c r="S307" s="3">
        <f>SUM(Table1[[#This Row],[Product_Cost]:[Other_Cost]])</f>
        <v>283962.06</v>
      </c>
      <c r="T307" s="3">
        <f>Table1[[#This Row],[Net_Sales]]-Table1[[#This Row],[Product_Cost]]</f>
        <v>81134.729999999981</v>
      </c>
      <c r="U307" s="3">
        <f>Table1[[#This Row],[Net_Sales]]-Table1[[#This Row],[Total_Cost]]</f>
        <v>28782.77999999997</v>
      </c>
      <c r="V307" s="4">
        <f>Table1[[#This Row],[Net_Profit]]/Table1[[#This Row],[Net_Sales]]</f>
        <v>9.2032789413887608E-2</v>
      </c>
      <c r="W307" t="s">
        <v>33</v>
      </c>
      <c r="X307" t="s">
        <v>332</v>
      </c>
      <c r="Y307">
        <v>3</v>
      </c>
      <c r="Z307" t="str">
        <f>IF(Table1[[#This Row],[Month_No]]&lt;=6, "H1","H2")</f>
        <v>H1</v>
      </c>
    </row>
    <row r="308" spans="1:26" x14ac:dyDescent="0.25">
      <c r="A308" s="2">
        <v>45731</v>
      </c>
      <c r="B308" t="s">
        <v>383</v>
      </c>
      <c r="C308" t="s">
        <v>70</v>
      </c>
      <c r="D308" t="s">
        <v>100</v>
      </c>
      <c r="E308" t="s">
        <v>75</v>
      </c>
      <c r="F308" t="s">
        <v>30</v>
      </c>
      <c r="G308" t="s">
        <v>86</v>
      </c>
      <c r="H308" t="s">
        <v>59</v>
      </c>
      <c r="I308">
        <v>49</v>
      </c>
      <c r="J308" s="3">
        <v>6572.56</v>
      </c>
      <c r="K308" s="3">
        <f>Table1[[#This Row],[Quantity]]*Table1[[#This Row],[Unit_Price]]</f>
        <v>322055.44</v>
      </c>
      <c r="L308" s="3">
        <v>25095.57</v>
      </c>
      <c r="M308" s="3">
        <f>Table1[[#This Row],[Gross_Sales]]-Table1[[#This Row],[Discount]]</f>
        <v>296959.87</v>
      </c>
      <c r="N308" s="3">
        <v>175781.03</v>
      </c>
      <c r="O308" s="3">
        <v>10470.030000000001</v>
      </c>
      <c r="P308" s="3">
        <v>16810.77</v>
      </c>
      <c r="Q308" s="3">
        <v>15544.83</v>
      </c>
      <c r="R308" s="3">
        <v>9360.02</v>
      </c>
      <c r="S308" s="3">
        <f>SUM(Table1[[#This Row],[Product_Cost]:[Other_Cost]])</f>
        <v>227966.67999999996</v>
      </c>
      <c r="T308" s="3">
        <f>Table1[[#This Row],[Net_Sales]]-Table1[[#This Row],[Product_Cost]]</f>
        <v>121178.84</v>
      </c>
      <c r="U308" s="3">
        <f>Table1[[#This Row],[Net_Sales]]-Table1[[#This Row],[Total_Cost]]</f>
        <v>68993.190000000031</v>
      </c>
      <c r="V308" s="4">
        <f>Table1[[#This Row],[Net_Profit]]/Table1[[#This Row],[Net_Sales]]</f>
        <v>0.23233169518830957</v>
      </c>
      <c r="W308" t="s">
        <v>33</v>
      </c>
      <c r="X308" t="s">
        <v>332</v>
      </c>
      <c r="Y308">
        <v>3</v>
      </c>
      <c r="Z308" t="str">
        <f>IF(Table1[[#This Row],[Month_No]]&lt;=6, "H1","H2")</f>
        <v>H1</v>
      </c>
    </row>
    <row r="309" spans="1:26" x14ac:dyDescent="0.25">
      <c r="A309" s="2">
        <v>45731</v>
      </c>
      <c r="B309" t="s">
        <v>384</v>
      </c>
      <c r="C309" t="s">
        <v>83</v>
      </c>
      <c r="D309" t="s">
        <v>50</v>
      </c>
      <c r="E309" t="s">
        <v>51</v>
      </c>
      <c r="F309" t="s">
        <v>52</v>
      </c>
      <c r="G309" t="s">
        <v>61</v>
      </c>
      <c r="H309" t="s">
        <v>47</v>
      </c>
      <c r="I309">
        <v>21</v>
      </c>
      <c r="J309" s="3">
        <v>793.24</v>
      </c>
      <c r="K309" s="3">
        <f>Table1[[#This Row],[Quantity]]*Table1[[#This Row],[Unit_Price]]</f>
        <v>16658.04</v>
      </c>
      <c r="L309" s="3">
        <v>1214.0899999999999</v>
      </c>
      <c r="M309" s="3">
        <f>Table1[[#This Row],[Gross_Sales]]-Table1[[#This Row],[Discount]]</f>
        <v>15443.95</v>
      </c>
      <c r="N309" s="3">
        <v>10159.09</v>
      </c>
      <c r="O309" s="3">
        <v>420.26</v>
      </c>
      <c r="P309" s="3">
        <v>1038.06</v>
      </c>
      <c r="Q309" s="3">
        <v>776.96</v>
      </c>
      <c r="R309" s="3">
        <v>382.34</v>
      </c>
      <c r="S309" s="3">
        <f>SUM(Table1[[#This Row],[Product_Cost]:[Other_Cost]])</f>
        <v>12776.71</v>
      </c>
      <c r="T309" s="3">
        <f>Table1[[#This Row],[Net_Sales]]-Table1[[#This Row],[Product_Cost]]</f>
        <v>5284.8600000000006</v>
      </c>
      <c r="U309" s="3">
        <f>Table1[[#This Row],[Net_Sales]]-Table1[[#This Row],[Total_Cost]]</f>
        <v>2667.2400000000016</v>
      </c>
      <c r="V309" s="4">
        <f>Table1[[#This Row],[Net_Profit]]/Table1[[#This Row],[Net_Sales]]</f>
        <v>0.17270452183541138</v>
      </c>
      <c r="W309" t="s">
        <v>33</v>
      </c>
      <c r="X309" t="s">
        <v>332</v>
      </c>
      <c r="Y309">
        <v>3</v>
      </c>
      <c r="Z309" t="str">
        <f>IF(Table1[[#This Row],[Month_No]]&lt;=6, "H1","H2")</f>
        <v>H1</v>
      </c>
    </row>
    <row r="310" spans="1:26" x14ac:dyDescent="0.25">
      <c r="A310" s="2">
        <v>45731</v>
      </c>
      <c r="B310" t="s">
        <v>385</v>
      </c>
      <c r="C310" t="s">
        <v>27</v>
      </c>
      <c r="D310" t="s">
        <v>28</v>
      </c>
      <c r="E310" t="s">
        <v>29</v>
      </c>
      <c r="F310" t="s">
        <v>52</v>
      </c>
      <c r="G310" t="s">
        <v>64</v>
      </c>
      <c r="H310" t="s">
        <v>47</v>
      </c>
      <c r="I310">
        <v>59</v>
      </c>
      <c r="J310" s="3">
        <v>1161.23</v>
      </c>
      <c r="K310" s="3">
        <f>Table1[[#This Row],[Quantity]]*Table1[[#This Row],[Unit_Price]]</f>
        <v>68512.570000000007</v>
      </c>
      <c r="L310" s="3">
        <v>5226.7299999999996</v>
      </c>
      <c r="M310" s="3">
        <f>Table1[[#This Row],[Gross_Sales]]-Table1[[#This Row],[Discount]]</f>
        <v>63285.840000000011</v>
      </c>
      <c r="N310" s="3">
        <v>37538.239999999998</v>
      </c>
      <c r="O310" s="3">
        <v>1679.75</v>
      </c>
      <c r="P310" s="3">
        <v>4331.3900000000003</v>
      </c>
      <c r="Q310" s="3">
        <v>2646.25</v>
      </c>
      <c r="R310" s="3">
        <v>1793.79</v>
      </c>
      <c r="S310" s="3">
        <f>SUM(Table1[[#This Row],[Product_Cost]:[Other_Cost]])</f>
        <v>47989.42</v>
      </c>
      <c r="T310" s="3">
        <f>Table1[[#This Row],[Net_Sales]]-Table1[[#This Row],[Product_Cost]]</f>
        <v>25747.600000000013</v>
      </c>
      <c r="U310" s="3">
        <f>Table1[[#This Row],[Net_Sales]]-Table1[[#This Row],[Total_Cost]]</f>
        <v>15296.420000000013</v>
      </c>
      <c r="V310" s="4">
        <f>Table1[[#This Row],[Net_Profit]]/Table1[[#This Row],[Net_Sales]]</f>
        <v>0.24170367336516368</v>
      </c>
      <c r="W310" t="s">
        <v>72</v>
      </c>
      <c r="X310" t="s">
        <v>332</v>
      </c>
      <c r="Y310">
        <v>3</v>
      </c>
      <c r="Z310" t="str">
        <f>IF(Table1[[#This Row],[Month_No]]&lt;=6, "H1","H2")</f>
        <v>H1</v>
      </c>
    </row>
    <row r="311" spans="1:26" x14ac:dyDescent="0.25">
      <c r="A311" s="2">
        <v>45731</v>
      </c>
      <c r="B311" t="s">
        <v>386</v>
      </c>
      <c r="C311" t="s">
        <v>83</v>
      </c>
      <c r="D311" t="s">
        <v>100</v>
      </c>
      <c r="E311" t="s">
        <v>75</v>
      </c>
      <c r="F311" t="s">
        <v>39</v>
      </c>
      <c r="G311" t="s">
        <v>40</v>
      </c>
      <c r="H311" t="s">
        <v>59</v>
      </c>
      <c r="I311">
        <v>21</v>
      </c>
      <c r="J311" s="3">
        <v>6762.52</v>
      </c>
      <c r="K311" s="3">
        <f>Table1[[#This Row],[Quantity]]*Table1[[#This Row],[Unit_Price]]</f>
        <v>142012.92000000001</v>
      </c>
      <c r="L311" s="3">
        <v>10573.27</v>
      </c>
      <c r="M311" s="3">
        <f>Table1[[#This Row],[Gross_Sales]]-Table1[[#This Row],[Discount]]</f>
        <v>131439.65000000002</v>
      </c>
      <c r="N311" s="3">
        <v>82341.56</v>
      </c>
      <c r="O311" s="3">
        <v>5919.21</v>
      </c>
      <c r="P311" s="3">
        <v>8990.57</v>
      </c>
      <c r="Q311" s="3">
        <v>4711.37</v>
      </c>
      <c r="R311" s="3">
        <v>4000.36</v>
      </c>
      <c r="S311" s="3">
        <f>SUM(Table1[[#This Row],[Product_Cost]:[Other_Cost]])</f>
        <v>105963.06999999999</v>
      </c>
      <c r="T311" s="3">
        <f>Table1[[#This Row],[Net_Sales]]-Table1[[#This Row],[Product_Cost]]</f>
        <v>49098.090000000026</v>
      </c>
      <c r="U311" s="3">
        <f>Table1[[#This Row],[Net_Sales]]-Table1[[#This Row],[Total_Cost]]</f>
        <v>25476.580000000031</v>
      </c>
      <c r="V311" s="4">
        <f>Table1[[#This Row],[Net_Profit]]/Table1[[#This Row],[Net_Sales]]</f>
        <v>0.19382720510896084</v>
      </c>
      <c r="W311" t="s">
        <v>33</v>
      </c>
      <c r="X311" t="s">
        <v>332</v>
      </c>
      <c r="Y311">
        <v>3</v>
      </c>
      <c r="Z311" t="str">
        <f>IF(Table1[[#This Row],[Month_No]]&lt;=6, "H1","H2")</f>
        <v>H1</v>
      </c>
    </row>
    <row r="312" spans="1:26" x14ac:dyDescent="0.25">
      <c r="A312" s="2">
        <v>45731</v>
      </c>
      <c r="B312" t="s">
        <v>387</v>
      </c>
      <c r="C312" t="s">
        <v>117</v>
      </c>
      <c r="D312" t="s">
        <v>50</v>
      </c>
      <c r="E312" t="s">
        <v>51</v>
      </c>
      <c r="F312" t="s">
        <v>30</v>
      </c>
      <c r="G312" t="s">
        <v>31</v>
      </c>
      <c r="H312" t="s">
        <v>41</v>
      </c>
      <c r="I312">
        <v>88</v>
      </c>
      <c r="J312" s="3">
        <v>855.69</v>
      </c>
      <c r="K312" s="3">
        <f>Table1[[#This Row],[Quantity]]*Table1[[#This Row],[Unit_Price]]</f>
        <v>75300.72</v>
      </c>
      <c r="L312" s="3">
        <v>5529.4</v>
      </c>
      <c r="M312" s="3">
        <f>Table1[[#This Row],[Gross_Sales]]-Table1[[#This Row],[Discount]]</f>
        <v>69771.320000000007</v>
      </c>
      <c r="N312" s="3">
        <v>45458.54</v>
      </c>
      <c r="O312" s="3">
        <v>2756.61</v>
      </c>
      <c r="P312" s="3">
        <v>5037.1000000000004</v>
      </c>
      <c r="Q312" s="3">
        <v>2550.69</v>
      </c>
      <c r="R312" s="3">
        <v>1732.05</v>
      </c>
      <c r="S312" s="3">
        <f>SUM(Table1[[#This Row],[Product_Cost]:[Other_Cost]])</f>
        <v>57534.990000000005</v>
      </c>
      <c r="T312" s="3">
        <f>Table1[[#This Row],[Net_Sales]]-Table1[[#This Row],[Product_Cost]]</f>
        <v>24312.780000000006</v>
      </c>
      <c r="U312" s="3">
        <f>Table1[[#This Row],[Net_Sales]]-Table1[[#This Row],[Total_Cost]]</f>
        <v>12236.330000000002</v>
      </c>
      <c r="V312" s="4">
        <f>Table1[[#This Row],[Net_Profit]]/Table1[[#This Row],[Net_Sales]]</f>
        <v>0.17537764800780609</v>
      </c>
      <c r="W312" t="s">
        <v>33</v>
      </c>
      <c r="X312" t="s">
        <v>332</v>
      </c>
      <c r="Y312">
        <v>3</v>
      </c>
      <c r="Z312" t="str">
        <f>IF(Table1[[#This Row],[Month_No]]&lt;=6, "H1","H2")</f>
        <v>H1</v>
      </c>
    </row>
    <row r="313" spans="1:26" x14ac:dyDescent="0.25">
      <c r="A313" s="2">
        <v>45732</v>
      </c>
      <c r="B313" t="s">
        <v>388</v>
      </c>
      <c r="C313" t="s">
        <v>43</v>
      </c>
      <c r="D313" t="s">
        <v>56</v>
      </c>
      <c r="E313" t="s">
        <v>57</v>
      </c>
      <c r="F313" t="s">
        <v>52</v>
      </c>
      <c r="G313" t="s">
        <v>58</v>
      </c>
      <c r="H313" t="s">
        <v>41</v>
      </c>
      <c r="I313">
        <v>71</v>
      </c>
      <c r="J313" s="3">
        <v>3013.32</v>
      </c>
      <c r="K313" s="3">
        <f>Table1[[#This Row],[Quantity]]*Table1[[#This Row],[Unit_Price]]</f>
        <v>213945.72</v>
      </c>
      <c r="L313" s="3">
        <v>17562.28</v>
      </c>
      <c r="M313" s="3">
        <f>Table1[[#This Row],[Gross_Sales]]-Table1[[#This Row],[Discount]]</f>
        <v>196383.44</v>
      </c>
      <c r="N313" s="3">
        <v>109186.81</v>
      </c>
      <c r="O313" s="3">
        <v>4690.67</v>
      </c>
      <c r="P313" s="3">
        <v>13505.19</v>
      </c>
      <c r="Q313" s="3">
        <v>10412.86</v>
      </c>
      <c r="R313" s="3">
        <v>5559.9</v>
      </c>
      <c r="S313" s="3">
        <f>SUM(Table1[[#This Row],[Product_Cost]:[Other_Cost]])</f>
        <v>143355.43</v>
      </c>
      <c r="T313" s="3">
        <f>Table1[[#This Row],[Net_Sales]]-Table1[[#This Row],[Product_Cost]]</f>
        <v>87196.63</v>
      </c>
      <c r="U313" s="3">
        <f>Table1[[#This Row],[Net_Sales]]-Table1[[#This Row],[Total_Cost]]</f>
        <v>53028.010000000009</v>
      </c>
      <c r="V313" s="4">
        <f>Table1[[#This Row],[Net_Profit]]/Table1[[#This Row],[Net_Sales]]</f>
        <v>0.2700228186246254</v>
      </c>
      <c r="W313" t="s">
        <v>33</v>
      </c>
      <c r="X313" t="s">
        <v>332</v>
      </c>
      <c r="Y313">
        <v>3</v>
      </c>
      <c r="Z313" t="str">
        <f>IF(Table1[[#This Row],[Month_No]]&lt;=6, "H1","H2")</f>
        <v>H1</v>
      </c>
    </row>
    <row r="314" spans="1:26" x14ac:dyDescent="0.25">
      <c r="A314" s="2">
        <v>45732</v>
      </c>
      <c r="B314" t="s">
        <v>389</v>
      </c>
      <c r="C314" t="s">
        <v>117</v>
      </c>
      <c r="D314" t="s">
        <v>100</v>
      </c>
      <c r="E314" t="s">
        <v>75</v>
      </c>
      <c r="F314" t="s">
        <v>30</v>
      </c>
      <c r="G314" t="s">
        <v>31</v>
      </c>
      <c r="H314" t="s">
        <v>59</v>
      </c>
      <c r="I314">
        <v>71</v>
      </c>
      <c r="J314" s="3">
        <v>6893.99</v>
      </c>
      <c r="K314" s="3">
        <f>Table1[[#This Row],[Quantity]]*Table1[[#This Row],[Unit_Price]]</f>
        <v>489473.29</v>
      </c>
      <c r="L314" s="3">
        <v>32732.91</v>
      </c>
      <c r="M314" s="3">
        <f>Table1[[#This Row],[Gross_Sales]]-Table1[[#This Row],[Discount]]</f>
        <v>456740.38</v>
      </c>
      <c r="N314" s="3">
        <v>287962.62</v>
      </c>
      <c r="O314" s="3">
        <v>15728.59</v>
      </c>
      <c r="P314" s="3">
        <v>25259.46</v>
      </c>
      <c r="Q314" s="3">
        <v>21134.77</v>
      </c>
      <c r="R314" s="3">
        <v>11072.11</v>
      </c>
      <c r="S314" s="3">
        <f>SUM(Table1[[#This Row],[Product_Cost]:[Other_Cost]])</f>
        <v>361157.55000000005</v>
      </c>
      <c r="T314" s="3">
        <f>Table1[[#This Row],[Net_Sales]]-Table1[[#This Row],[Product_Cost]]</f>
        <v>168777.76</v>
      </c>
      <c r="U314" s="3">
        <f>Table1[[#This Row],[Net_Sales]]-Table1[[#This Row],[Total_Cost]]</f>
        <v>95582.829999999958</v>
      </c>
      <c r="V314" s="4">
        <f>Table1[[#This Row],[Net_Profit]]/Table1[[#This Row],[Net_Sales]]</f>
        <v>0.20927168734238027</v>
      </c>
      <c r="W314" t="s">
        <v>33</v>
      </c>
      <c r="X314" t="s">
        <v>332</v>
      </c>
      <c r="Y314">
        <v>3</v>
      </c>
      <c r="Z314" t="str">
        <f>IF(Table1[[#This Row],[Month_No]]&lt;=6, "H1","H2")</f>
        <v>H1</v>
      </c>
    </row>
    <row r="315" spans="1:26" x14ac:dyDescent="0.25">
      <c r="A315" s="2">
        <v>45733</v>
      </c>
      <c r="B315" t="s">
        <v>390</v>
      </c>
      <c r="C315" t="s">
        <v>70</v>
      </c>
      <c r="D315" t="s">
        <v>68</v>
      </c>
      <c r="E315" t="s">
        <v>29</v>
      </c>
      <c r="F315" t="s">
        <v>30</v>
      </c>
      <c r="G315" t="s">
        <v>31</v>
      </c>
      <c r="H315" t="s">
        <v>41</v>
      </c>
      <c r="I315">
        <v>148</v>
      </c>
      <c r="J315" s="3">
        <v>371.93</v>
      </c>
      <c r="K315" s="3">
        <f>Table1[[#This Row],[Quantity]]*Table1[[#This Row],[Unit_Price]]</f>
        <v>55045.64</v>
      </c>
      <c r="L315" s="3">
        <v>4187.72</v>
      </c>
      <c r="M315" s="3">
        <f>Table1[[#This Row],[Gross_Sales]]-Table1[[#This Row],[Discount]]</f>
        <v>50857.919999999998</v>
      </c>
      <c r="N315" s="3">
        <v>40177.68</v>
      </c>
      <c r="O315" s="3">
        <v>1700.56</v>
      </c>
      <c r="P315" s="3">
        <v>3490.64</v>
      </c>
      <c r="Q315" s="3">
        <v>2593.2399999999998</v>
      </c>
      <c r="R315" s="3">
        <v>1474.37</v>
      </c>
      <c r="S315" s="3">
        <f>SUM(Table1[[#This Row],[Product_Cost]:[Other_Cost]])</f>
        <v>49436.49</v>
      </c>
      <c r="T315" s="3">
        <f>Table1[[#This Row],[Net_Sales]]-Table1[[#This Row],[Product_Cost]]</f>
        <v>10680.239999999998</v>
      </c>
      <c r="U315" s="3">
        <f>Table1[[#This Row],[Net_Sales]]-Table1[[#This Row],[Total_Cost]]</f>
        <v>1421.4300000000003</v>
      </c>
      <c r="V315" s="4">
        <f>Table1[[#This Row],[Net_Profit]]/Table1[[#This Row],[Net_Sales]]</f>
        <v>2.7949039205693044E-2</v>
      </c>
      <c r="W315" t="s">
        <v>33</v>
      </c>
      <c r="X315" t="s">
        <v>332</v>
      </c>
      <c r="Y315">
        <v>3</v>
      </c>
      <c r="Z315" t="str">
        <f>IF(Table1[[#This Row],[Month_No]]&lt;=6, "H1","H2")</f>
        <v>H1</v>
      </c>
    </row>
    <row r="316" spans="1:26" x14ac:dyDescent="0.25">
      <c r="A316" s="2">
        <v>45733</v>
      </c>
      <c r="B316" t="s">
        <v>391</v>
      </c>
      <c r="C316" t="s">
        <v>78</v>
      </c>
      <c r="D316" t="s">
        <v>74</v>
      </c>
      <c r="E316" t="s">
        <v>75</v>
      </c>
      <c r="F316" t="s">
        <v>30</v>
      </c>
      <c r="G316" t="s">
        <v>86</v>
      </c>
      <c r="H316" t="s">
        <v>59</v>
      </c>
      <c r="I316">
        <v>41</v>
      </c>
      <c r="J316" s="3">
        <v>5485.52</v>
      </c>
      <c r="K316" s="3">
        <f>Table1[[#This Row],[Quantity]]*Table1[[#This Row],[Unit_Price]]</f>
        <v>224906.32</v>
      </c>
      <c r="L316" s="3">
        <v>13691.02</v>
      </c>
      <c r="M316" s="3">
        <f>Table1[[#This Row],[Gross_Sales]]-Table1[[#This Row],[Discount]]</f>
        <v>211215.30000000002</v>
      </c>
      <c r="N316" s="3">
        <v>156450.01</v>
      </c>
      <c r="O316" s="3">
        <v>7896.42</v>
      </c>
      <c r="P316" s="3">
        <v>14802.53</v>
      </c>
      <c r="Q316" s="3">
        <v>8916.0300000000007</v>
      </c>
      <c r="R316" s="3">
        <v>4614.96</v>
      </c>
      <c r="S316" s="3">
        <f>SUM(Table1[[#This Row],[Product_Cost]:[Other_Cost]])</f>
        <v>192679.95</v>
      </c>
      <c r="T316" s="3">
        <f>Table1[[#This Row],[Net_Sales]]-Table1[[#This Row],[Product_Cost]]</f>
        <v>54765.290000000008</v>
      </c>
      <c r="U316" s="3">
        <f>Table1[[#This Row],[Net_Sales]]-Table1[[#This Row],[Total_Cost]]</f>
        <v>18535.350000000006</v>
      </c>
      <c r="V316" s="4">
        <f>Table1[[#This Row],[Net_Profit]]/Table1[[#This Row],[Net_Sales]]</f>
        <v>8.7755716560306021E-2</v>
      </c>
      <c r="W316" t="s">
        <v>33</v>
      </c>
      <c r="X316" t="s">
        <v>332</v>
      </c>
      <c r="Y316">
        <v>3</v>
      </c>
      <c r="Z316" t="str">
        <f>IF(Table1[[#This Row],[Month_No]]&lt;=6, "H1","H2")</f>
        <v>H1</v>
      </c>
    </row>
    <row r="317" spans="1:26" x14ac:dyDescent="0.25">
      <c r="A317" s="2">
        <v>45733</v>
      </c>
      <c r="B317" t="s">
        <v>392</v>
      </c>
      <c r="C317" t="s">
        <v>70</v>
      </c>
      <c r="D317" t="s">
        <v>183</v>
      </c>
      <c r="E317" t="s">
        <v>38</v>
      </c>
      <c r="F317" t="s">
        <v>52</v>
      </c>
      <c r="G317" t="s">
        <v>61</v>
      </c>
      <c r="H317" t="s">
        <v>32</v>
      </c>
      <c r="I317">
        <v>53</v>
      </c>
      <c r="J317" s="3">
        <v>6538.32</v>
      </c>
      <c r="K317" s="3">
        <f>Table1[[#This Row],[Quantity]]*Table1[[#This Row],[Unit_Price]]</f>
        <v>346530.95999999996</v>
      </c>
      <c r="L317" s="3">
        <v>32952.94</v>
      </c>
      <c r="M317" s="3">
        <f>Table1[[#This Row],[Gross_Sales]]-Table1[[#This Row],[Discount]]</f>
        <v>313578.01999999996</v>
      </c>
      <c r="N317" s="3">
        <v>183456.07</v>
      </c>
      <c r="O317" s="3">
        <v>8924.34</v>
      </c>
      <c r="P317" s="3">
        <v>21075.56</v>
      </c>
      <c r="Q317" s="3">
        <v>13570.62</v>
      </c>
      <c r="R317" s="3">
        <v>8734.8799999999992</v>
      </c>
      <c r="S317" s="3">
        <f>SUM(Table1[[#This Row],[Product_Cost]:[Other_Cost]])</f>
        <v>235761.47</v>
      </c>
      <c r="T317" s="3">
        <f>Table1[[#This Row],[Net_Sales]]-Table1[[#This Row],[Product_Cost]]</f>
        <v>130121.94999999995</v>
      </c>
      <c r="U317" s="3">
        <f>Table1[[#This Row],[Net_Sales]]-Table1[[#This Row],[Total_Cost]]</f>
        <v>77816.549999999959</v>
      </c>
      <c r="V317" s="4">
        <f>Table1[[#This Row],[Net_Profit]]/Table1[[#This Row],[Net_Sales]]</f>
        <v>0.24815690206858237</v>
      </c>
      <c r="W317" t="s">
        <v>33</v>
      </c>
      <c r="X317" t="s">
        <v>332</v>
      </c>
      <c r="Y317">
        <v>3</v>
      </c>
      <c r="Z317" t="str">
        <f>IF(Table1[[#This Row],[Month_No]]&lt;=6, "H1","H2")</f>
        <v>H1</v>
      </c>
    </row>
    <row r="318" spans="1:26" x14ac:dyDescent="0.25">
      <c r="A318" s="2">
        <v>45734</v>
      </c>
      <c r="B318" t="s">
        <v>393</v>
      </c>
      <c r="C318" t="s">
        <v>70</v>
      </c>
      <c r="D318" t="s">
        <v>50</v>
      </c>
      <c r="E318" t="s">
        <v>51</v>
      </c>
      <c r="F318" t="s">
        <v>52</v>
      </c>
      <c r="G318" t="s">
        <v>86</v>
      </c>
      <c r="H318" t="s">
        <v>41</v>
      </c>
      <c r="I318">
        <v>76</v>
      </c>
      <c r="J318" s="3">
        <v>799.23</v>
      </c>
      <c r="K318" s="3">
        <f>Table1[[#This Row],[Quantity]]*Table1[[#This Row],[Unit_Price]]</f>
        <v>60741.48</v>
      </c>
      <c r="L318" s="3">
        <v>4560.43</v>
      </c>
      <c r="M318" s="3">
        <f>Table1[[#This Row],[Gross_Sales]]-Table1[[#This Row],[Discount]]</f>
        <v>56181.05</v>
      </c>
      <c r="N318" s="3">
        <v>36203.74</v>
      </c>
      <c r="O318" s="3">
        <v>1512.51</v>
      </c>
      <c r="P318" s="3">
        <v>3860.26</v>
      </c>
      <c r="Q318" s="3">
        <v>2391.25</v>
      </c>
      <c r="R318" s="3">
        <v>1665.96</v>
      </c>
      <c r="S318" s="3">
        <f>SUM(Table1[[#This Row],[Product_Cost]:[Other_Cost]])</f>
        <v>45633.72</v>
      </c>
      <c r="T318" s="3">
        <f>Table1[[#This Row],[Net_Sales]]-Table1[[#This Row],[Product_Cost]]</f>
        <v>19977.310000000005</v>
      </c>
      <c r="U318" s="3">
        <f>Table1[[#This Row],[Net_Sales]]-Table1[[#This Row],[Total_Cost]]</f>
        <v>10547.330000000002</v>
      </c>
      <c r="V318" s="4">
        <f>Table1[[#This Row],[Net_Profit]]/Table1[[#This Row],[Net_Sales]]</f>
        <v>0.18773821421991937</v>
      </c>
      <c r="W318" t="s">
        <v>33</v>
      </c>
      <c r="X318" t="s">
        <v>332</v>
      </c>
      <c r="Y318">
        <v>3</v>
      </c>
      <c r="Z318" t="str">
        <f>IF(Table1[[#This Row],[Month_No]]&lt;=6, "H1","H2")</f>
        <v>H1</v>
      </c>
    </row>
    <row r="319" spans="1:26" x14ac:dyDescent="0.25">
      <c r="A319" s="2">
        <v>45734</v>
      </c>
      <c r="B319" t="s">
        <v>394</v>
      </c>
      <c r="C319" t="s">
        <v>83</v>
      </c>
      <c r="D319" t="s">
        <v>68</v>
      </c>
      <c r="E319" t="s">
        <v>29</v>
      </c>
      <c r="F319" t="s">
        <v>30</v>
      </c>
      <c r="G319" t="s">
        <v>86</v>
      </c>
      <c r="H319" t="s">
        <v>47</v>
      </c>
      <c r="I319">
        <v>120</v>
      </c>
      <c r="J319" s="3">
        <v>351.66</v>
      </c>
      <c r="K319" s="3">
        <f>Table1[[#This Row],[Quantity]]*Table1[[#This Row],[Unit_Price]]</f>
        <v>42199.200000000004</v>
      </c>
      <c r="L319" s="3">
        <v>3590.5</v>
      </c>
      <c r="M319" s="3">
        <f>Table1[[#This Row],[Gross_Sales]]-Table1[[#This Row],[Discount]]</f>
        <v>38608.700000000004</v>
      </c>
      <c r="N319" s="3">
        <v>30486.09</v>
      </c>
      <c r="O319" s="3">
        <v>1352.63</v>
      </c>
      <c r="P319" s="3">
        <v>2883.55</v>
      </c>
      <c r="Q319" s="3">
        <v>1706.06</v>
      </c>
      <c r="R319" s="3">
        <v>1036.56</v>
      </c>
      <c r="S319" s="3">
        <f>SUM(Table1[[#This Row],[Product_Cost]:[Other_Cost]])</f>
        <v>37464.89</v>
      </c>
      <c r="T319" s="3">
        <f>Table1[[#This Row],[Net_Sales]]-Table1[[#This Row],[Product_Cost]]</f>
        <v>8122.6100000000042</v>
      </c>
      <c r="U319" s="3">
        <f>Table1[[#This Row],[Net_Sales]]-Table1[[#This Row],[Total_Cost]]</f>
        <v>1143.8100000000049</v>
      </c>
      <c r="V319" s="4">
        <f>Table1[[#This Row],[Net_Profit]]/Table1[[#This Row],[Net_Sales]]</f>
        <v>2.9625706123231416E-2</v>
      </c>
      <c r="W319" t="s">
        <v>33</v>
      </c>
      <c r="X319" t="s">
        <v>332</v>
      </c>
      <c r="Y319">
        <v>3</v>
      </c>
      <c r="Z319" t="str">
        <f>IF(Table1[[#This Row],[Month_No]]&lt;=6, "H1","H2")</f>
        <v>H1</v>
      </c>
    </row>
    <row r="320" spans="1:26" x14ac:dyDescent="0.25">
      <c r="A320" s="2">
        <v>45734</v>
      </c>
      <c r="B320" t="s">
        <v>395</v>
      </c>
      <c r="C320" t="s">
        <v>55</v>
      </c>
      <c r="D320" t="s">
        <v>56</v>
      </c>
      <c r="E320" t="s">
        <v>57</v>
      </c>
      <c r="F320" t="s">
        <v>39</v>
      </c>
      <c r="G320" t="s">
        <v>40</v>
      </c>
      <c r="H320" t="s">
        <v>47</v>
      </c>
      <c r="I320">
        <v>24</v>
      </c>
      <c r="J320" s="3">
        <v>3085.42</v>
      </c>
      <c r="K320" s="3">
        <f>Table1[[#This Row],[Quantity]]*Table1[[#This Row],[Unit_Price]]</f>
        <v>74050.080000000002</v>
      </c>
      <c r="L320" s="3">
        <v>5016.7700000000004</v>
      </c>
      <c r="M320" s="3">
        <f>Table1[[#This Row],[Gross_Sales]]-Table1[[#This Row],[Discount]]</f>
        <v>69033.31</v>
      </c>
      <c r="N320" s="3">
        <v>37993.660000000003</v>
      </c>
      <c r="O320" s="3">
        <v>2982.11</v>
      </c>
      <c r="P320" s="3">
        <v>4081.31</v>
      </c>
      <c r="Q320" s="3">
        <v>3304.13</v>
      </c>
      <c r="R320" s="3">
        <v>1769.18</v>
      </c>
      <c r="S320" s="3">
        <f>SUM(Table1[[#This Row],[Product_Cost]:[Other_Cost]])</f>
        <v>50130.39</v>
      </c>
      <c r="T320" s="3">
        <f>Table1[[#This Row],[Net_Sales]]-Table1[[#This Row],[Product_Cost]]</f>
        <v>31039.649999999994</v>
      </c>
      <c r="U320" s="3">
        <f>Table1[[#This Row],[Net_Sales]]-Table1[[#This Row],[Total_Cost]]</f>
        <v>18902.919999999998</v>
      </c>
      <c r="V320" s="4">
        <f>Table1[[#This Row],[Net_Profit]]/Table1[[#This Row],[Net_Sales]]</f>
        <v>0.27382317318987021</v>
      </c>
      <c r="W320" t="s">
        <v>33</v>
      </c>
      <c r="X320" t="s">
        <v>332</v>
      </c>
      <c r="Y320">
        <v>3</v>
      </c>
      <c r="Z320" t="str">
        <f>IF(Table1[[#This Row],[Month_No]]&lt;=6, "H1","H2")</f>
        <v>H1</v>
      </c>
    </row>
    <row r="321" spans="1:26" x14ac:dyDescent="0.25">
      <c r="A321" s="2">
        <v>45734</v>
      </c>
      <c r="B321" t="s">
        <v>396</v>
      </c>
      <c r="C321" t="s">
        <v>27</v>
      </c>
      <c r="D321" t="s">
        <v>81</v>
      </c>
      <c r="E321" t="s">
        <v>45</v>
      </c>
      <c r="F321" t="s">
        <v>46</v>
      </c>
      <c r="G321" t="s">
        <v>61</v>
      </c>
      <c r="H321" t="s">
        <v>59</v>
      </c>
      <c r="I321">
        <v>51</v>
      </c>
      <c r="J321" s="3">
        <v>6586.22</v>
      </c>
      <c r="K321" s="3">
        <f>Table1[[#This Row],[Quantity]]*Table1[[#This Row],[Unit_Price]]</f>
        <v>335897.22000000003</v>
      </c>
      <c r="L321" s="3">
        <v>19446.240000000002</v>
      </c>
      <c r="M321" s="3">
        <f>Table1[[#This Row],[Gross_Sales]]-Table1[[#This Row],[Discount]]</f>
        <v>316450.98000000004</v>
      </c>
      <c r="N321" s="3">
        <v>178686.8</v>
      </c>
      <c r="O321" s="3">
        <v>10035.82</v>
      </c>
      <c r="P321" s="3">
        <v>18270.36</v>
      </c>
      <c r="Q321" s="3">
        <v>15194.32</v>
      </c>
      <c r="R321" s="3">
        <v>9750.33</v>
      </c>
      <c r="S321" s="3">
        <f>SUM(Table1[[#This Row],[Product_Cost]:[Other_Cost]])</f>
        <v>231937.62999999998</v>
      </c>
      <c r="T321" s="3">
        <f>Table1[[#This Row],[Net_Sales]]-Table1[[#This Row],[Product_Cost]]</f>
        <v>137764.18000000005</v>
      </c>
      <c r="U321" s="3">
        <f>Table1[[#This Row],[Net_Sales]]-Table1[[#This Row],[Total_Cost]]</f>
        <v>84513.350000000064</v>
      </c>
      <c r="V321" s="4">
        <f>Table1[[#This Row],[Net_Profit]]/Table1[[#This Row],[Net_Sales]]</f>
        <v>0.26706616614048739</v>
      </c>
      <c r="W321" t="s">
        <v>33</v>
      </c>
      <c r="X321" t="s">
        <v>332</v>
      </c>
      <c r="Y321">
        <v>3</v>
      </c>
      <c r="Z321" t="str">
        <f>IF(Table1[[#This Row],[Month_No]]&lt;=6, "H1","H2")</f>
        <v>H1</v>
      </c>
    </row>
    <row r="322" spans="1:26" x14ac:dyDescent="0.25">
      <c r="A322" s="2">
        <v>45734</v>
      </c>
      <c r="B322" t="s">
        <v>397</v>
      </c>
      <c r="C322" t="s">
        <v>98</v>
      </c>
      <c r="D322" t="s">
        <v>74</v>
      </c>
      <c r="E322" t="s">
        <v>75</v>
      </c>
      <c r="F322" t="s">
        <v>30</v>
      </c>
      <c r="G322" t="s">
        <v>71</v>
      </c>
      <c r="H322" t="s">
        <v>41</v>
      </c>
      <c r="I322">
        <v>88</v>
      </c>
      <c r="J322" s="3">
        <v>5516.81</v>
      </c>
      <c r="K322" s="3">
        <f>Table1[[#This Row],[Quantity]]*Table1[[#This Row],[Unit_Price]]</f>
        <v>485479.28</v>
      </c>
      <c r="L322" s="3">
        <v>44993.48</v>
      </c>
      <c r="M322" s="3">
        <f>Table1[[#This Row],[Gross_Sales]]-Table1[[#This Row],[Discount]]</f>
        <v>440485.80000000005</v>
      </c>
      <c r="N322" s="3">
        <v>325521.36</v>
      </c>
      <c r="O322" s="3">
        <v>16116.37</v>
      </c>
      <c r="P322" s="3">
        <v>27863.37</v>
      </c>
      <c r="Q322" s="3">
        <v>16977.64</v>
      </c>
      <c r="R322" s="3">
        <v>9797.9599999999991</v>
      </c>
      <c r="S322" s="3">
        <f>SUM(Table1[[#This Row],[Product_Cost]:[Other_Cost]])</f>
        <v>396276.7</v>
      </c>
      <c r="T322" s="3">
        <f>Table1[[#This Row],[Net_Sales]]-Table1[[#This Row],[Product_Cost]]</f>
        <v>114964.44000000006</v>
      </c>
      <c r="U322" s="3">
        <f>Table1[[#This Row],[Net_Sales]]-Table1[[#This Row],[Total_Cost]]</f>
        <v>44209.100000000035</v>
      </c>
      <c r="V322" s="4">
        <f>Table1[[#This Row],[Net_Profit]]/Table1[[#This Row],[Net_Sales]]</f>
        <v>0.10036441583360924</v>
      </c>
      <c r="W322" t="s">
        <v>72</v>
      </c>
      <c r="X322" t="s">
        <v>332</v>
      </c>
      <c r="Y322">
        <v>3</v>
      </c>
      <c r="Z322" t="str">
        <f>IF(Table1[[#This Row],[Month_No]]&lt;=6, "H1","H2")</f>
        <v>H1</v>
      </c>
    </row>
    <row r="323" spans="1:26" x14ac:dyDescent="0.25">
      <c r="A323" s="2">
        <v>45735</v>
      </c>
      <c r="B323" t="s">
        <v>398</v>
      </c>
      <c r="C323" t="s">
        <v>49</v>
      </c>
      <c r="D323" t="s">
        <v>183</v>
      </c>
      <c r="E323" t="s">
        <v>38</v>
      </c>
      <c r="F323" t="s">
        <v>52</v>
      </c>
      <c r="G323" t="s">
        <v>61</v>
      </c>
      <c r="H323" t="s">
        <v>59</v>
      </c>
      <c r="I323">
        <v>25</v>
      </c>
      <c r="J323" s="3">
        <v>6647.41</v>
      </c>
      <c r="K323" s="3">
        <f>Table1[[#This Row],[Quantity]]*Table1[[#This Row],[Unit_Price]]</f>
        <v>166185.25</v>
      </c>
      <c r="L323" s="3">
        <v>10933.33</v>
      </c>
      <c r="M323" s="3">
        <f>Table1[[#This Row],[Gross_Sales]]-Table1[[#This Row],[Discount]]</f>
        <v>155251.92000000001</v>
      </c>
      <c r="N323" s="3">
        <v>92493.34</v>
      </c>
      <c r="O323" s="3">
        <v>3996.34</v>
      </c>
      <c r="P323" s="3">
        <v>10239.99</v>
      </c>
      <c r="Q323" s="3">
        <v>7357.7</v>
      </c>
      <c r="R323" s="3">
        <v>4282.97</v>
      </c>
      <c r="S323" s="3">
        <f>SUM(Table1[[#This Row],[Product_Cost]:[Other_Cost]])</f>
        <v>118370.34</v>
      </c>
      <c r="T323" s="3">
        <f>Table1[[#This Row],[Net_Sales]]-Table1[[#This Row],[Product_Cost]]</f>
        <v>62758.580000000016</v>
      </c>
      <c r="U323" s="3">
        <f>Table1[[#This Row],[Net_Sales]]-Table1[[#This Row],[Total_Cost]]</f>
        <v>36881.580000000016</v>
      </c>
      <c r="V323" s="4">
        <f>Table1[[#This Row],[Net_Profit]]/Table1[[#This Row],[Net_Sales]]</f>
        <v>0.23755957414246479</v>
      </c>
      <c r="W323" t="s">
        <v>33</v>
      </c>
      <c r="X323" t="s">
        <v>332</v>
      </c>
      <c r="Y323">
        <v>3</v>
      </c>
      <c r="Z323" t="str">
        <f>IF(Table1[[#This Row],[Month_No]]&lt;=6, "H1","H2")</f>
        <v>H1</v>
      </c>
    </row>
    <row r="324" spans="1:26" x14ac:dyDescent="0.25">
      <c r="A324" s="2">
        <v>45735</v>
      </c>
      <c r="B324" t="s">
        <v>399</v>
      </c>
      <c r="C324" t="s">
        <v>98</v>
      </c>
      <c r="D324" t="s">
        <v>68</v>
      </c>
      <c r="E324" t="s">
        <v>29</v>
      </c>
      <c r="F324" t="s">
        <v>39</v>
      </c>
      <c r="G324" t="s">
        <v>31</v>
      </c>
      <c r="H324" t="s">
        <v>47</v>
      </c>
      <c r="I324">
        <v>114</v>
      </c>
      <c r="J324" s="3">
        <v>375.15</v>
      </c>
      <c r="K324" s="3">
        <f>Table1[[#This Row],[Quantity]]*Table1[[#This Row],[Unit_Price]]</f>
        <v>42767.1</v>
      </c>
      <c r="L324" s="3">
        <v>3112.09</v>
      </c>
      <c r="M324" s="3">
        <f>Table1[[#This Row],[Gross_Sales]]-Table1[[#This Row],[Discount]]</f>
        <v>39655.009999999995</v>
      </c>
      <c r="N324" s="3">
        <v>30132.799999999999</v>
      </c>
      <c r="O324" s="3">
        <v>1650.94</v>
      </c>
      <c r="P324" s="3">
        <v>2275.75</v>
      </c>
      <c r="Q324" s="3">
        <v>1753.15</v>
      </c>
      <c r="R324" s="3">
        <v>857.24</v>
      </c>
      <c r="S324" s="3">
        <f>SUM(Table1[[#This Row],[Product_Cost]:[Other_Cost]])</f>
        <v>36669.879999999997</v>
      </c>
      <c r="T324" s="3">
        <f>Table1[[#This Row],[Net_Sales]]-Table1[[#This Row],[Product_Cost]]</f>
        <v>9522.2099999999955</v>
      </c>
      <c r="U324" s="3">
        <f>Table1[[#This Row],[Net_Sales]]-Table1[[#This Row],[Total_Cost]]</f>
        <v>2985.1299999999974</v>
      </c>
      <c r="V324" s="4">
        <f>Table1[[#This Row],[Net_Profit]]/Table1[[#This Row],[Net_Sales]]</f>
        <v>7.527749961480272E-2</v>
      </c>
      <c r="W324" t="s">
        <v>33</v>
      </c>
      <c r="X324" t="s">
        <v>332</v>
      </c>
      <c r="Y324">
        <v>3</v>
      </c>
      <c r="Z324" t="str">
        <f>IF(Table1[[#This Row],[Month_No]]&lt;=6, "H1","H2")</f>
        <v>H1</v>
      </c>
    </row>
    <row r="325" spans="1:26" x14ac:dyDescent="0.25">
      <c r="A325" s="2">
        <v>45735</v>
      </c>
      <c r="B325" t="s">
        <v>400</v>
      </c>
      <c r="C325" t="s">
        <v>43</v>
      </c>
      <c r="D325" t="s">
        <v>44</v>
      </c>
      <c r="E325" t="s">
        <v>45</v>
      </c>
      <c r="F325" t="s">
        <v>39</v>
      </c>
      <c r="G325" t="s">
        <v>61</v>
      </c>
      <c r="H325" t="s">
        <v>41</v>
      </c>
      <c r="I325">
        <v>68</v>
      </c>
      <c r="J325" s="3">
        <v>4390.24</v>
      </c>
      <c r="K325" s="3">
        <f>Table1[[#This Row],[Quantity]]*Table1[[#This Row],[Unit_Price]]</f>
        <v>298536.32000000001</v>
      </c>
      <c r="L325" s="3">
        <v>24120.17</v>
      </c>
      <c r="M325" s="3">
        <f>Table1[[#This Row],[Gross_Sales]]-Table1[[#This Row],[Discount]]</f>
        <v>274416.15000000002</v>
      </c>
      <c r="N325" s="3">
        <v>191578.79</v>
      </c>
      <c r="O325" s="3">
        <v>11663.14</v>
      </c>
      <c r="P325" s="3">
        <v>16338.42</v>
      </c>
      <c r="Q325" s="3">
        <v>13958.31</v>
      </c>
      <c r="R325" s="3">
        <v>8530.84</v>
      </c>
      <c r="S325" s="3">
        <f>SUM(Table1[[#This Row],[Product_Cost]:[Other_Cost]])</f>
        <v>242069.5</v>
      </c>
      <c r="T325" s="3">
        <f>Table1[[#This Row],[Net_Sales]]-Table1[[#This Row],[Product_Cost]]</f>
        <v>82837.360000000015</v>
      </c>
      <c r="U325" s="3">
        <f>Table1[[#This Row],[Net_Sales]]-Table1[[#This Row],[Total_Cost]]</f>
        <v>32346.650000000023</v>
      </c>
      <c r="V325" s="4">
        <f>Table1[[#This Row],[Net_Profit]]/Table1[[#This Row],[Net_Sales]]</f>
        <v>0.11787443997009658</v>
      </c>
      <c r="W325" t="s">
        <v>33</v>
      </c>
      <c r="X325" t="s">
        <v>332</v>
      </c>
      <c r="Y325">
        <v>3</v>
      </c>
      <c r="Z325" t="str">
        <f>IF(Table1[[#This Row],[Month_No]]&lt;=6, "H1","H2")</f>
        <v>H1</v>
      </c>
    </row>
    <row r="326" spans="1:26" x14ac:dyDescent="0.25">
      <c r="A326" s="2">
        <v>45735</v>
      </c>
      <c r="B326" t="s">
        <v>401</v>
      </c>
      <c r="C326" t="s">
        <v>36</v>
      </c>
      <c r="D326" t="s">
        <v>68</v>
      </c>
      <c r="E326" t="s">
        <v>29</v>
      </c>
      <c r="F326" t="s">
        <v>52</v>
      </c>
      <c r="G326" t="s">
        <v>58</v>
      </c>
      <c r="H326" t="s">
        <v>32</v>
      </c>
      <c r="I326">
        <v>76</v>
      </c>
      <c r="J326" s="3">
        <v>360.43</v>
      </c>
      <c r="K326" s="3">
        <f>Table1[[#This Row],[Quantity]]*Table1[[#This Row],[Unit_Price]]</f>
        <v>27392.68</v>
      </c>
      <c r="L326" s="3">
        <v>2364.6999999999998</v>
      </c>
      <c r="M326" s="3">
        <f>Table1[[#This Row],[Gross_Sales]]-Table1[[#This Row],[Discount]]</f>
        <v>25027.98</v>
      </c>
      <c r="N326" s="3">
        <v>19412.66</v>
      </c>
      <c r="O326" s="3">
        <v>699.96</v>
      </c>
      <c r="P326" s="3">
        <v>1508.45</v>
      </c>
      <c r="Q326" s="3">
        <v>1213.6500000000001</v>
      </c>
      <c r="R326" s="3">
        <v>665.82</v>
      </c>
      <c r="S326" s="3">
        <f>SUM(Table1[[#This Row],[Product_Cost]:[Other_Cost]])</f>
        <v>23500.54</v>
      </c>
      <c r="T326" s="3">
        <f>Table1[[#This Row],[Net_Sales]]-Table1[[#This Row],[Product_Cost]]</f>
        <v>5615.32</v>
      </c>
      <c r="U326" s="3">
        <f>Table1[[#This Row],[Net_Sales]]-Table1[[#This Row],[Total_Cost]]</f>
        <v>1527.4399999999987</v>
      </c>
      <c r="V326" s="4">
        <f>Table1[[#This Row],[Net_Profit]]/Table1[[#This Row],[Net_Sales]]</f>
        <v>6.1029296011903426E-2</v>
      </c>
      <c r="W326" t="s">
        <v>72</v>
      </c>
      <c r="X326" t="s">
        <v>332</v>
      </c>
      <c r="Y326">
        <v>3</v>
      </c>
      <c r="Z326" t="str">
        <f>IF(Table1[[#This Row],[Month_No]]&lt;=6, "H1","H2")</f>
        <v>H1</v>
      </c>
    </row>
    <row r="327" spans="1:26" x14ac:dyDescent="0.25">
      <c r="A327" s="2">
        <v>45736</v>
      </c>
      <c r="B327" t="s">
        <v>402</v>
      </c>
      <c r="C327" t="s">
        <v>55</v>
      </c>
      <c r="D327" t="s">
        <v>100</v>
      </c>
      <c r="E327" t="s">
        <v>75</v>
      </c>
      <c r="F327" t="s">
        <v>52</v>
      </c>
      <c r="G327" t="s">
        <v>86</v>
      </c>
      <c r="H327" t="s">
        <v>32</v>
      </c>
      <c r="I327">
        <v>33</v>
      </c>
      <c r="J327" s="3">
        <v>6807.96</v>
      </c>
      <c r="K327" s="3">
        <f>Table1[[#This Row],[Quantity]]*Table1[[#This Row],[Unit_Price]]</f>
        <v>224662.68</v>
      </c>
      <c r="L327" s="3">
        <v>20379.27</v>
      </c>
      <c r="M327" s="3">
        <f>Table1[[#This Row],[Gross_Sales]]-Table1[[#This Row],[Discount]]</f>
        <v>204283.41</v>
      </c>
      <c r="N327" s="3">
        <v>122145.37</v>
      </c>
      <c r="O327" s="3">
        <v>5684.8</v>
      </c>
      <c r="P327" s="3">
        <v>13936.22</v>
      </c>
      <c r="Q327" s="3">
        <v>10278.43</v>
      </c>
      <c r="R327" s="3">
        <v>6368.97</v>
      </c>
      <c r="S327" s="3">
        <f>SUM(Table1[[#This Row],[Product_Cost]:[Other_Cost]])</f>
        <v>158413.78999999998</v>
      </c>
      <c r="T327" s="3">
        <f>Table1[[#This Row],[Net_Sales]]-Table1[[#This Row],[Product_Cost]]</f>
        <v>82138.040000000008</v>
      </c>
      <c r="U327" s="3">
        <f>Table1[[#This Row],[Net_Sales]]-Table1[[#This Row],[Total_Cost]]</f>
        <v>45869.620000000024</v>
      </c>
      <c r="V327" s="4">
        <f>Table1[[#This Row],[Net_Profit]]/Table1[[#This Row],[Net_Sales]]</f>
        <v>0.22453913413722643</v>
      </c>
      <c r="W327" t="s">
        <v>33</v>
      </c>
      <c r="X327" t="s">
        <v>332</v>
      </c>
      <c r="Y327">
        <v>3</v>
      </c>
      <c r="Z327" t="str">
        <f>IF(Table1[[#This Row],[Month_No]]&lt;=6, "H1","H2")</f>
        <v>H1</v>
      </c>
    </row>
    <row r="328" spans="1:26" x14ac:dyDescent="0.25">
      <c r="A328" s="2">
        <v>45736</v>
      </c>
      <c r="B328" t="s">
        <v>403</v>
      </c>
      <c r="C328" t="s">
        <v>49</v>
      </c>
      <c r="D328" t="s">
        <v>37</v>
      </c>
      <c r="E328" t="s">
        <v>38</v>
      </c>
      <c r="F328" t="s">
        <v>39</v>
      </c>
      <c r="G328" t="s">
        <v>64</v>
      </c>
      <c r="H328" t="s">
        <v>41</v>
      </c>
      <c r="I328">
        <v>40</v>
      </c>
      <c r="J328" s="3">
        <v>4439.2299999999996</v>
      </c>
      <c r="K328" s="3">
        <f>Table1[[#This Row],[Quantity]]*Table1[[#This Row],[Unit_Price]]</f>
        <v>177569.19999999998</v>
      </c>
      <c r="L328" s="3">
        <v>15417.13</v>
      </c>
      <c r="M328" s="3">
        <f>Table1[[#This Row],[Gross_Sales]]-Table1[[#This Row],[Discount]]</f>
        <v>162152.06999999998</v>
      </c>
      <c r="N328" s="3">
        <v>121567.36</v>
      </c>
      <c r="O328" s="3">
        <v>6303.47</v>
      </c>
      <c r="P328" s="3">
        <v>9434.93</v>
      </c>
      <c r="Q328" s="3">
        <v>7858.3</v>
      </c>
      <c r="R328" s="3">
        <v>4869.6499999999996</v>
      </c>
      <c r="S328" s="3">
        <f>SUM(Table1[[#This Row],[Product_Cost]:[Other_Cost]])</f>
        <v>150033.71</v>
      </c>
      <c r="T328" s="3">
        <f>Table1[[#This Row],[Net_Sales]]-Table1[[#This Row],[Product_Cost]]</f>
        <v>40584.709999999977</v>
      </c>
      <c r="U328" s="3">
        <f>Table1[[#This Row],[Net_Sales]]-Table1[[#This Row],[Total_Cost]]</f>
        <v>12118.359999999986</v>
      </c>
      <c r="V328" s="4">
        <f>Table1[[#This Row],[Net_Profit]]/Table1[[#This Row],[Net_Sales]]</f>
        <v>7.4734537770624748E-2</v>
      </c>
      <c r="W328" t="s">
        <v>33</v>
      </c>
      <c r="X328" t="s">
        <v>332</v>
      </c>
      <c r="Y328">
        <v>3</v>
      </c>
      <c r="Z328" t="str">
        <f>IF(Table1[[#This Row],[Month_No]]&lt;=6, "H1","H2")</f>
        <v>H1</v>
      </c>
    </row>
    <row r="329" spans="1:26" x14ac:dyDescent="0.25">
      <c r="A329" s="2">
        <v>45737</v>
      </c>
      <c r="B329" t="s">
        <v>404</v>
      </c>
      <c r="C329" t="s">
        <v>98</v>
      </c>
      <c r="D329" t="s">
        <v>85</v>
      </c>
      <c r="E329" t="s">
        <v>57</v>
      </c>
      <c r="F329" t="s">
        <v>30</v>
      </c>
      <c r="G329" t="s">
        <v>76</v>
      </c>
      <c r="H329" t="s">
        <v>41</v>
      </c>
      <c r="I329">
        <v>76</v>
      </c>
      <c r="J329" s="3">
        <v>1852.76</v>
      </c>
      <c r="K329" s="3">
        <f>Table1[[#This Row],[Quantity]]*Table1[[#This Row],[Unit_Price]]</f>
        <v>140809.76</v>
      </c>
      <c r="L329" s="3">
        <v>9755.84</v>
      </c>
      <c r="M329" s="3">
        <f>Table1[[#This Row],[Gross_Sales]]-Table1[[#This Row],[Discount]]</f>
        <v>131053.92000000001</v>
      </c>
      <c r="N329" s="3">
        <v>94702.35</v>
      </c>
      <c r="O329" s="3">
        <v>4586.1499999999996</v>
      </c>
      <c r="P329" s="3">
        <v>9041.7800000000007</v>
      </c>
      <c r="Q329" s="3">
        <v>6829.86</v>
      </c>
      <c r="R329" s="3">
        <v>2974.33</v>
      </c>
      <c r="S329" s="3">
        <f>SUM(Table1[[#This Row],[Product_Cost]:[Other_Cost]])</f>
        <v>118134.47</v>
      </c>
      <c r="T329" s="3">
        <f>Table1[[#This Row],[Net_Sales]]-Table1[[#This Row],[Product_Cost]]</f>
        <v>36351.570000000007</v>
      </c>
      <c r="U329" s="3">
        <f>Table1[[#This Row],[Net_Sales]]-Table1[[#This Row],[Total_Cost]]</f>
        <v>12919.450000000012</v>
      </c>
      <c r="V329" s="4">
        <f>Table1[[#This Row],[Net_Profit]]/Table1[[#This Row],[Net_Sales]]</f>
        <v>9.8581179410734229E-2</v>
      </c>
      <c r="W329" t="s">
        <v>72</v>
      </c>
      <c r="X329" t="s">
        <v>332</v>
      </c>
      <c r="Y329">
        <v>3</v>
      </c>
      <c r="Z329" t="str">
        <f>IF(Table1[[#This Row],[Month_No]]&lt;=6, "H1","H2")</f>
        <v>H1</v>
      </c>
    </row>
    <row r="330" spans="1:26" x14ac:dyDescent="0.25">
      <c r="A330" s="2">
        <v>45737</v>
      </c>
      <c r="B330" t="s">
        <v>405</v>
      </c>
      <c r="C330" t="s">
        <v>78</v>
      </c>
      <c r="D330" t="s">
        <v>50</v>
      </c>
      <c r="E330" t="s">
        <v>51</v>
      </c>
      <c r="F330" t="s">
        <v>46</v>
      </c>
      <c r="G330" t="s">
        <v>71</v>
      </c>
      <c r="H330" t="s">
        <v>32</v>
      </c>
      <c r="I330">
        <v>46</v>
      </c>
      <c r="J330" s="3">
        <v>802.73</v>
      </c>
      <c r="K330" s="3">
        <f>Table1[[#This Row],[Quantity]]*Table1[[#This Row],[Unit_Price]]</f>
        <v>36925.58</v>
      </c>
      <c r="L330" s="3">
        <v>3217.74</v>
      </c>
      <c r="M330" s="3">
        <f>Table1[[#This Row],[Gross_Sales]]-Table1[[#This Row],[Discount]]</f>
        <v>33707.840000000004</v>
      </c>
      <c r="N330" s="3">
        <v>22938.3</v>
      </c>
      <c r="O330" s="3">
        <v>1076.07</v>
      </c>
      <c r="P330" s="3">
        <v>2183.06</v>
      </c>
      <c r="Q330" s="3">
        <v>1556.32</v>
      </c>
      <c r="R330" s="3">
        <v>1030.31</v>
      </c>
      <c r="S330" s="3">
        <f>SUM(Table1[[#This Row],[Product_Cost]:[Other_Cost]])</f>
        <v>28784.06</v>
      </c>
      <c r="T330" s="3">
        <f>Table1[[#This Row],[Net_Sales]]-Table1[[#This Row],[Product_Cost]]</f>
        <v>10769.540000000005</v>
      </c>
      <c r="U330" s="3">
        <f>Table1[[#This Row],[Net_Sales]]-Table1[[#This Row],[Total_Cost]]</f>
        <v>4923.7800000000025</v>
      </c>
      <c r="V330" s="4">
        <f>Table1[[#This Row],[Net_Profit]]/Table1[[#This Row],[Net_Sales]]</f>
        <v>0.14607224906727936</v>
      </c>
      <c r="W330" t="s">
        <v>33</v>
      </c>
      <c r="X330" t="s">
        <v>332</v>
      </c>
      <c r="Y330">
        <v>3</v>
      </c>
      <c r="Z330" t="str">
        <f>IF(Table1[[#This Row],[Month_No]]&lt;=6, "H1","H2")</f>
        <v>H1</v>
      </c>
    </row>
    <row r="331" spans="1:26" x14ac:dyDescent="0.25">
      <c r="A331" s="2">
        <v>45737</v>
      </c>
      <c r="B331" t="s">
        <v>406</v>
      </c>
      <c r="C331" t="s">
        <v>49</v>
      </c>
      <c r="D331" t="s">
        <v>100</v>
      </c>
      <c r="E331" t="s">
        <v>75</v>
      </c>
      <c r="F331" t="s">
        <v>52</v>
      </c>
      <c r="G331" t="s">
        <v>76</v>
      </c>
      <c r="H331" t="s">
        <v>47</v>
      </c>
      <c r="I331">
        <v>82</v>
      </c>
      <c r="J331" s="3">
        <v>6548.11</v>
      </c>
      <c r="K331" s="3">
        <f>Table1[[#This Row],[Quantity]]*Table1[[#This Row],[Unit_Price]]</f>
        <v>536945.02</v>
      </c>
      <c r="L331" s="3">
        <v>44296.51</v>
      </c>
      <c r="M331" s="3">
        <f>Table1[[#This Row],[Gross_Sales]]-Table1[[#This Row],[Discount]]</f>
        <v>492648.51</v>
      </c>
      <c r="N331" s="3">
        <v>292077.39</v>
      </c>
      <c r="O331" s="3">
        <v>11864.48</v>
      </c>
      <c r="P331" s="3">
        <v>34905.35</v>
      </c>
      <c r="Q331" s="3">
        <v>18273.23</v>
      </c>
      <c r="R331" s="3">
        <v>12115.67</v>
      </c>
      <c r="S331" s="3">
        <f>SUM(Table1[[#This Row],[Product_Cost]:[Other_Cost]])</f>
        <v>369236.11999999994</v>
      </c>
      <c r="T331" s="3">
        <f>Table1[[#This Row],[Net_Sales]]-Table1[[#This Row],[Product_Cost]]</f>
        <v>200571.12</v>
      </c>
      <c r="U331" s="3">
        <f>Table1[[#This Row],[Net_Sales]]-Table1[[#This Row],[Total_Cost]]</f>
        <v>123412.39000000007</v>
      </c>
      <c r="V331" s="4">
        <f>Table1[[#This Row],[Net_Profit]]/Table1[[#This Row],[Net_Sales]]</f>
        <v>0.2505079940260046</v>
      </c>
      <c r="W331" t="s">
        <v>33</v>
      </c>
      <c r="X331" t="s">
        <v>332</v>
      </c>
      <c r="Y331">
        <v>3</v>
      </c>
      <c r="Z331" t="str">
        <f>IF(Table1[[#This Row],[Month_No]]&lt;=6, "H1","H2")</f>
        <v>H1</v>
      </c>
    </row>
    <row r="332" spans="1:26" x14ac:dyDescent="0.25">
      <c r="A332" s="2">
        <v>45737</v>
      </c>
      <c r="B332" t="s">
        <v>407</v>
      </c>
      <c r="C332" t="s">
        <v>78</v>
      </c>
      <c r="D332" t="s">
        <v>50</v>
      </c>
      <c r="E332" t="s">
        <v>51</v>
      </c>
      <c r="F332" t="s">
        <v>52</v>
      </c>
      <c r="G332" t="s">
        <v>58</v>
      </c>
      <c r="H332" t="s">
        <v>59</v>
      </c>
      <c r="I332">
        <v>56</v>
      </c>
      <c r="J332" s="3">
        <v>793.69</v>
      </c>
      <c r="K332" s="3">
        <f>Table1[[#This Row],[Quantity]]*Table1[[#This Row],[Unit_Price]]</f>
        <v>44446.64</v>
      </c>
      <c r="L332" s="3">
        <v>3339.38</v>
      </c>
      <c r="M332" s="3">
        <f>Table1[[#This Row],[Gross_Sales]]-Table1[[#This Row],[Discount]]</f>
        <v>41107.26</v>
      </c>
      <c r="N332" s="3">
        <v>28502.92</v>
      </c>
      <c r="O332" s="3">
        <v>967.02</v>
      </c>
      <c r="P332" s="3">
        <v>2636.14</v>
      </c>
      <c r="Q332" s="3">
        <v>2046.53</v>
      </c>
      <c r="R332" s="3">
        <v>1239.19</v>
      </c>
      <c r="S332" s="3">
        <f>SUM(Table1[[#This Row],[Product_Cost]:[Other_Cost]])</f>
        <v>35391.800000000003</v>
      </c>
      <c r="T332" s="3">
        <f>Table1[[#This Row],[Net_Sales]]-Table1[[#This Row],[Product_Cost]]</f>
        <v>12604.340000000004</v>
      </c>
      <c r="U332" s="3">
        <f>Table1[[#This Row],[Net_Sales]]-Table1[[#This Row],[Total_Cost]]</f>
        <v>5715.4599999999991</v>
      </c>
      <c r="V332" s="4">
        <f>Table1[[#This Row],[Net_Profit]]/Table1[[#This Row],[Net_Sales]]</f>
        <v>0.13903772715573839</v>
      </c>
      <c r="W332" t="s">
        <v>33</v>
      </c>
      <c r="X332" t="s">
        <v>332</v>
      </c>
      <c r="Y332">
        <v>3</v>
      </c>
      <c r="Z332" t="str">
        <f>IF(Table1[[#This Row],[Month_No]]&lt;=6, "H1","H2")</f>
        <v>H1</v>
      </c>
    </row>
    <row r="333" spans="1:26" x14ac:dyDescent="0.25">
      <c r="A333" s="2">
        <v>45738</v>
      </c>
      <c r="B333" t="s">
        <v>408</v>
      </c>
      <c r="C333" t="s">
        <v>83</v>
      </c>
      <c r="D333" t="s">
        <v>44</v>
      </c>
      <c r="E333" t="s">
        <v>45</v>
      </c>
      <c r="F333" t="s">
        <v>30</v>
      </c>
      <c r="G333" t="s">
        <v>31</v>
      </c>
      <c r="H333" t="s">
        <v>47</v>
      </c>
      <c r="I333">
        <v>89</v>
      </c>
      <c r="J333" s="3">
        <v>4306.26</v>
      </c>
      <c r="K333" s="3">
        <f>Table1[[#This Row],[Quantity]]*Table1[[#This Row],[Unit_Price]]</f>
        <v>383257.14</v>
      </c>
      <c r="L333" s="3">
        <v>26484.62</v>
      </c>
      <c r="M333" s="3">
        <f>Table1[[#This Row],[Gross_Sales]]-Table1[[#This Row],[Discount]]</f>
        <v>356772.52</v>
      </c>
      <c r="N333" s="3">
        <v>251188.89</v>
      </c>
      <c r="O333" s="3">
        <v>11667.78</v>
      </c>
      <c r="P333" s="3">
        <v>20346.419999999998</v>
      </c>
      <c r="Q333" s="3">
        <v>19344.240000000002</v>
      </c>
      <c r="R333" s="3">
        <v>8895.5400000000009</v>
      </c>
      <c r="S333" s="3">
        <f>SUM(Table1[[#This Row],[Product_Cost]:[Other_Cost]])</f>
        <v>311442.87</v>
      </c>
      <c r="T333" s="3">
        <f>Table1[[#This Row],[Net_Sales]]-Table1[[#This Row],[Product_Cost]]</f>
        <v>105583.63</v>
      </c>
      <c r="U333" s="3">
        <f>Table1[[#This Row],[Net_Sales]]-Table1[[#This Row],[Total_Cost]]</f>
        <v>45329.650000000023</v>
      </c>
      <c r="V333" s="4">
        <f>Table1[[#This Row],[Net_Profit]]/Table1[[#This Row],[Net_Sales]]</f>
        <v>0.12705476868005422</v>
      </c>
      <c r="W333" t="s">
        <v>33</v>
      </c>
      <c r="X333" t="s">
        <v>332</v>
      </c>
      <c r="Y333">
        <v>3</v>
      </c>
      <c r="Z333" t="str">
        <f>IF(Table1[[#This Row],[Month_No]]&lt;=6, "H1","H2")</f>
        <v>H1</v>
      </c>
    </row>
    <row r="334" spans="1:26" x14ac:dyDescent="0.25">
      <c r="A334" s="2">
        <v>45738</v>
      </c>
      <c r="B334" t="s">
        <v>409</v>
      </c>
      <c r="C334" t="s">
        <v>27</v>
      </c>
      <c r="D334" t="s">
        <v>28</v>
      </c>
      <c r="E334" t="s">
        <v>29</v>
      </c>
      <c r="F334" t="s">
        <v>52</v>
      </c>
      <c r="G334" t="s">
        <v>71</v>
      </c>
      <c r="H334" t="s">
        <v>59</v>
      </c>
      <c r="I334">
        <v>90</v>
      </c>
      <c r="J334" s="3">
        <v>1174.8</v>
      </c>
      <c r="K334" s="3">
        <f>Table1[[#This Row],[Quantity]]*Table1[[#This Row],[Unit_Price]]</f>
        <v>105732</v>
      </c>
      <c r="L334" s="3">
        <v>6726.31</v>
      </c>
      <c r="M334" s="3">
        <f>Table1[[#This Row],[Gross_Sales]]-Table1[[#This Row],[Discount]]</f>
        <v>99005.69</v>
      </c>
      <c r="N334" s="3">
        <v>60359.75</v>
      </c>
      <c r="O334" s="3">
        <v>2756.46</v>
      </c>
      <c r="P334" s="3">
        <v>7234.62</v>
      </c>
      <c r="Q334" s="3">
        <v>4635.53</v>
      </c>
      <c r="R334" s="3">
        <v>2560.5300000000002</v>
      </c>
      <c r="S334" s="3">
        <f>SUM(Table1[[#This Row],[Product_Cost]:[Other_Cost]])</f>
        <v>77546.89</v>
      </c>
      <c r="T334" s="3">
        <f>Table1[[#This Row],[Net_Sales]]-Table1[[#This Row],[Product_Cost]]</f>
        <v>38645.94</v>
      </c>
      <c r="U334" s="3">
        <f>Table1[[#This Row],[Net_Sales]]-Table1[[#This Row],[Total_Cost]]</f>
        <v>21458.800000000003</v>
      </c>
      <c r="V334" s="4">
        <f>Table1[[#This Row],[Net_Profit]]/Table1[[#This Row],[Net_Sales]]</f>
        <v>0.21674309830071387</v>
      </c>
      <c r="W334" t="s">
        <v>33</v>
      </c>
      <c r="X334" t="s">
        <v>332</v>
      </c>
      <c r="Y334">
        <v>3</v>
      </c>
      <c r="Z334" t="str">
        <f>IF(Table1[[#This Row],[Month_No]]&lt;=6, "H1","H2")</f>
        <v>H1</v>
      </c>
    </row>
    <row r="335" spans="1:26" x14ac:dyDescent="0.25">
      <c r="A335" s="2">
        <v>45738</v>
      </c>
      <c r="B335" t="s">
        <v>410</v>
      </c>
      <c r="C335" t="s">
        <v>98</v>
      </c>
      <c r="D335" t="s">
        <v>44</v>
      </c>
      <c r="E335" t="s">
        <v>45</v>
      </c>
      <c r="F335" t="s">
        <v>52</v>
      </c>
      <c r="G335" t="s">
        <v>64</v>
      </c>
      <c r="H335" t="s">
        <v>59</v>
      </c>
      <c r="I335">
        <v>90</v>
      </c>
      <c r="J335" s="3">
        <v>4457.04</v>
      </c>
      <c r="K335" s="3">
        <f>Table1[[#This Row],[Quantity]]*Table1[[#This Row],[Unit_Price]]</f>
        <v>401133.6</v>
      </c>
      <c r="L335" s="3">
        <v>26603.56</v>
      </c>
      <c r="M335" s="3">
        <f>Table1[[#This Row],[Gross_Sales]]-Table1[[#This Row],[Discount]]</f>
        <v>374530.04</v>
      </c>
      <c r="N335" s="3">
        <v>271604.25</v>
      </c>
      <c r="O335" s="3">
        <v>10482.9</v>
      </c>
      <c r="P335" s="3">
        <v>23508.33</v>
      </c>
      <c r="Q335" s="3">
        <v>16494.59</v>
      </c>
      <c r="R335" s="3">
        <v>8978.58</v>
      </c>
      <c r="S335" s="3">
        <f>SUM(Table1[[#This Row],[Product_Cost]:[Other_Cost]])</f>
        <v>331068.65000000008</v>
      </c>
      <c r="T335" s="3">
        <f>Table1[[#This Row],[Net_Sales]]-Table1[[#This Row],[Product_Cost]]</f>
        <v>102925.78999999998</v>
      </c>
      <c r="U335" s="3">
        <f>Table1[[#This Row],[Net_Sales]]-Table1[[#This Row],[Total_Cost]]</f>
        <v>43461.389999999898</v>
      </c>
      <c r="V335" s="4">
        <f>Table1[[#This Row],[Net_Profit]]/Table1[[#This Row],[Net_Sales]]</f>
        <v>0.11604246751475503</v>
      </c>
      <c r="W335" t="s">
        <v>33</v>
      </c>
      <c r="X335" t="s">
        <v>332</v>
      </c>
      <c r="Y335">
        <v>3</v>
      </c>
      <c r="Z335" t="str">
        <f>IF(Table1[[#This Row],[Month_No]]&lt;=6, "H1","H2")</f>
        <v>H1</v>
      </c>
    </row>
    <row r="336" spans="1:26" x14ac:dyDescent="0.25">
      <c r="A336" s="2">
        <v>45738</v>
      </c>
      <c r="B336" t="s">
        <v>411</v>
      </c>
      <c r="C336" t="s">
        <v>27</v>
      </c>
      <c r="D336" t="s">
        <v>50</v>
      </c>
      <c r="E336" t="s">
        <v>51</v>
      </c>
      <c r="F336" t="s">
        <v>46</v>
      </c>
      <c r="G336" t="s">
        <v>31</v>
      </c>
      <c r="H336" t="s">
        <v>59</v>
      </c>
      <c r="I336">
        <v>78</v>
      </c>
      <c r="J336" s="3">
        <v>813.31</v>
      </c>
      <c r="K336" s="3">
        <f>Table1[[#This Row],[Quantity]]*Table1[[#This Row],[Unit_Price]]</f>
        <v>63438.179999999993</v>
      </c>
      <c r="L336" s="3">
        <v>4364.78</v>
      </c>
      <c r="M336" s="3">
        <f>Table1[[#This Row],[Gross_Sales]]-Table1[[#This Row],[Discount]]</f>
        <v>59073.399999999994</v>
      </c>
      <c r="N336" s="3">
        <v>40985.35</v>
      </c>
      <c r="O336" s="3">
        <v>1846.38</v>
      </c>
      <c r="P336" s="3">
        <v>4095.52</v>
      </c>
      <c r="Q336" s="3">
        <v>2773.06</v>
      </c>
      <c r="R336" s="3">
        <v>1858.78</v>
      </c>
      <c r="S336" s="3">
        <f>SUM(Table1[[#This Row],[Product_Cost]:[Other_Cost]])</f>
        <v>51559.089999999989</v>
      </c>
      <c r="T336" s="3">
        <f>Table1[[#This Row],[Net_Sales]]-Table1[[#This Row],[Product_Cost]]</f>
        <v>18088.049999999996</v>
      </c>
      <c r="U336" s="3">
        <f>Table1[[#This Row],[Net_Sales]]-Table1[[#This Row],[Total_Cost]]</f>
        <v>7514.3100000000049</v>
      </c>
      <c r="V336" s="4">
        <f>Table1[[#This Row],[Net_Profit]]/Table1[[#This Row],[Net_Sales]]</f>
        <v>0.12720293736267094</v>
      </c>
      <c r="W336" t="s">
        <v>33</v>
      </c>
      <c r="X336" t="s">
        <v>332</v>
      </c>
      <c r="Y336">
        <v>3</v>
      </c>
      <c r="Z336" t="str">
        <f>IF(Table1[[#This Row],[Month_No]]&lt;=6, "H1","H2")</f>
        <v>H1</v>
      </c>
    </row>
    <row r="337" spans="1:26" x14ac:dyDescent="0.25">
      <c r="A337" s="2">
        <v>45739</v>
      </c>
      <c r="B337" t="s">
        <v>412</v>
      </c>
      <c r="C337" t="s">
        <v>27</v>
      </c>
      <c r="D337" t="s">
        <v>81</v>
      </c>
      <c r="E337" t="s">
        <v>45</v>
      </c>
      <c r="F337" t="s">
        <v>52</v>
      </c>
      <c r="G337" t="s">
        <v>31</v>
      </c>
      <c r="H337" t="s">
        <v>41</v>
      </c>
      <c r="I337">
        <v>61</v>
      </c>
      <c r="J337" s="3">
        <v>6409.21</v>
      </c>
      <c r="K337" s="3">
        <f>Table1[[#This Row],[Quantity]]*Table1[[#This Row],[Unit_Price]]</f>
        <v>390961.81</v>
      </c>
      <c r="L337" s="3">
        <v>27659.77</v>
      </c>
      <c r="M337" s="3">
        <f>Table1[[#This Row],[Gross_Sales]]-Table1[[#This Row],[Discount]]</f>
        <v>363302.04</v>
      </c>
      <c r="N337" s="3">
        <v>206216.53</v>
      </c>
      <c r="O337" s="3">
        <v>9747.24</v>
      </c>
      <c r="P337" s="3">
        <v>22162.639999999999</v>
      </c>
      <c r="Q337" s="3">
        <v>15892.52</v>
      </c>
      <c r="R337" s="3">
        <v>11438.46</v>
      </c>
      <c r="S337" s="3">
        <f>SUM(Table1[[#This Row],[Product_Cost]:[Other_Cost]])</f>
        <v>265457.38999999996</v>
      </c>
      <c r="T337" s="3">
        <f>Table1[[#This Row],[Net_Sales]]-Table1[[#This Row],[Product_Cost]]</f>
        <v>157085.50999999998</v>
      </c>
      <c r="U337" s="3">
        <f>Table1[[#This Row],[Net_Sales]]-Table1[[#This Row],[Total_Cost]]</f>
        <v>97844.650000000023</v>
      </c>
      <c r="V337" s="4">
        <f>Table1[[#This Row],[Net_Profit]]/Table1[[#This Row],[Net_Sales]]</f>
        <v>0.26932039798069957</v>
      </c>
      <c r="W337" t="s">
        <v>33</v>
      </c>
      <c r="X337" t="s">
        <v>332</v>
      </c>
      <c r="Y337">
        <v>3</v>
      </c>
      <c r="Z337" t="str">
        <f>IF(Table1[[#This Row],[Month_No]]&lt;=6, "H1","H2")</f>
        <v>H1</v>
      </c>
    </row>
    <row r="338" spans="1:26" x14ac:dyDescent="0.25">
      <c r="A338" s="2">
        <v>45739</v>
      </c>
      <c r="B338" t="s">
        <v>413</v>
      </c>
      <c r="C338" t="s">
        <v>70</v>
      </c>
      <c r="D338" t="s">
        <v>44</v>
      </c>
      <c r="E338" t="s">
        <v>45</v>
      </c>
      <c r="F338" t="s">
        <v>46</v>
      </c>
      <c r="G338" t="s">
        <v>86</v>
      </c>
      <c r="H338" t="s">
        <v>59</v>
      </c>
      <c r="I338">
        <v>85</v>
      </c>
      <c r="J338" s="3">
        <v>4230.99</v>
      </c>
      <c r="K338" s="3">
        <f>Table1[[#This Row],[Quantity]]*Table1[[#This Row],[Unit_Price]]</f>
        <v>359634.14999999997</v>
      </c>
      <c r="L338" s="3">
        <v>24078.84</v>
      </c>
      <c r="M338" s="3">
        <f>Table1[[#This Row],[Gross_Sales]]-Table1[[#This Row],[Discount]]</f>
        <v>335555.30999999994</v>
      </c>
      <c r="N338" s="3">
        <v>242881.09</v>
      </c>
      <c r="O338" s="3">
        <v>9442.82</v>
      </c>
      <c r="P338" s="3">
        <v>20752.46</v>
      </c>
      <c r="Q338" s="3">
        <v>17113.400000000001</v>
      </c>
      <c r="R338" s="3">
        <v>9431.81</v>
      </c>
      <c r="S338" s="3">
        <f>SUM(Table1[[#This Row],[Product_Cost]:[Other_Cost]])</f>
        <v>299621.58</v>
      </c>
      <c r="T338" s="3">
        <f>Table1[[#This Row],[Net_Sales]]-Table1[[#This Row],[Product_Cost]]</f>
        <v>92674.219999999943</v>
      </c>
      <c r="U338" s="3">
        <f>Table1[[#This Row],[Net_Sales]]-Table1[[#This Row],[Total_Cost]]</f>
        <v>35933.729999999923</v>
      </c>
      <c r="V338" s="4">
        <f>Table1[[#This Row],[Net_Profit]]/Table1[[#This Row],[Net_Sales]]</f>
        <v>0.1070873531996854</v>
      </c>
      <c r="W338" t="s">
        <v>33</v>
      </c>
      <c r="X338" t="s">
        <v>332</v>
      </c>
      <c r="Y338">
        <v>3</v>
      </c>
      <c r="Z338" t="str">
        <f>IF(Table1[[#This Row],[Month_No]]&lt;=6, "H1","H2")</f>
        <v>H1</v>
      </c>
    </row>
    <row r="339" spans="1:26" x14ac:dyDescent="0.25">
      <c r="A339" s="2">
        <v>45739</v>
      </c>
      <c r="B339" t="s">
        <v>414</v>
      </c>
      <c r="C339" t="s">
        <v>83</v>
      </c>
      <c r="D339" t="s">
        <v>68</v>
      </c>
      <c r="E339" t="s">
        <v>29</v>
      </c>
      <c r="F339" t="s">
        <v>39</v>
      </c>
      <c r="G339" t="s">
        <v>40</v>
      </c>
      <c r="H339" t="s">
        <v>41</v>
      </c>
      <c r="I339">
        <v>168</v>
      </c>
      <c r="J339" s="3">
        <v>358.2</v>
      </c>
      <c r="K339" s="3">
        <f>Table1[[#This Row],[Quantity]]*Table1[[#This Row],[Unit_Price]]</f>
        <v>60177.599999999999</v>
      </c>
      <c r="L339" s="3">
        <v>4329.5</v>
      </c>
      <c r="M339" s="3">
        <f>Table1[[#This Row],[Gross_Sales]]-Table1[[#This Row],[Discount]]</f>
        <v>55848.1</v>
      </c>
      <c r="N339" s="3">
        <v>42830.559999999998</v>
      </c>
      <c r="O339" s="3">
        <v>2309.5300000000002</v>
      </c>
      <c r="P339" s="3">
        <v>3600.73</v>
      </c>
      <c r="Q339" s="3">
        <v>2792.78</v>
      </c>
      <c r="R339" s="3">
        <v>1430.67</v>
      </c>
      <c r="S339" s="3">
        <f>SUM(Table1[[#This Row],[Product_Cost]:[Other_Cost]])</f>
        <v>52964.27</v>
      </c>
      <c r="T339" s="3">
        <f>Table1[[#This Row],[Net_Sales]]-Table1[[#This Row],[Product_Cost]]</f>
        <v>13017.54</v>
      </c>
      <c r="U339" s="3">
        <f>Table1[[#This Row],[Net_Sales]]-Table1[[#This Row],[Total_Cost]]</f>
        <v>2883.8300000000017</v>
      </c>
      <c r="V339" s="4">
        <f>Table1[[#This Row],[Net_Profit]]/Table1[[#This Row],[Net_Sales]]</f>
        <v>5.1637029728853832E-2</v>
      </c>
      <c r="W339" t="s">
        <v>72</v>
      </c>
      <c r="X339" t="s">
        <v>332</v>
      </c>
      <c r="Y339">
        <v>3</v>
      </c>
      <c r="Z339" t="str">
        <f>IF(Table1[[#This Row],[Month_No]]&lt;=6, "H1","H2")</f>
        <v>H1</v>
      </c>
    </row>
    <row r="340" spans="1:26" x14ac:dyDescent="0.25">
      <c r="A340" s="2">
        <v>45739</v>
      </c>
      <c r="B340" t="s">
        <v>415</v>
      </c>
      <c r="C340" t="s">
        <v>55</v>
      </c>
      <c r="D340" t="s">
        <v>85</v>
      </c>
      <c r="E340" t="s">
        <v>57</v>
      </c>
      <c r="F340" t="s">
        <v>46</v>
      </c>
      <c r="G340" t="s">
        <v>61</v>
      </c>
      <c r="H340" t="s">
        <v>59</v>
      </c>
      <c r="I340">
        <v>102</v>
      </c>
      <c r="J340" s="3">
        <v>1781.11</v>
      </c>
      <c r="K340" s="3">
        <f>Table1[[#This Row],[Quantity]]*Table1[[#This Row],[Unit_Price]]</f>
        <v>181673.22</v>
      </c>
      <c r="L340" s="3">
        <v>10085.719999999999</v>
      </c>
      <c r="M340" s="3">
        <f>Table1[[#This Row],[Gross_Sales]]-Table1[[#This Row],[Discount]]</f>
        <v>171587.5</v>
      </c>
      <c r="N340" s="3">
        <v>121835.22</v>
      </c>
      <c r="O340" s="3">
        <v>4697.8599999999997</v>
      </c>
      <c r="P340" s="3">
        <v>10411.73</v>
      </c>
      <c r="Q340" s="3">
        <v>7670.52</v>
      </c>
      <c r="R340" s="3">
        <v>3944.02</v>
      </c>
      <c r="S340" s="3">
        <f>SUM(Table1[[#This Row],[Product_Cost]:[Other_Cost]])</f>
        <v>148559.34999999998</v>
      </c>
      <c r="T340" s="3">
        <f>Table1[[#This Row],[Net_Sales]]-Table1[[#This Row],[Product_Cost]]</f>
        <v>49752.28</v>
      </c>
      <c r="U340" s="3">
        <f>Table1[[#This Row],[Net_Sales]]-Table1[[#This Row],[Total_Cost]]</f>
        <v>23028.150000000023</v>
      </c>
      <c r="V340" s="4">
        <f>Table1[[#This Row],[Net_Profit]]/Table1[[#This Row],[Net_Sales]]</f>
        <v>0.13420645443286966</v>
      </c>
      <c r="W340" t="s">
        <v>33</v>
      </c>
      <c r="X340" t="s">
        <v>332</v>
      </c>
      <c r="Y340">
        <v>3</v>
      </c>
      <c r="Z340" t="str">
        <f>IF(Table1[[#This Row],[Month_No]]&lt;=6, "H1","H2")</f>
        <v>H1</v>
      </c>
    </row>
    <row r="341" spans="1:26" x14ac:dyDescent="0.25">
      <c r="A341" s="2">
        <v>45739</v>
      </c>
      <c r="B341" t="s">
        <v>416</v>
      </c>
      <c r="C341" t="s">
        <v>63</v>
      </c>
      <c r="D341" t="s">
        <v>37</v>
      </c>
      <c r="E341" t="s">
        <v>38</v>
      </c>
      <c r="F341" t="s">
        <v>46</v>
      </c>
      <c r="G341" t="s">
        <v>76</v>
      </c>
      <c r="H341" t="s">
        <v>47</v>
      </c>
      <c r="I341">
        <v>74</v>
      </c>
      <c r="J341" s="3">
        <v>4533.62</v>
      </c>
      <c r="K341" s="3">
        <f>Table1[[#This Row],[Quantity]]*Table1[[#This Row],[Unit_Price]]</f>
        <v>335487.88</v>
      </c>
      <c r="L341" s="3">
        <v>23939.439999999999</v>
      </c>
      <c r="M341" s="3">
        <f>Table1[[#This Row],[Gross_Sales]]-Table1[[#This Row],[Discount]]</f>
        <v>311548.44</v>
      </c>
      <c r="N341" s="3">
        <v>234896.31</v>
      </c>
      <c r="O341" s="3">
        <v>9667.76</v>
      </c>
      <c r="P341" s="3">
        <v>18848.61</v>
      </c>
      <c r="Q341" s="3">
        <v>16164.78</v>
      </c>
      <c r="R341" s="3">
        <v>8213.3700000000008</v>
      </c>
      <c r="S341" s="3">
        <f>SUM(Table1[[#This Row],[Product_Cost]:[Other_Cost]])</f>
        <v>287790.83</v>
      </c>
      <c r="T341" s="3">
        <f>Table1[[#This Row],[Net_Sales]]-Table1[[#This Row],[Product_Cost]]</f>
        <v>76652.13</v>
      </c>
      <c r="U341" s="3">
        <f>Table1[[#This Row],[Net_Sales]]-Table1[[#This Row],[Total_Cost]]</f>
        <v>23757.609999999986</v>
      </c>
      <c r="V341" s="4">
        <f>Table1[[#This Row],[Net_Profit]]/Table1[[#This Row],[Net_Sales]]</f>
        <v>7.6256552592591981E-2</v>
      </c>
      <c r="W341" t="s">
        <v>33</v>
      </c>
      <c r="X341" t="s">
        <v>332</v>
      </c>
      <c r="Y341">
        <v>3</v>
      </c>
      <c r="Z341" t="str">
        <f>IF(Table1[[#This Row],[Month_No]]&lt;=6, "H1","H2")</f>
        <v>H1</v>
      </c>
    </row>
    <row r="342" spans="1:26" x14ac:dyDescent="0.25">
      <c r="A342" s="2">
        <v>45739</v>
      </c>
      <c r="B342" t="s">
        <v>417</v>
      </c>
      <c r="C342" t="s">
        <v>78</v>
      </c>
      <c r="D342" t="s">
        <v>37</v>
      </c>
      <c r="E342" t="s">
        <v>38</v>
      </c>
      <c r="F342" t="s">
        <v>30</v>
      </c>
      <c r="G342" t="s">
        <v>71</v>
      </c>
      <c r="H342" t="s">
        <v>59</v>
      </c>
      <c r="I342">
        <v>54</v>
      </c>
      <c r="J342" s="3">
        <v>4198.7299999999996</v>
      </c>
      <c r="K342" s="3">
        <f>Table1[[#This Row],[Quantity]]*Table1[[#This Row],[Unit_Price]]</f>
        <v>226731.41999999998</v>
      </c>
      <c r="L342" s="3">
        <v>15819.72</v>
      </c>
      <c r="M342" s="3">
        <f>Table1[[#This Row],[Gross_Sales]]-Table1[[#This Row],[Discount]]</f>
        <v>210911.69999999998</v>
      </c>
      <c r="N342" s="3">
        <v>151014.39999999999</v>
      </c>
      <c r="O342" s="3">
        <v>7659.52</v>
      </c>
      <c r="P342" s="3">
        <v>13657.12</v>
      </c>
      <c r="Q342" s="3">
        <v>9462</v>
      </c>
      <c r="R342" s="3">
        <v>4704.12</v>
      </c>
      <c r="S342" s="3">
        <f>SUM(Table1[[#This Row],[Product_Cost]:[Other_Cost]])</f>
        <v>186497.15999999997</v>
      </c>
      <c r="T342" s="3">
        <f>Table1[[#This Row],[Net_Sales]]-Table1[[#This Row],[Product_Cost]]</f>
        <v>59897.299999999988</v>
      </c>
      <c r="U342" s="3">
        <f>Table1[[#This Row],[Net_Sales]]-Table1[[#This Row],[Total_Cost]]</f>
        <v>24414.540000000008</v>
      </c>
      <c r="V342" s="4">
        <f>Table1[[#This Row],[Net_Profit]]/Table1[[#This Row],[Net_Sales]]</f>
        <v>0.1157571628316495</v>
      </c>
      <c r="W342" t="s">
        <v>33</v>
      </c>
      <c r="X342" t="s">
        <v>332</v>
      </c>
      <c r="Y342">
        <v>3</v>
      </c>
      <c r="Z342" t="str">
        <f>IF(Table1[[#This Row],[Month_No]]&lt;=6, "H1","H2")</f>
        <v>H1</v>
      </c>
    </row>
    <row r="343" spans="1:26" x14ac:dyDescent="0.25">
      <c r="A343" s="2">
        <v>45740</v>
      </c>
      <c r="B343" t="s">
        <v>418</v>
      </c>
      <c r="C343" t="s">
        <v>117</v>
      </c>
      <c r="D343" t="s">
        <v>85</v>
      </c>
      <c r="E343" t="s">
        <v>57</v>
      </c>
      <c r="F343" t="s">
        <v>46</v>
      </c>
      <c r="G343" t="s">
        <v>58</v>
      </c>
      <c r="H343" t="s">
        <v>59</v>
      </c>
      <c r="I343">
        <v>79</v>
      </c>
      <c r="J343" s="3">
        <v>1804.44</v>
      </c>
      <c r="K343" s="3">
        <f>Table1[[#This Row],[Quantity]]*Table1[[#This Row],[Unit_Price]]</f>
        <v>142550.76</v>
      </c>
      <c r="L343" s="3">
        <v>9792.26</v>
      </c>
      <c r="M343" s="3">
        <f>Table1[[#This Row],[Gross_Sales]]-Table1[[#This Row],[Discount]]</f>
        <v>132758.5</v>
      </c>
      <c r="N343" s="3">
        <v>89402.7</v>
      </c>
      <c r="O343" s="3">
        <v>3712.81</v>
      </c>
      <c r="P343" s="3">
        <v>9243.09</v>
      </c>
      <c r="Q343" s="3">
        <v>5746.53</v>
      </c>
      <c r="R343" s="3">
        <v>4087.11</v>
      </c>
      <c r="S343" s="3">
        <f>SUM(Table1[[#This Row],[Product_Cost]:[Other_Cost]])</f>
        <v>112192.23999999999</v>
      </c>
      <c r="T343" s="3">
        <f>Table1[[#This Row],[Net_Sales]]-Table1[[#This Row],[Product_Cost]]</f>
        <v>43355.8</v>
      </c>
      <c r="U343" s="3">
        <f>Table1[[#This Row],[Net_Sales]]-Table1[[#This Row],[Total_Cost]]</f>
        <v>20566.260000000009</v>
      </c>
      <c r="V343" s="4">
        <f>Table1[[#This Row],[Net_Profit]]/Table1[[#This Row],[Net_Sales]]</f>
        <v>0.15491482654594629</v>
      </c>
      <c r="W343" t="s">
        <v>33</v>
      </c>
      <c r="X343" t="s">
        <v>332</v>
      </c>
      <c r="Y343">
        <v>3</v>
      </c>
      <c r="Z343" t="str">
        <f>IF(Table1[[#This Row],[Month_No]]&lt;=6, "H1","H2")</f>
        <v>H1</v>
      </c>
    </row>
    <row r="344" spans="1:26" x14ac:dyDescent="0.25">
      <c r="A344" s="2">
        <v>45741</v>
      </c>
      <c r="B344" t="s">
        <v>419</v>
      </c>
      <c r="C344" t="s">
        <v>78</v>
      </c>
      <c r="D344" t="s">
        <v>28</v>
      </c>
      <c r="E344" t="s">
        <v>29</v>
      </c>
      <c r="F344" t="s">
        <v>52</v>
      </c>
      <c r="G344" t="s">
        <v>71</v>
      </c>
      <c r="H344" t="s">
        <v>41</v>
      </c>
      <c r="I344">
        <v>109</v>
      </c>
      <c r="J344" s="3">
        <v>1171.81</v>
      </c>
      <c r="K344" s="3">
        <f>Table1[[#This Row],[Quantity]]*Table1[[#This Row],[Unit_Price]]</f>
        <v>127727.29</v>
      </c>
      <c r="L344" s="3">
        <v>9673.24</v>
      </c>
      <c r="M344" s="3">
        <f>Table1[[#This Row],[Gross_Sales]]-Table1[[#This Row],[Discount]]</f>
        <v>118054.04999999999</v>
      </c>
      <c r="N344" s="3">
        <v>69284.69</v>
      </c>
      <c r="O344" s="3">
        <v>2988.86</v>
      </c>
      <c r="P344" s="3">
        <v>8302.69</v>
      </c>
      <c r="Q344" s="3">
        <v>4649.6899999999996</v>
      </c>
      <c r="R344" s="3">
        <v>3758.21</v>
      </c>
      <c r="S344" s="3">
        <f>SUM(Table1[[#This Row],[Product_Cost]:[Other_Cost]])</f>
        <v>88984.140000000014</v>
      </c>
      <c r="T344" s="3">
        <f>Table1[[#This Row],[Net_Sales]]-Table1[[#This Row],[Product_Cost]]</f>
        <v>48769.359999999986</v>
      </c>
      <c r="U344" s="3">
        <f>Table1[[#This Row],[Net_Sales]]-Table1[[#This Row],[Total_Cost]]</f>
        <v>29069.909999999974</v>
      </c>
      <c r="V344" s="4">
        <f>Table1[[#This Row],[Net_Profit]]/Table1[[#This Row],[Net_Sales]]</f>
        <v>0.24624237796161993</v>
      </c>
      <c r="W344" t="s">
        <v>33</v>
      </c>
      <c r="X344" t="s">
        <v>332</v>
      </c>
      <c r="Y344">
        <v>3</v>
      </c>
      <c r="Z344" t="str">
        <f>IF(Table1[[#This Row],[Month_No]]&lt;=6, "H1","H2")</f>
        <v>H1</v>
      </c>
    </row>
    <row r="345" spans="1:26" x14ac:dyDescent="0.25">
      <c r="A345" s="2">
        <v>45741</v>
      </c>
      <c r="B345" t="s">
        <v>420</v>
      </c>
      <c r="C345" t="s">
        <v>63</v>
      </c>
      <c r="D345" t="s">
        <v>74</v>
      </c>
      <c r="E345" t="s">
        <v>75</v>
      </c>
      <c r="F345" t="s">
        <v>46</v>
      </c>
      <c r="G345" t="s">
        <v>64</v>
      </c>
      <c r="H345" t="s">
        <v>47</v>
      </c>
      <c r="I345">
        <v>57</v>
      </c>
      <c r="J345" s="3">
        <v>5267.34</v>
      </c>
      <c r="K345" s="3">
        <f>Table1[[#This Row],[Quantity]]*Table1[[#This Row],[Unit_Price]]</f>
        <v>300238.38</v>
      </c>
      <c r="L345" s="3">
        <v>21891.1</v>
      </c>
      <c r="M345" s="3">
        <f>Table1[[#This Row],[Gross_Sales]]-Table1[[#This Row],[Discount]]</f>
        <v>278347.28000000003</v>
      </c>
      <c r="N345" s="3">
        <v>203164.6</v>
      </c>
      <c r="O345" s="3">
        <v>8838.61</v>
      </c>
      <c r="P345" s="3">
        <v>20551.849999999999</v>
      </c>
      <c r="Q345" s="3">
        <v>12368.11</v>
      </c>
      <c r="R345" s="3">
        <v>6230.51</v>
      </c>
      <c r="S345" s="3">
        <f>SUM(Table1[[#This Row],[Product_Cost]:[Other_Cost]])</f>
        <v>251153.68000000005</v>
      </c>
      <c r="T345" s="3">
        <f>Table1[[#This Row],[Net_Sales]]-Table1[[#This Row],[Product_Cost]]</f>
        <v>75182.680000000022</v>
      </c>
      <c r="U345" s="3">
        <f>Table1[[#This Row],[Net_Sales]]-Table1[[#This Row],[Total_Cost]]</f>
        <v>27193.599999999977</v>
      </c>
      <c r="V345" s="4">
        <f>Table1[[#This Row],[Net_Profit]]/Table1[[#This Row],[Net_Sales]]</f>
        <v>9.7696661522972211E-2</v>
      </c>
      <c r="W345" t="s">
        <v>33</v>
      </c>
      <c r="X345" t="s">
        <v>332</v>
      </c>
      <c r="Y345">
        <v>3</v>
      </c>
      <c r="Z345" t="str">
        <f>IF(Table1[[#This Row],[Month_No]]&lt;=6, "H1","H2")</f>
        <v>H1</v>
      </c>
    </row>
    <row r="346" spans="1:26" x14ac:dyDescent="0.25">
      <c r="A346" s="2">
        <v>45742</v>
      </c>
      <c r="B346" t="s">
        <v>421</v>
      </c>
      <c r="C346" t="s">
        <v>107</v>
      </c>
      <c r="D346" t="s">
        <v>50</v>
      </c>
      <c r="E346" t="s">
        <v>51</v>
      </c>
      <c r="F346" t="s">
        <v>39</v>
      </c>
      <c r="G346" t="s">
        <v>71</v>
      </c>
      <c r="H346" t="s">
        <v>47</v>
      </c>
      <c r="I346">
        <v>95</v>
      </c>
      <c r="J346" s="3">
        <v>813.72</v>
      </c>
      <c r="K346" s="3">
        <f>Table1[[#This Row],[Quantity]]*Table1[[#This Row],[Unit_Price]]</f>
        <v>77303.400000000009</v>
      </c>
      <c r="L346" s="3">
        <v>5808.21</v>
      </c>
      <c r="M346" s="3">
        <f>Table1[[#This Row],[Gross_Sales]]-Table1[[#This Row],[Discount]]</f>
        <v>71495.19</v>
      </c>
      <c r="N346" s="3">
        <v>48363.48</v>
      </c>
      <c r="O346" s="3">
        <v>2774.2</v>
      </c>
      <c r="P346" s="3">
        <v>5022.3500000000004</v>
      </c>
      <c r="Q346" s="3">
        <v>2555.36</v>
      </c>
      <c r="R346" s="3">
        <v>2234.13</v>
      </c>
      <c r="S346" s="3">
        <f>SUM(Table1[[#This Row],[Product_Cost]:[Other_Cost]])</f>
        <v>60949.52</v>
      </c>
      <c r="T346" s="3">
        <f>Table1[[#This Row],[Net_Sales]]-Table1[[#This Row],[Product_Cost]]</f>
        <v>23131.71</v>
      </c>
      <c r="U346" s="3">
        <f>Table1[[#This Row],[Net_Sales]]-Table1[[#This Row],[Total_Cost]]</f>
        <v>10545.670000000006</v>
      </c>
      <c r="V346" s="4">
        <f>Table1[[#This Row],[Net_Profit]]/Table1[[#This Row],[Net_Sales]]</f>
        <v>0.14750181096098919</v>
      </c>
      <c r="W346" t="s">
        <v>33</v>
      </c>
      <c r="X346" t="s">
        <v>332</v>
      </c>
      <c r="Y346">
        <v>3</v>
      </c>
      <c r="Z346" t="str">
        <f>IF(Table1[[#This Row],[Month_No]]&lt;=6, "H1","H2")</f>
        <v>H1</v>
      </c>
    </row>
    <row r="347" spans="1:26" x14ac:dyDescent="0.25">
      <c r="A347" s="2">
        <v>45742</v>
      </c>
      <c r="B347" t="s">
        <v>422</v>
      </c>
      <c r="C347" t="s">
        <v>107</v>
      </c>
      <c r="D347" t="s">
        <v>183</v>
      </c>
      <c r="E347" t="s">
        <v>38</v>
      </c>
      <c r="F347" t="s">
        <v>52</v>
      </c>
      <c r="G347" t="s">
        <v>40</v>
      </c>
      <c r="H347" t="s">
        <v>41</v>
      </c>
      <c r="I347">
        <v>83</v>
      </c>
      <c r="J347" s="3">
        <v>6506.02</v>
      </c>
      <c r="K347" s="3">
        <f>Table1[[#This Row],[Quantity]]*Table1[[#This Row],[Unit_Price]]</f>
        <v>539999.66</v>
      </c>
      <c r="L347" s="3">
        <v>38726.910000000003</v>
      </c>
      <c r="M347" s="3">
        <f>Table1[[#This Row],[Gross_Sales]]-Table1[[#This Row],[Discount]]</f>
        <v>501272.75</v>
      </c>
      <c r="N347" s="3">
        <v>287473.87</v>
      </c>
      <c r="O347" s="3">
        <v>14067.07</v>
      </c>
      <c r="P347" s="3">
        <v>29444</v>
      </c>
      <c r="Q347" s="3">
        <v>21151.119999999999</v>
      </c>
      <c r="R347" s="3">
        <v>14637.45</v>
      </c>
      <c r="S347" s="3">
        <f>SUM(Table1[[#This Row],[Product_Cost]:[Other_Cost]])</f>
        <v>366773.51</v>
      </c>
      <c r="T347" s="3">
        <f>Table1[[#This Row],[Net_Sales]]-Table1[[#This Row],[Product_Cost]]</f>
        <v>213798.88</v>
      </c>
      <c r="U347" s="3">
        <f>Table1[[#This Row],[Net_Sales]]-Table1[[#This Row],[Total_Cost]]</f>
        <v>134499.24</v>
      </c>
      <c r="V347" s="4">
        <f>Table1[[#This Row],[Net_Profit]]/Table1[[#This Row],[Net_Sales]]</f>
        <v>0.26831548293818086</v>
      </c>
      <c r="W347" t="s">
        <v>33</v>
      </c>
      <c r="X347" t="s">
        <v>332</v>
      </c>
      <c r="Y347">
        <v>3</v>
      </c>
      <c r="Z347" t="str">
        <f>IF(Table1[[#This Row],[Month_No]]&lt;=6, "H1","H2")</f>
        <v>H1</v>
      </c>
    </row>
    <row r="348" spans="1:26" x14ac:dyDescent="0.25">
      <c r="A348" s="2">
        <v>45742</v>
      </c>
      <c r="B348" t="s">
        <v>423</v>
      </c>
      <c r="C348" t="s">
        <v>98</v>
      </c>
      <c r="D348" t="s">
        <v>44</v>
      </c>
      <c r="E348" t="s">
        <v>45</v>
      </c>
      <c r="F348" t="s">
        <v>30</v>
      </c>
      <c r="G348" t="s">
        <v>58</v>
      </c>
      <c r="H348" t="s">
        <v>41</v>
      </c>
      <c r="I348">
        <v>32</v>
      </c>
      <c r="J348" s="3">
        <v>4457.33</v>
      </c>
      <c r="K348" s="3">
        <f>Table1[[#This Row],[Quantity]]*Table1[[#This Row],[Unit_Price]]</f>
        <v>142634.56</v>
      </c>
      <c r="L348" s="3">
        <v>9793.51</v>
      </c>
      <c r="M348" s="3">
        <f>Table1[[#This Row],[Gross_Sales]]-Table1[[#This Row],[Discount]]</f>
        <v>132841.04999999999</v>
      </c>
      <c r="N348" s="3">
        <v>96277.11</v>
      </c>
      <c r="O348" s="3">
        <v>4414.6099999999997</v>
      </c>
      <c r="P348" s="3">
        <v>9040.06</v>
      </c>
      <c r="Q348" s="3">
        <v>7035.54</v>
      </c>
      <c r="R348" s="3">
        <v>2729.49</v>
      </c>
      <c r="S348" s="3">
        <f>SUM(Table1[[#This Row],[Product_Cost]:[Other_Cost]])</f>
        <v>119496.81</v>
      </c>
      <c r="T348" s="3">
        <f>Table1[[#This Row],[Net_Sales]]-Table1[[#This Row],[Product_Cost]]</f>
        <v>36563.939999999988</v>
      </c>
      <c r="U348" s="3">
        <f>Table1[[#This Row],[Net_Sales]]-Table1[[#This Row],[Total_Cost]]</f>
        <v>13344.239999999991</v>
      </c>
      <c r="V348" s="4">
        <f>Table1[[#This Row],[Net_Profit]]/Table1[[#This Row],[Net_Sales]]</f>
        <v>0.10045268386541654</v>
      </c>
      <c r="W348" t="s">
        <v>33</v>
      </c>
      <c r="X348" t="s">
        <v>332</v>
      </c>
      <c r="Y348">
        <v>3</v>
      </c>
      <c r="Z348" t="str">
        <f>IF(Table1[[#This Row],[Month_No]]&lt;=6, "H1","H2")</f>
        <v>H1</v>
      </c>
    </row>
    <row r="349" spans="1:26" x14ac:dyDescent="0.25">
      <c r="A349" s="2">
        <v>45743</v>
      </c>
      <c r="B349" t="s">
        <v>424</v>
      </c>
      <c r="C349" t="s">
        <v>70</v>
      </c>
      <c r="D349" t="s">
        <v>50</v>
      </c>
      <c r="E349" t="s">
        <v>51</v>
      </c>
      <c r="F349" t="s">
        <v>39</v>
      </c>
      <c r="G349" t="s">
        <v>64</v>
      </c>
      <c r="H349" t="s">
        <v>41</v>
      </c>
      <c r="I349">
        <v>70</v>
      </c>
      <c r="J349" s="3">
        <v>802.98</v>
      </c>
      <c r="K349" s="3">
        <f>Table1[[#This Row],[Quantity]]*Table1[[#This Row],[Unit_Price]]</f>
        <v>56208.6</v>
      </c>
      <c r="L349" s="3">
        <v>4224.05</v>
      </c>
      <c r="M349" s="3">
        <f>Table1[[#This Row],[Gross_Sales]]-Table1[[#This Row],[Discount]]</f>
        <v>51984.549999999996</v>
      </c>
      <c r="N349" s="3">
        <v>35318.03</v>
      </c>
      <c r="O349" s="3">
        <v>2100.94</v>
      </c>
      <c r="P349" s="3">
        <v>3498.55</v>
      </c>
      <c r="Q349" s="3">
        <v>2504.5100000000002</v>
      </c>
      <c r="R349" s="3">
        <v>1434.92</v>
      </c>
      <c r="S349" s="3">
        <f>SUM(Table1[[#This Row],[Product_Cost]:[Other_Cost]])</f>
        <v>44856.950000000004</v>
      </c>
      <c r="T349" s="3">
        <f>Table1[[#This Row],[Net_Sales]]-Table1[[#This Row],[Product_Cost]]</f>
        <v>16666.519999999997</v>
      </c>
      <c r="U349" s="3">
        <f>Table1[[#This Row],[Net_Sales]]-Table1[[#This Row],[Total_Cost]]</f>
        <v>7127.5999999999913</v>
      </c>
      <c r="V349" s="4">
        <f>Table1[[#This Row],[Net_Profit]]/Table1[[#This Row],[Net_Sales]]</f>
        <v>0.13710996825018187</v>
      </c>
      <c r="W349" t="s">
        <v>33</v>
      </c>
      <c r="X349" t="s">
        <v>332</v>
      </c>
      <c r="Y349">
        <v>3</v>
      </c>
      <c r="Z349" t="str">
        <f>IF(Table1[[#This Row],[Month_No]]&lt;=6, "H1","H2")</f>
        <v>H1</v>
      </c>
    </row>
    <row r="350" spans="1:26" x14ac:dyDescent="0.25">
      <c r="A350" s="2">
        <v>45743</v>
      </c>
      <c r="B350" t="s">
        <v>425</v>
      </c>
      <c r="C350" t="s">
        <v>107</v>
      </c>
      <c r="D350" t="s">
        <v>68</v>
      </c>
      <c r="E350" t="s">
        <v>29</v>
      </c>
      <c r="F350" t="s">
        <v>52</v>
      </c>
      <c r="G350" t="s">
        <v>61</v>
      </c>
      <c r="H350" t="s">
        <v>41</v>
      </c>
      <c r="I350">
        <v>174</v>
      </c>
      <c r="J350" s="3">
        <v>360.22</v>
      </c>
      <c r="K350" s="3">
        <f>Table1[[#This Row],[Quantity]]*Table1[[#This Row],[Unit_Price]]</f>
        <v>62678.280000000006</v>
      </c>
      <c r="L350" s="3">
        <v>5681.89</v>
      </c>
      <c r="M350" s="3">
        <f>Table1[[#This Row],[Gross_Sales]]-Table1[[#This Row],[Discount]]</f>
        <v>56996.390000000007</v>
      </c>
      <c r="N350" s="3">
        <v>45248.01</v>
      </c>
      <c r="O350" s="3">
        <v>1359.52</v>
      </c>
      <c r="P350" s="3">
        <v>3321.73</v>
      </c>
      <c r="Q350" s="3">
        <v>2773.21</v>
      </c>
      <c r="R350" s="3">
        <v>1720.02</v>
      </c>
      <c r="S350" s="3">
        <f>SUM(Table1[[#This Row],[Product_Cost]:[Other_Cost]])</f>
        <v>54422.49</v>
      </c>
      <c r="T350" s="3">
        <f>Table1[[#This Row],[Net_Sales]]-Table1[[#This Row],[Product_Cost]]</f>
        <v>11748.380000000005</v>
      </c>
      <c r="U350" s="3">
        <f>Table1[[#This Row],[Net_Sales]]-Table1[[#This Row],[Total_Cost]]</f>
        <v>2573.9000000000087</v>
      </c>
      <c r="V350" s="4">
        <f>Table1[[#This Row],[Net_Profit]]/Table1[[#This Row],[Net_Sales]]</f>
        <v>4.5159000420903997E-2</v>
      </c>
      <c r="W350" t="s">
        <v>33</v>
      </c>
      <c r="X350" t="s">
        <v>332</v>
      </c>
      <c r="Y350">
        <v>3</v>
      </c>
      <c r="Z350" t="str">
        <f>IF(Table1[[#This Row],[Month_No]]&lt;=6, "H1","H2")</f>
        <v>H1</v>
      </c>
    </row>
    <row r="351" spans="1:26" x14ac:dyDescent="0.25">
      <c r="A351" s="2">
        <v>45743</v>
      </c>
      <c r="B351" t="s">
        <v>426</v>
      </c>
      <c r="C351" t="s">
        <v>36</v>
      </c>
      <c r="D351" t="s">
        <v>74</v>
      </c>
      <c r="E351" t="s">
        <v>75</v>
      </c>
      <c r="F351" t="s">
        <v>30</v>
      </c>
      <c r="G351" t="s">
        <v>40</v>
      </c>
      <c r="H351" t="s">
        <v>41</v>
      </c>
      <c r="I351">
        <v>53</v>
      </c>
      <c r="J351" s="3">
        <v>5372.38</v>
      </c>
      <c r="K351" s="3">
        <f>Table1[[#This Row],[Quantity]]*Table1[[#This Row],[Unit_Price]]</f>
        <v>284736.14</v>
      </c>
      <c r="L351" s="3">
        <v>21334.04</v>
      </c>
      <c r="M351" s="3">
        <f>Table1[[#This Row],[Gross_Sales]]-Table1[[#This Row],[Discount]]</f>
        <v>263402.10000000003</v>
      </c>
      <c r="N351" s="3">
        <v>196907.08</v>
      </c>
      <c r="O351" s="3">
        <v>8718.07</v>
      </c>
      <c r="P351" s="3">
        <v>17738.150000000001</v>
      </c>
      <c r="Q351" s="3">
        <v>14174.54</v>
      </c>
      <c r="R351" s="3">
        <v>5732.87</v>
      </c>
      <c r="S351" s="3">
        <f>SUM(Table1[[#This Row],[Product_Cost]:[Other_Cost]])</f>
        <v>243270.71</v>
      </c>
      <c r="T351" s="3">
        <f>Table1[[#This Row],[Net_Sales]]-Table1[[#This Row],[Product_Cost]]</f>
        <v>66495.020000000048</v>
      </c>
      <c r="U351" s="3">
        <f>Table1[[#This Row],[Net_Sales]]-Table1[[#This Row],[Total_Cost]]</f>
        <v>20131.390000000043</v>
      </c>
      <c r="V351" s="4">
        <f>Table1[[#This Row],[Net_Profit]]/Table1[[#This Row],[Net_Sales]]</f>
        <v>7.6428358012331873E-2</v>
      </c>
      <c r="W351" t="s">
        <v>33</v>
      </c>
      <c r="X351" t="s">
        <v>332</v>
      </c>
      <c r="Y351">
        <v>3</v>
      </c>
      <c r="Z351" t="str">
        <f>IF(Table1[[#This Row],[Month_No]]&lt;=6, "H1","H2")</f>
        <v>H1</v>
      </c>
    </row>
    <row r="352" spans="1:26" x14ac:dyDescent="0.25">
      <c r="A352" s="2">
        <v>45743</v>
      </c>
      <c r="B352" t="s">
        <v>427</v>
      </c>
      <c r="C352" t="s">
        <v>43</v>
      </c>
      <c r="D352" t="s">
        <v>85</v>
      </c>
      <c r="E352" t="s">
        <v>57</v>
      </c>
      <c r="F352" t="s">
        <v>39</v>
      </c>
      <c r="G352" t="s">
        <v>58</v>
      </c>
      <c r="H352" t="s">
        <v>47</v>
      </c>
      <c r="I352">
        <v>86</v>
      </c>
      <c r="J352" s="3">
        <v>1882.4</v>
      </c>
      <c r="K352" s="3">
        <f>Table1[[#This Row],[Quantity]]*Table1[[#This Row],[Unit_Price]]</f>
        <v>161886.39999999999</v>
      </c>
      <c r="L352" s="3">
        <v>10678.49</v>
      </c>
      <c r="M352" s="3">
        <f>Table1[[#This Row],[Gross_Sales]]-Table1[[#This Row],[Discount]]</f>
        <v>151207.91</v>
      </c>
      <c r="N352" s="3">
        <v>108954.92</v>
      </c>
      <c r="O352" s="3">
        <v>6759.8</v>
      </c>
      <c r="P352" s="3">
        <v>9136.33</v>
      </c>
      <c r="Q352" s="3">
        <v>8227.19</v>
      </c>
      <c r="R352" s="3">
        <v>3181.93</v>
      </c>
      <c r="S352" s="3">
        <f>SUM(Table1[[#This Row],[Product_Cost]:[Other_Cost]])</f>
        <v>136260.16999999998</v>
      </c>
      <c r="T352" s="3">
        <f>Table1[[#This Row],[Net_Sales]]-Table1[[#This Row],[Product_Cost]]</f>
        <v>42252.990000000005</v>
      </c>
      <c r="U352" s="3">
        <f>Table1[[#This Row],[Net_Sales]]-Table1[[#This Row],[Total_Cost]]</f>
        <v>14947.74000000002</v>
      </c>
      <c r="V352" s="4">
        <f>Table1[[#This Row],[Net_Profit]]/Table1[[#This Row],[Net_Sales]]</f>
        <v>9.8855542676305891E-2</v>
      </c>
      <c r="W352" t="s">
        <v>33</v>
      </c>
      <c r="X352" t="s">
        <v>332</v>
      </c>
      <c r="Y352">
        <v>3</v>
      </c>
      <c r="Z352" t="str">
        <f>IF(Table1[[#This Row],[Month_No]]&lt;=6, "H1","H2")</f>
        <v>H1</v>
      </c>
    </row>
    <row r="353" spans="1:26" x14ac:dyDescent="0.25">
      <c r="A353" s="2">
        <v>45743</v>
      </c>
      <c r="B353" t="s">
        <v>428</v>
      </c>
      <c r="C353" t="s">
        <v>36</v>
      </c>
      <c r="D353" t="s">
        <v>28</v>
      </c>
      <c r="E353" t="s">
        <v>29</v>
      </c>
      <c r="F353" t="s">
        <v>30</v>
      </c>
      <c r="G353" t="s">
        <v>71</v>
      </c>
      <c r="H353" t="s">
        <v>59</v>
      </c>
      <c r="I353">
        <v>43</v>
      </c>
      <c r="J353" s="3">
        <v>1107.81</v>
      </c>
      <c r="K353" s="3">
        <f>Table1[[#This Row],[Quantity]]*Table1[[#This Row],[Unit_Price]]</f>
        <v>47635.829999999994</v>
      </c>
      <c r="L353" s="3">
        <v>3823.87</v>
      </c>
      <c r="M353" s="3">
        <f>Table1[[#This Row],[Gross_Sales]]-Table1[[#This Row],[Discount]]</f>
        <v>43811.959999999992</v>
      </c>
      <c r="N353" s="3">
        <v>26487.01</v>
      </c>
      <c r="O353" s="3">
        <v>1607.35</v>
      </c>
      <c r="P353" s="3">
        <v>3100.04</v>
      </c>
      <c r="Q353" s="3">
        <v>2397.9499999999998</v>
      </c>
      <c r="R353" s="3">
        <v>1293.52</v>
      </c>
      <c r="S353" s="3">
        <f>SUM(Table1[[#This Row],[Product_Cost]:[Other_Cost]])</f>
        <v>34885.869999999995</v>
      </c>
      <c r="T353" s="3">
        <f>Table1[[#This Row],[Net_Sales]]-Table1[[#This Row],[Product_Cost]]</f>
        <v>17324.949999999993</v>
      </c>
      <c r="U353" s="3">
        <f>Table1[[#This Row],[Net_Sales]]-Table1[[#This Row],[Total_Cost]]</f>
        <v>8926.0899999999965</v>
      </c>
      <c r="V353" s="4">
        <f>Table1[[#This Row],[Net_Profit]]/Table1[[#This Row],[Net_Sales]]</f>
        <v>0.20373637700755681</v>
      </c>
      <c r="W353" t="s">
        <v>72</v>
      </c>
      <c r="X353" t="s">
        <v>332</v>
      </c>
      <c r="Y353">
        <v>3</v>
      </c>
      <c r="Z353" t="str">
        <f>IF(Table1[[#This Row],[Month_No]]&lt;=6, "H1","H2")</f>
        <v>H1</v>
      </c>
    </row>
    <row r="354" spans="1:26" x14ac:dyDescent="0.25">
      <c r="A354" s="2">
        <v>45744</v>
      </c>
      <c r="B354" t="s">
        <v>429</v>
      </c>
      <c r="C354" t="s">
        <v>36</v>
      </c>
      <c r="D354" t="s">
        <v>100</v>
      </c>
      <c r="E354" t="s">
        <v>75</v>
      </c>
      <c r="F354" t="s">
        <v>39</v>
      </c>
      <c r="G354" t="s">
        <v>71</v>
      </c>
      <c r="H354" t="s">
        <v>41</v>
      </c>
      <c r="I354">
        <v>70</v>
      </c>
      <c r="J354" s="3">
        <v>6985.12</v>
      </c>
      <c r="K354" s="3">
        <f>Table1[[#This Row],[Quantity]]*Table1[[#This Row],[Unit_Price]]</f>
        <v>488958.39999999997</v>
      </c>
      <c r="L354" s="3">
        <v>45553.23</v>
      </c>
      <c r="M354" s="3">
        <f>Table1[[#This Row],[Gross_Sales]]-Table1[[#This Row],[Discount]]</f>
        <v>443405.17</v>
      </c>
      <c r="N354" s="3">
        <v>277554.21000000002</v>
      </c>
      <c r="O354" s="3">
        <v>20090.560000000001</v>
      </c>
      <c r="P354" s="3">
        <v>30412.880000000001</v>
      </c>
      <c r="Q354" s="3">
        <v>21615.58</v>
      </c>
      <c r="R354" s="3">
        <v>9489.9</v>
      </c>
      <c r="S354" s="3">
        <f>SUM(Table1[[#This Row],[Product_Cost]:[Other_Cost]])</f>
        <v>359163.13000000006</v>
      </c>
      <c r="T354" s="3">
        <f>Table1[[#This Row],[Net_Sales]]-Table1[[#This Row],[Product_Cost]]</f>
        <v>165850.95999999996</v>
      </c>
      <c r="U354" s="3">
        <f>Table1[[#This Row],[Net_Sales]]-Table1[[#This Row],[Total_Cost]]</f>
        <v>84242.039999999921</v>
      </c>
      <c r="V354" s="4">
        <f>Table1[[#This Row],[Net_Profit]]/Table1[[#This Row],[Net_Sales]]</f>
        <v>0.18998885376099681</v>
      </c>
      <c r="W354" t="s">
        <v>33</v>
      </c>
      <c r="X354" t="s">
        <v>332</v>
      </c>
      <c r="Y354">
        <v>3</v>
      </c>
      <c r="Z354" t="str">
        <f>IF(Table1[[#This Row],[Month_No]]&lt;=6, "H1","H2")</f>
        <v>H1</v>
      </c>
    </row>
    <row r="355" spans="1:26" x14ac:dyDescent="0.25">
      <c r="A355" s="2">
        <v>45744</v>
      </c>
      <c r="B355" t="s">
        <v>430</v>
      </c>
      <c r="C355" t="s">
        <v>98</v>
      </c>
      <c r="D355" t="s">
        <v>44</v>
      </c>
      <c r="E355" t="s">
        <v>45</v>
      </c>
      <c r="F355" t="s">
        <v>52</v>
      </c>
      <c r="G355" t="s">
        <v>40</v>
      </c>
      <c r="H355" t="s">
        <v>59</v>
      </c>
      <c r="I355">
        <v>75</v>
      </c>
      <c r="J355" s="3">
        <v>4253.16</v>
      </c>
      <c r="K355" s="3">
        <f>Table1[[#This Row],[Quantity]]*Table1[[#This Row],[Unit_Price]]</f>
        <v>318987</v>
      </c>
      <c r="L355" s="3">
        <v>26748.87</v>
      </c>
      <c r="M355" s="3">
        <f>Table1[[#This Row],[Gross_Sales]]-Table1[[#This Row],[Discount]]</f>
        <v>292238.13</v>
      </c>
      <c r="N355" s="3">
        <v>213931.58</v>
      </c>
      <c r="O355" s="3">
        <v>8181.07</v>
      </c>
      <c r="P355" s="3">
        <v>20337.2</v>
      </c>
      <c r="Q355" s="3">
        <v>16003.67</v>
      </c>
      <c r="R355" s="3">
        <v>5926.52</v>
      </c>
      <c r="S355" s="3">
        <f>SUM(Table1[[#This Row],[Product_Cost]:[Other_Cost]])</f>
        <v>264380.04000000004</v>
      </c>
      <c r="T355" s="3">
        <f>Table1[[#This Row],[Net_Sales]]-Table1[[#This Row],[Product_Cost]]</f>
        <v>78306.550000000017</v>
      </c>
      <c r="U355" s="3">
        <f>Table1[[#This Row],[Net_Sales]]-Table1[[#This Row],[Total_Cost]]</f>
        <v>27858.089999999967</v>
      </c>
      <c r="V355" s="4">
        <f>Table1[[#This Row],[Net_Profit]]/Table1[[#This Row],[Net_Sales]]</f>
        <v>9.5326677596793988E-2</v>
      </c>
      <c r="W355" t="s">
        <v>33</v>
      </c>
      <c r="X355" t="s">
        <v>332</v>
      </c>
      <c r="Y355">
        <v>3</v>
      </c>
      <c r="Z355" t="str">
        <f>IF(Table1[[#This Row],[Month_No]]&lt;=6, "H1","H2")</f>
        <v>H1</v>
      </c>
    </row>
    <row r="356" spans="1:26" x14ac:dyDescent="0.25">
      <c r="A356" s="2">
        <v>45745</v>
      </c>
      <c r="B356" t="s">
        <v>431</v>
      </c>
      <c r="C356" t="s">
        <v>63</v>
      </c>
      <c r="D356" t="s">
        <v>74</v>
      </c>
      <c r="E356" t="s">
        <v>75</v>
      </c>
      <c r="F356" t="s">
        <v>30</v>
      </c>
      <c r="G356" t="s">
        <v>64</v>
      </c>
      <c r="H356" t="s">
        <v>41</v>
      </c>
      <c r="I356">
        <v>59</v>
      </c>
      <c r="J356" s="3">
        <v>5478.02</v>
      </c>
      <c r="K356" s="3">
        <f>Table1[[#This Row],[Quantity]]*Table1[[#This Row],[Unit_Price]]</f>
        <v>323203.18000000005</v>
      </c>
      <c r="L356" s="3">
        <v>24515.68</v>
      </c>
      <c r="M356" s="3">
        <f>Table1[[#This Row],[Gross_Sales]]-Table1[[#This Row],[Discount]]</f>
        <v>298687.50000000006</v>
      </c>
      <c r="N356" s="3">
        <v>222755.3</v>
      </c>
      <c r="O356" s="3">
        <v>10553.14</v>
      </c>
      <c r="P356" s="3">
        <v>22139.93</v>
      </c>
      <c r="Q356" s="3">
        <v>13289.09</v>
      </c>
      <c r="R356" s="3">
        <v>5974.63</v>
      </c>
      <c r="S356" s="3">
        <f>SUM(Table1[[#This Row],[Product_Cost]:[Other_Cost]])</f>
        <v>274712.09000000003</v>
      </c>
      <c r="T356" s="3">
        <f>Table1[[#This Row],[Net_Sales]]-Table1[[#This Row],[Product_Cost]]</f>
        <v>75932.20000000007</v>
      </c>
      <c r="U356" s="3">
        <f>Table1[[#This Row],[Net_Sales]]-Table1[[#This Row],[Total_Cost]]</f>
        <v>23975.410000000033</v>
      </c>
      <c r="V356" s="4">
        <f>Table1[[#This Row],[Net_Profit]]/Table1[[#This Row],[Net_Sales]]</f>
        <v>8.0269211132036083E-2</v>
      </c>
      <c r="W356" t="s">
        <v>33</v>
      </c>
      <c r="X356" t="s">
        <v>332</v>
      </c>
      <c r="Y356">
        <v>3</v>
      </c>
      <c r="Z356" t="str">
        <f>IF(Table1[[#This Row],[Month_No]]&lt;=6, "H1","H2")</f>
        <v>H1</v>
      </c>
    </row>
    <row r="357" spans="1:26" x14ac:dyDescent="0.25">
      <c r="A357" s="2">
        <v>45745</v>
      </c>
      <c r="B357" t="s">
        <v>432</v>
      </c>
      <c r="C357" t="s">
        <v>70</v>
      </c>
      <c r="D357" t="s">
        <v>37</v>
      </c>
      <c r="E357" t="s">
        <v>38</v>
      </c>
      <c r="F357" t="s">
        <v>39</v>
      </c>
      <c r="G357" t="s">
        <v>58</v>
      </c>
      <c r="H357" t="s">
        <v>41</v>
      </c>
      <c r="I357">
        <v>54</v>
      </c>
      <c r="J357" s="3">
        <v>4295.12</v>
      </c>
      <c r="K357" s="3">
        <f>Table1[[#This Row],[Quantity]]*Table1[[#This Row],[Unit_Price]]</f>
        <v>231936.47999999998</v>
      </c>
      <c r="L357" s="3">
        <v>17391.04</v>
      </c>
      <c r="M357" s="3">
        <f>Table1[[#This Row],[Gross_Sales]]-Table1[[#This Row],[Discount]]</f>
        <v>214545.43999999997</v>
      </c>
      <c r="N357" s="3">
        <v>155948.24</v>
      </c>
      <c r="O357" s="3">
        <v>8523.7999999999993</v>
      </c>
      <c r="P357" s="3">
        <v>13847.55</v>
      </c>
      <c r="Q357" s="3">
        <v>10215.19</v>
      </c>
      <c r="R357" s="3">
        <v>6630.21</v>
      </c>
      <c r="S357" s="3">
        <f>SUM(Table1[[#This Row],[Product_Cost]:[Other_Cost]])</f>
        <v>195164.98999999996</v>
      </c>
      <c r="T357" s="3">
        <f>Table1[[#This Row],[Net_Sales]]-Table1[[#This Row],[Product_Cost]]</f>
        <v>58597.199999999983</v>
      </c>
      <c r="U357" s="3">
        <f>Table1[[#This Row],[Net_Sales]]-Table1[[#This Row],[Total_Cost]]</f>
        <v>19380.450000000012</v>
      </c>
      <c r="V357" s="4">
        <f>Table1[[#This Row],[Net_Profit]]/Table1[[#This Row],[Net_Sales]]</f>
        <v>9.0332612056448339E-2</v>
      </c>
      <c r="W357" t="s">
        <v>33</v>
      </c>
      <c r="X357" t="s">
        <v>332</v>
      </c>
      <c r="Y357">
        <v>3</v>
      </c>
      <c r="Z357" t="str">
        <f>IF(Table1[[#This Row],[Month_No]]&lt;=6, "H1","H2")</f>
        <v>H1</v>
      </c>
    </row>
    <row r="358" spans="1:26" x14ac:dyDescent="0.25">
      <c r="A358" s="2">
        <v>45745</v>
      </c>
      <c r="B358" t="s">
        <v>433</v>
      </c>
      <c r="C358" t="s">
        <v>107</v>
      </c>
      <c r="D358" t="s">
        <v>81</v>
      </c>
      <c r="E358" t="s">
        <v>45</v>
      </c>
      <c r="F358" t="s">
        <v>52</v>
      </c>
      <c r="G358" t="s">
        <v>64</v>
      </c>
      <c r="H358" t="s">
        <v>41</v>
      </c>
      <c r="I358">
        <v>72</v>
      </c>
      <c r="J358" s="3">
        <v>6533.31</v>
      </c>
      <c r="K358" s="3">
        <f>Table1[[#This Row],[Quantity]]*Table1[[#This Row],[Unit_Price]]</f>
        <v>470398.32</v>
      </c>
      <c r="L358" s="3">
        <v>35628.15</v>
      </c>
      <c r="M358" s="3">
        <f>Table1[[#This Row],[Gross_Sales]]-Table1[[#This Row],[Discount]]</f>
        <v>434770.17</v>
      </c>
      <c r="N358" s="3">
        <v>251047.93</v>
      </c>
      <c r="O358" s="3">
        <v>12036.87</v>
      </c>
      <c r="P358" s="3">
        <v>29207.97</v>
      </c>
      <c r="Q358" s="3">
        <v>19936.669999999998</v>
      </c>
      <c r="R358" s="3">
        <v>12001.83</v>
      </c>
      <c r="S358" s="3">
        <f>SUM(Table1[[#This Row],[Product_Cost]:[Other_Cost]])</f>
        <v>324231.27</v>
      </c>
      <c r="T358" s="3">
        <f>Table1[[#This Row],[Net_Sales]]-Table1[[#This Row],[Product_Cost]]</f>
        <v>183722.23999999999</v>
      </c>
      <c r="U358" s="3">
        <f>Table1[[#This Row],[Net_Sales]]-Table1[[#This Row],[Total_Cost]]</f>
        <v>110538.89999999997</v>
      </c>
      <c r="V358" s="4">
        <f>Table1[[#This Row],[Net_Profit]]/Table1[[#This Row],[Net_Sales]]</f>
        <v>0.25424674374509171</v>
      </c>
      <c r="W358" t="s">
        <v>33</v>
      </c>
      <c r="X358" t="s">
        <v>332</v>
      </c>
      <c r="Y358">
        <v>3</v>
      </c>
      <c r="Z358" t="str">
        <f>IF(Table1[[#This Row],[Month_No]]&lt;=6, "H1","H2")</f>
        <v>H1</v>
      </c>
    </row>
    <row r="359" spans="1:26" x14ac:dyDescent="0.25">
      <c r="A359" s="2">
        <v>45746</v>
      </c>
      <c r="B359" t="s">
        <v>434</v>
      </c>
      <c r="C359" t="s">
        <v>36</v>
      </c>
      <c r="D359" t="s">
        <v>68</v>
      </c>
      <c r="E359" t="s">
        <v>29</v>
      </c>
      <c r="F359" t="s">
        <v>52</v>
      </c>
      <c r="G359" t="s">
        <v>40</v>
      </c>
      <c r="H359" t="s">
        <v>47</v>
      </c>
      <c r="I359">
        <v>160</v>
      </c>
      <c r="J359" s="3">
        <v>368.26</v>
      </c>
      <c r="K359" s="3">
        <f>Table1[[#This Row],[Quantity]]*Table1[[#This Row],[Unit_Price]]</f>
        <v>58921.599999999999</v>
      </c>
      <c r="L359" s="3">
        <v>3984.45</v>
      </c>
      <c r="M359" s="3">
        <f>Table1[[#This Row],[Gross_Sales]]-Table1[[#This Row],[Discount]]</f>
        <v>54937.15</v>
      </c>
      <c r="N359" s="3">
        <v>42213.06</v>
      </c>
      <c r="O359" s="3">
        <v>1552.73</v>
      </c>
      <c r="P359" s="3">
        <v>3121.66</v>
      </c>
      <c r="Q359" s="3">
        <v>2967.53</v>
      </c>
      <c r="R359" s="3">
        <v>1660.94</v>
      </c>
      <c r="S359" s="3">
        <f>SUM(Table1[[#This Row],[Product_Cost]:[Other_Cost]])</f>
        <v>51515.92</v>
      </c>
      <c r="T359" s="3">
        <f>Table1[[#This Row],[Net_Sales]]-Table1[[#This Row],[Product_Cost]]</f>
        <v>12724.090000000004</v>
      </c>
      <c r="U359" s="3">
        <f>Table1[[#This Row],[Net_Sales]]-Table1[[#This Row],[Total_Cost]]</f>
        <v>3421.2300000000032</v>
      </c>
      <c r="V359" s="4">
        <f>Table1[[#This Row],[Net_Profit]]/Table1[[#This Row],[Net_Sales]]</f>
        <v>6.2275345553964905E-2</v>
      </c>
      <c r="W359" t="s">
        <v>33</v>
      </c>
      <c r="X359" t="s">
        <v>332</v>
      </c>
      <c r="Y359">
        <v>3</v>
      </c>
      <c r="Z359" t="str">
        <f>IF(Table1[[#This Row],[Month_No]]&lt;=6, "H1","H2")</f>
        <v>H1</v>
      </c>
    </row>
    <row r="360" spans="1:26" x14ac:dyDescent="0.25">
      <c r="A360" s="2">
        <v>45746</v>
      </c>
      <c r="B360" t="s">
        <v>435</v>
      </c>
      <c r="C360" t="s">
        <v>43</v>
      </c>
      <c r="D360" t="s">
        <v>68</v>
      </c>
      <c r="E360" t="s">
        <v>29</v>
      </c>
      <c r="F360" t="s">
        <v>52</v>
      </c>
      <c r="G360" t="s">
        <v>31</v>
      </c>
      <c r="H360" t="s">
        <v>41</v>
      </c>
      <c r="I360">
        <v>82</v>
      </c>
      <c r="J360" s="3">
        <v>358.14</v>
      </c>
      <c r="K360" s="3">
        <f>Table1[[#This Row],[Quantity]]*Table1[[#This Row],[Unit_Price]]</f>
        <v>29367.48</v>
      </c>
      <c r="L360" s="3">
        <v>2478.31</v>
      </c>
      <c r="M360" s="3">
        <f>Table1[[#This Row],[Gross_Sales]]-Table1[[#This Row],[Discount]]</f>
        <v>26889.17</v>
      </c>
      <c r="N360" s="3">
        <v>20750.96</v>
      </c>
      <c r="O360" s="3">
        <v>749.2</v>
      </c>
      <c r="P360" s="3">
        <v>1488.22</v>
      </c>
      <c r="Q360" s="3">
        <v>1448.71</v>
      </c>
      <c r="R360" s="3">
        <v>653.88</v>
      </c>
      <c r="S360" s="3">
        <f>SUM(Table1[[#This Row],[Product_Cost]:[Other_Cost]])</f>
        <v>25090.97</v>
      </c>
      <c r="T360" s="3">
        <f>Table1[[#This Row],[Net_Sales]]-Table1[[#This Row],[Product_Cost]]</f>
        <v>6138.2099999999991</v>
      </c>
      <c r="U360" s="3">
        <f>Table1[[#This Row],[Net_Sales]]-Table1[[#This Row],[Total_Cost]]</f>
        <v>1798.1999999999971</v>
      </c>
      <c r="V360" s="4">
        <f>Table1[[#This Row],[Net_Profit]]/Table1[[#This Row],[Net_Sales]]</f>
        <v>6.6874507468992053E-2</v>
      </c>
      <c r="W360" t="s">
        <v>33</v>
      </c>
      <c r="X360" t="s">
        <v>332</v>
      </c>
      <c r="Y360">
        <v>3</v>
      </c>
      <c r="Z360" t="str">
        <f>IF(Table1[[#This Row],[Month_No]]&lt;=6, "H1","H2")</f>
        <v>H1</v>
      </c>
    </row>
    <row r="361" spans="1:26" x14ac:dyDescent="0.25">
      <c r="A361" s="2">
        <v>45747</v>
      </c>
      <c r="B361" t="s">
        <v>436</v>
      </c>
      <c r="C361" t="s">
        <v>107</v>
      </c>
      <c r="D361" t="s">
        <v>37</v>
      </c>
      <c r="E361" t="s">
        <v>38</v>
      </c>
      <c r="F361" t="s">
        <v>39</v>
      </c>
      <c r="G361" t="s">
        <v>71</v>
      </c>
      <c r="H361" t="s">
        <v>41</v>
      </c>
      <c r="I361">
        <v>75</v>
      </c>
      <c r="J361" s="3">
        <v>4358.82</v>
      </c>
      <c r="K361" s="3">
        <f>Table1[[#This Row],[Quantity]]*Table1[[#This Row],[Unit_Price]]</f>
        <v>326911.5</v>
      </c>
      <c r="L361" s="3">
        <v>24645.119999999999</v>
      </c>
      <c r="M361" s="3">
        <f>Table1[[#This Row],[Gross_Sales]]-Table1[[#This Row],[Discount]]</f>
        <v>302266.38</v>
      </c>
      <c r="N361" s="3">
        <v>226693.11</v>
      </c>
      <c r="O361" s="3">
        <v>13432.18</v>
      </c>
      <c r="P361" s="3">
        <v>20825.72</v>
      </c>
      <c r="Q361" s="3">
        <v>16305.4</v>
      </c>
      <c r="R361" s="3">
        <v>8634.9</v>
      </c>
      <c r="S361" s="3">
        <f>SUM(Table1[[#This Row],[Product_Cost]:[Other_Cost]])</f>
        <v>285891.31</v>
      </c>
      <c r="T361" s="3">
        <f>Table1[[#This Row],[Net_Sales]]-Table1[[#This Row],[Product_Cost]]</f>
        <v>75573.270000000019</v>
      </c>
      <c r="U361" s="3">
        <f>Table1[[#This Row],[Net_Sales]]-Table1[[#This Row],[Total_Cost]]</f>
        <v>16375.070000000007</v>
      </c>
      <c r="V361" s="4">
        <f>Table1[[#This Row],[Net_Profit]]/Table1[[#This Row],[Net_Sales]]</f>
        <v>5.4174301488640608E-2</v>
      </c>
      <c r="W361" t="s">
        <v>72</v>
      </c>
      <c r="X361" t="s">
        <v>332</v>
      </c>
      <c r="Y361">
        <v>3</v>
      </c>
      <c r="Z361" t="str">
        <f>IF(Table1[[#This Row],[Month_No]]&lt;=6, "H1","H2")</f>
        <v>H1</v>
      </c>
    </row>
    <row r="362" spans="1:26" x14ac:dyDescent="0.25">
      <c r="A362" s="2">
        <v>45747</v>
      </c>
      <c r="B362" t="s">
        <v>437</v>
      </c>
      <c r="C362" t="s">
        <v>117</v>
      </c>
      <c r="D362" t="s">
        <v>50</v>
      </c>
      <c r="E362" t="s">
        <v>51</v>
      </c>
      <c r="F362" t="s">
        <v>52</v>
      </c>
      <c r="G362" t="s">
        <v>76</v>
      </c>
      <c r="H362" t="s">
        <v>41</v>
      </c>
      <c r="I362">
        <v>78</v>
      </c>
      <c r="J362" s="3">
        <v>792.67</v>
      </c>
      <c r="K362" s="3">
        <f>Table1[[#This Row],[Quantity]]*Table1[[#This Row],[Unit_Price]]</f>
        <v>61828.259999999995</v>
      </c>
      <c r="L362" s="3">
        <v>4515.6899999999996</v>
      </c>
      <c r="M362" s="3">
        <f>Table1[[#This Row],[Gross_Sales]]-Table1[[#This Row],[Discount]]</f>
        <v>57312.569999999992</v>
      </c>
      <c r="N362" s="3">
        <v>39573.949999999997</v>
      </c>
      <c r="O362" s="3">
        <v>1432.66</v>
      </c>
      <c r="P362" s="3">
        <v>3649.14</v>
      </c>
      <c r="Q362" s="3">
        <v>2565.14</v>
      </c>
      <c r="R362" s="3">
        <v>1358.15</v>
      </c>
      <c r="S362" s="3">
        <f>SUM(Table1[[#This Row],[Product_Cost]:[Other_Cost]])</f>
        <v>48579.040000000001</v>
      </c>
      <c r="T362" s="3">
        <f>Table1[[#This Row],[Net_Sales]]-Table1[[#This Row],[Product_Cost]]</f>
        <v>17738.619999999995</v>
      </c>
      <c r="U362" s="3">
        <f>Table1[[#This Row],[Net_Sales]]-Table1[[#This Row],[Total_Cost]]</f>
        <v>8733.5299999999916</v>
      </c>
      <c r="V362" s="4">
        <f>Table1[[#This Row],[Net_Profit]]/Table1[[#This Row],[Net_Sales]]</f>
        <v>0.15238419774231016</v>
      </c>
      <c r="W362" t="s">
        <v>33</v>
      </c>
      <c r="X362" t="s">
        <v>332</v>
      </c>
      <c r="Y362">
        <v>3</v>
      </c>
      <c r="Z362" t="str">
        <f>IF(Table1[[#This Row],[Month_No]]&lt;=6, "H1","H2")</f>
        <v>H1</v>
      </c>
    </row>
    <row r="363" spans="1:26" x14ac:dyDescent="0.25">
      <c r="A363" s="2">
        <v>45747</v>
      </c>
      <c r="B363" t="s">
        <v>438</v>
      </c>
      <c r="C363" t="s">
        <v>98</v>
      </c>
      <c r="D363" t="s">
        <v>183</v>
      </c>
      <c r="E363" t="s">
        <v>38</v>
      </c>
      <c r="F363" t="s">
        <v>46</v>
      </c>
      <c r="G363" t="s">
        <v>86</v>
      </c>
      <c r="H363" t="s">
        <v>41</v>
      </c>
      <c r="I363">
        <v>81</v>
      </c>
      <c r="J363" s="3">
        <v>6560.22</v>
      </c>
      <c r="K363" s="3">
        <f>Table1[[#This Row],[Quantity]]*Table1[[#This Row],[Unit_Price]]</f>
        <v>531377.82000000007</v>
      </c>
      <c r="L363" s="3">
        <v>44679.95</v>
      </c>
      <c r="M363" s="3">
        <f>Table1[[#This Row],[Gross_Sales]]-Table1[[#This Row],[Discount]]</f>
        <v>486697.87000000005</v>
      </c>
      <c r="N363" s="3">
        <v>281088.96000000002</v>
      </c>
      <c r="O363" s="3">
        <v>15171.23</v>
      </c>
      <c r="P363" s="3">
        <v>28371.64</v>
      </c>
      <c r="Q363" s="3">
        <v>25640.799999999999</v>
      </c>
      <c r="R363" s="3">
        <v>11724.6</v>
      </c>
      <c r="S363" s="3">
        <f>SUM(Table1[[#This Row],[Product_Cost]:[Other_Cost]])</f>
        <v>361997.23</v>
      </c>
      <c r="T363" s="3">
        <f>Table1[[#This Row],[Net_Sales]]-Table1[[#This Row],[Product_Cost]]</f>
        <v>205608.91000000003</v>
      </c>
      <c r="U363" s="3">
        <f>Table1[[#This Row],[Net_Sales]]-Table1[[#This Row],[Total_Cost]]</f>
        <v>124700.64000000007</v>
      </c>
      <c r="V363" s="4">
        <f>Table1[[#This Row],[Net_Profit]]/Table1[[#This Row],[Net_Sales]]</f>
        <v>0.25621776401035012</v>
      </c>
      <c r="W363" t="s">
        <v>33</v>
      </c>
      <c r="X363" t="s">
        <v>332</v>
      </c>
      <c r="Y363">
        <v>3</v>
      </c>
      <c r="Z363" t="str">
        <f>IF(Table1[[#This Row],[Month_No]]&lt;=6, "H1","H2")</f>
        <v>H1</v>
      </c>
    </row>
    <row r="364" spans="1:26" x14ac:dyDescent="0.25">
      <c r="A364" s="2">
        <v>45747</v>
      </c>
      <c r="B364" t="s">
        <v>439</v>
      </c>
      <c r="C364" t="s">
        <v>63</v>
      </c>
      <c r="D364" t="s">
        <v>28</v>
      </c>
      <c r="E364" t="s">
        <v>29</v>
      </c>
      <c r="F364" t="s">
        <v>52</v>
      </c>
      <c r="G364" t="s">
        <v>31</v>
      </c>
      <c r="H364" t="s">
        <v>47</v>
      </c>
      <c r="I364">
        <v>63</v>
      </c>
      <c r="J364" s="3">
        <v>1185.76</v>
      </c>
      <c r="K364" s="3">
        <f>Table1[[#This Row],[Quantity]]*Table1[[#This Row],[Unit_Price]]</f>
        <v>74702.880000000005</v>
      </c>
      <c r="L364" s="3">
        <v>4672.82</v>
      </c>
      <c r="M364" s="3">
        <f>Table1[[#This Row],[Gross_Sales]]-Table1[[#This Row],[Discount]]</f>
        <v>70030.06</v>
      </c>
      <c r="N364" s="3">
        <v>40503</v>
      </c>
      <c r="O364" s="3">
        <v>1777.02</v>
      </c>
      <c r="P364" s="3">
        <v>4081.46</v>
      </c>
      <c r="Q364" s="3">
        <v>3809.15</v>
      </c>
      <c r="R364" s="3">
        <v>1541.05</v>
      </c>
      <c r="S364" s="3">
        <f>SUM(Table1[[#This Row],[Product_Cost]:[Other_Cost]])</f>
        <v>51711.68</v>
      </c>
      <c r="T364" s="3">
        <f>Table1[[#This Row],[Net_Sales]]-Table1[[#This Row],[Product_Cost]]</f>
        <v>29527.059999999998</v>
      </c>
      <c r="U364" s="3">
        <f>Table1[[#This Row],[Net_Sales]]-Table1[[#This Row],[Total_Cost]]</f>
        <v>18318.379999999997</v>
      </c>
      <c r="V364" s="4">
        <f>Table1[[#This Row],[Net_Profit]]/Table1[[#This Row],[Net_Sales]]</f>
        <v>0.26157881344097089</v>
      </c>
      <c r="W364" t="s">
        <v>33</v>
      </c>
      <c r="X364" t="s">
        <v>332</v>
      </c>
      <c r="Y364">
        <v>3</v>
      </c>
      <c r="Z364" t="str">
        <f>IF(Table1[[#This Row],[Month_No]]&lt;=6, "H1","H2")</f>
        <v>H1</v>
      </c>
    </row>
    <row r="365" spans="1:26" x14ac:dyDescent="0.25">
      <c r="A365" s="2">
        <v>45747</v>
      </c>
      <c r="B365" t="s">
        <v>440</v>
      </c>
      <c r="C365" t="s">
        <v>43</v>
      </c>
      <c r="D365" t="s">
        <v>50</v>
      </c>
      <c r="E365" t="s">
        <v>51</v>
      </c>
      <c r="F365" t="s">
        <v>52</v>
      </c>
      <c r="G365" t="s">
        <v>31</v>
      </c>
      <c r="H365" t="s">
        <v>41</v>
      </c>
      <c r="I365">
        <v>90</v>
      </c>
      <c r="J365" s="3">
        <v>813.32</v>
      </c>
      <c r="K365" s="3">
        <f>Table1[[#This Row],[Quantity]]*Table1[[#This Row],[Unit_Price]]</f>
        <v>73198.8</v>
      </c>
      <c r="L365" s="3">
        <v>6182.57</v>
      </c>
      <c r="M365" s="3">
        <f>Table1[[#This Row],[Gross_Sales]]-Table1[[#This Row],[Discount]]</f>
        <v>67016.23000000001</v>
      </c>
      <c r="N365" s="3">
        <v>44445</v>
      </c>
      <c r="O365" s="3">
        <v>1853.33</v>
      </c>
      <c r="P365" s="3">
        <v>5016.43</v>
      </c>
      <c r="Q365" s="3">
        <v>3048.8</v>
      </c>
      <c r="R365" s="3">
        <v>1558.38</v>
      </c>
      <c r="S365" s="3">
        <f>SUM(Table1[[#This Row],[Product_Cost]:[Other_Cost]])</f>
        <v>55921.94</v>
      </c>
      <c r="T365" s="3">
        <f>Table1[[#This Row],[Net_Sales]]-Table1[[#This Row],[Product_Cost]]</f>
        <v>22571.23000000001</v>
      </c>
      <c r="U365" s="3">
        <f>Table1[[#This Row],[Net_Sales]]-Table1[[#This Row],[Total_Cost]]</f>
        <v>11094.290000000008</v>
      </c>
      <c r="V365" s="4">
        <f>Table1[[#This Row],[Net_Profit]]/Table1[[#This Row],[Net_Sales]]</f>
        <v>0.16554631616848645</v>
      </c>
      <c r="W365" t="s">
        <v>72</v>
      </c>
      <c r="X365" t="s">
        <v>332</v>
      </c>
      <c r="Y365">
        <v>3</v>
      </c>
      <c r="Z365" t="str">
        <f>IF(Table1[[#This Row],[Month_No]]&lt;=6, "H1","H2")</f>
        <v>H1</v>
      </c>
    </row>
    <row r="366" spans="1:26" x14ac:dyDescent="0.25">
      <c r="A366" s="2">
        <v>45747</v>
      </c>
      <c r="B366" t="s">
        <v>441</v>
      </c>
      <c r="C366" t="s">
        <v>70</v>
      </c>
      <c r="D366" t="s">
        <v>28</v>
      </c>
      <c r="E366" t="s">
        <v>29</v>
      </c>
      <c r="F366" t="s">
        <v>30</v>
      </c>
      <c r="G366" t="s">
        <v>31</v>
      </c>
      <c r="H366" t="s">
        <v>59</v>
      </c>
      <c r="I366">
        <v>114</v>
      </c>
      <c r="J366" s="3">
        <v>1145.07</v>
      </c>
      <c r="K366" s="3">
        <f>Table1[[#This Row],[Quantity]]*Table1[[#This Row],[Unit_Price]]</f>
        <v>130537.98</v>
      </c>
      <c r="L366" s="3">
        <v>9880.6</v>
      </c>
      <c r="M366" s="3">
        <f>Table1[[#This Row],[Gross_Sales]]-Table1[[#This Row],[Discount]]</f>
        <v>120657.37999999999</v>
      </c>
      <c r="N366" s="3">
        <v>72750.48</v>
      </c>
      <c r="O366" s="3">
        <v>4318.47</v>
      </c>
      <c r="P366" s="3">
        <v>7240.55</v>
      </c>
      <c r="Q366" s="3">
        <v>4462.3500000000004</v>
      </c>
      <c r="R366" s="3">
        <v>3763.87</v>
      </c>
      <c r="S366" s="3">
        <f>SUM(Table1[[#This Row],[Product_Cost]:[Other_Cost]])</f>
        <v>92535.72</v>
      </c>
      <c r="T366" s="3">
        <f>Table1[[#This Row],[Net_Sales]]-Table1[[#This Row],[Product_Cost]]</f>
        <v>47906.899999999994</v>
      </c>
      <c r="U366" s="3">
        <f>Table1[[#This Row],[Net_Sales]]-Table1[[#This Row],[Total_Cost]]</f>
        <v>28121.659999999989</v>
      </c>
      <c r="V366" s="4">
        <f>Table1[[#This Row],[Net_Profit]]/Table1[[#This Row],[Net_Sales]]</f>
        <v>0.23307036834381778</v>
      </c>
      <c r="W366" t="s">
        <v>33</v>
      </c>
      <c r="X366" t="s">
        <v>332</v>
      </c>
      <c r="Y366">
        <v>3</v>
      </c>
      <c r="Z366" t="str">
        <f>IF(Table1[[#This Row],[Month_No]]&lt;=6, "H1","H2")</f>
        <v>H1</v>
      </c>
    </row>
    <row r="367" spans="1:26" x14ac:dyDescent="0.25">
      <c r="A367" s="2">
        <v>45748</v>
      </c>
      <c r="B367" t="s">
        <v>442</v>
      </c>
      <c r="C367" t="s">
        <v>107</v>
      </c>
      <c r="D367" t="s">
        <v>37</v>
      </c>
      <c r="E367" t="s">
        <v>38</v>
      </c>
      <c r="F367" t="s">
        <v>30</v>
      </c>
      <c r="G367" t="s">
        <v>76</v>
      </c>
      <c r="H367" t="s">
        <v>32</v>
      </c>
      <c r="I367">
        <v>40</v>
      </c>
      <c r="J367" s="3">
        <v>4220.7</v>
      </c>
      <c r="K367" s="3">
        <f>Table1[[#This Row],[Quantity]]*Table1[[#This Row],[Unit_Price]]</f>
        <v>168828</v>
      </c>
      <c r="L367" s="3">
        <v>16640.25</v>
      </c>
      <c r="M367" s="3">
        <f>Table1[[#This Row],[Gross_Sales]]-Table1[[#This Row],[Discount]]</f>
        <v>152187.75</v>
      </c>
      <c r="N367" s="3">
        <v>114548.48</v>
      </c>
      <c r="O367" s="3">
        <v>5082.04</v>
      </c>
      <c r="P367" s="3">
        <v>10599.83</v>
      </c>
      <c r="Q367" s="3">
        <v>7068.11</v>
      </c>
      <c r="R367" s="3">
        <v>4138.24</v>
      </c>
      <c r="S367" s="3">
        <f>SUM(Table1[[#This Row],[Product_Cost]:[Other_Cost]])</f>
        <v>141436.69999999998</v>
      </c>
      <c r="T367" s="3">
        <f>Table1[[#This Row],[Net_Sales]]-Table1[[#This Row],[Product_Cost]]</f>
        <v>37639.270000000004</v>
      </c>
      <c r="U367" s="3">
        <f>Table1[[#This Row],[Net_Sales]]-Table1[[#This Row],[Total_Cost]]</f>
        <v>10751.050000000017</v>
      </c>
      <c r="V367" s="4">
        <f>Table1[[#This Row],[Net_Profit]]/Table1[[#This Row],[Net_Sales]]</f>
        <v>7.064333364544792E-2</v>
      </c>
      <c r="W367" t="s">
        <v>33</v>
      </c>
      <c r="X367" t="s">
        <v>443</v>
      </c>
      <c r="Y367">
        <v>4</v>
      </c>
      <c r="Z367" t="str">
        <f>IF(Table1[[#This Row],[Month_No]]&lt;=6, "H1","H2")</f>
        <v>H1</v>
      </c>
    </row>
    <row r="368" spans="1:26" x14ac:dyDescent="0.25">
      <c r="A368" s="2">
        <v>45748</v>
      </c>
      <c r="B368" t="s">
        <v>444</v>
      </c>
      <c r="C368" t="s">
        <v>107</v>
      </c>
      <c r="D368" t="s">
        <v>85</v>
      </c>
      <c r="E368" t="s">
        <v>57</v>
      </c>
      <c r="F368" t="s">
        <v>52</v>
      </c>
      <c r="G368" t="s">
        <v>31</v>
      </c>
      <c r="H368" t="s">
        <v>41</v>
      </c>
      <c r="I368">
        <v>76</v>
      </c>
      <c r="J368" s="3">
        <v>1921.72</v>
      </c>
      <c r="K368" s="3">
        <f>Table1[[#This Row],[Quantity]]*Table1[[#This Row],[Unit_Price]]</f>
        <v>146050.72</v>
      </c>
      <c r="L368" s="3">
        <v>11911.04</v>
      </c>
      <c r="M368" s="3">
        <f>Table1[[#This Row],[Gross_Sales]]-Table1[[#This Row],[Discount]]</f>
        <v>134139.68</v>
      </c>
      <c r="N368" s="3">
        <v>91792.74</v>
      </c>
      <c r="O368" s="3">
        <v>3640.87</v>
      </c>
      <c r="P368" s="3">
        <v>8742.1299999999992</v>
      </c>
      <c r="Q368" s="3">
        <v>6250.26</v>
      </c>
      <c r="R368" s="3">
        <v>2930.97</v>
      </c>
      <c r="S368" s="3">
        <f>SUM(Table1[[#This Row],[Product_Cost]:[Other_Cost]])</f>
        <v>113356.97</v>
      </c>
      <c r="T368" s="3">
        <f>Table1[[#This Row],[Net_Sales]]-Table1[[#This Row],[Product_Cost]]</f>
        <v>42346.939999999988</v>
      </c>
      <c r="U368" s="3">
        <f>Table1[[#This Row],[Net_Sales]]-Table1[[#This Row],[Total_Cost]]</f>
        <v>20782.709999999992</v>
      </c>
      <c r="V368" s="4">
        <f>Table1[[#This Row],[Net_Profit]]/Table1[[#This Row],[Net_Sales]]</f>
        <v>0.1549333500721039</v>
      </c>
      <c r="W368" t="s">
        <v>33</v>
      </c>
      <c r="X368" t="s">
        <v>443</v>
      </c>
      <c r="Y368">
        <v>4</v>
      </c>
      <c r="Z368" t="str">
        <f>IF(Table1[[#This Row],[Month_No]]&lt;=6, "H1","H2")</f>
        <v>H1</v>
      </c>
    </row>
    <row r="369" spans="1:26" x14ac:dyDescent="0.25">
      <c r="A369" s="2">
        <v>45748</v>
      </c>
      <c r="B369" t="s">
        <v>445</v>
      </c>
      <c r="C369" t="s">
        <v>27</v>
      </c>
      <c r="D369" t="s">
        <v>44</v>
      </c>
      <c r="E369" t="s">
        <v>45</v>
      </c>
      <c r="F369" t="s">
        <v>52</v>
      </c>
      <c r="G369" t="s">
        <v>86</v>
      </c>
      <c r="H369" t="s">
        <v>32</v>
      </c>
      <c r="I369">
        <v>85</v>
      </c>
      <c r="J369" s="3">
        <v>4327.7299999999996</v>
      </c>
      <c r="K369" s="3">
        <f>Table1[[#This Row],[Quantity]]*Table1[[#This Row],[Unit_Price]]</f>
        <v>367857.05</v>
      </c>
      <c r="L369" s="3">
        <v>32009.94</v>
      </c>
      <c r="M369" s="3">
        <f>Table1[[#This Row],[Gross_Sales]]-Table1[[#This Row],[Discount]]</f>
        <v>335847.11</v>
      </c>
      <c r="N369" s="3">
        <v>246342.31</v>
      </c>
      <c r="O369" s="3">
        <v>8106.02</v>
      </c>
      <c r="P369" s="3">
        <v>20148.34</v>
      </c>
      <c r="Q369" s="3">
        <v>16669.59</v>
      </c>
      <c r="R369" s="3">
        <v>8378.23</v>
      </c>
      <c r="S369" s="3">
        <f>SUM(Table1[[#This Row],[Product_Cost]:[Other_Cost]])</f>
        <v>299644.49</v>
      </c>
      <c r="T369" s="3">
        <f>Table1[[#This Row],[Net_Sales]]-Table1[[#This Row],[Product_Cost]]</f>
        <v>89504.799999999988</v>
      </c>
      <c r="U369" s="3">
        <f>Table1[[#This Row],[Net_Sales]]-Table1[[#This Row],[Total_Cost]]</f>
        <v>36202.619999999995</v>
      </c>
      <c r="V369" s="4">
        <f>Table1[[#This Row],[Net_Profit]]/Table1[[#This Row],[Net_Sales]]</f>
        <v>0.10779494276428342</v>
      </c>
      <c r="W369" t="s">
        <v>33</v>
      </c>
      <c r="X369" t="s">
        <v>443</v>
      </c>
      <c r="Y369">
        <v>4</v>
      </c>
      <c r="Z369" t="str">
        <f>IF(Table1[[#This Row],[Month_No]]&lt;=6, "H1","H2")</f>
        <v>H1</v>
      </c>
    </row>
    <row r="370" spans="1:26" x14ac:dyDescent="0.25">
      <c r="A370" s="2">
        <v>45748</v>
      </c>
      <c r="B370" t="s">
        <v>446</v>
      </c>
      <c r="C370" t="s">
        <v>27</v>
      </c>
      <c r="D370" t="s">
        <v>68</v>
      </c>
      <c r="E370" t="s">
        <v>29</v>
      </c>
      <c r="F370" t="s">
        <v>52</v>
      </c>
      <c r="G370" t="s">
        <v>71</v>
      </c>
      <c r="H370" t="s">
        <v>47</v>
      </c>
      <c r="I370">
        <v>106</v>
      </c>
      <c r="J370" s="3">
        <v>357.04</v>
      </c>
      <c r="K370" s="3">
        <f>Table1[[#This Row],[Quantity]]*Table1[[#This Row],[Unit_Price]]</f>
        <v>37846.240000000005</v>
      </c>
      <c r="L370" s="3">
        <v>2708.75</v>
      </c>
      <c r="M370" s="3">
        <f>Table1[[#This Row],[Gross_Sales]]-Table1[[#This Row],[Discount]]</f>
        <v>35137.490000000005</v>
      </c>
      <c r="N370" s="3">
        <v>27475.87</v>
      </c>
      <c r="O370" s="3">
        <v>911.66</v>
      </c>
      <c r="P370" s="3">
        <v>2313.34</v>
      </c>
      <c r="Q370" s="3">
        <v>1522.2</v>
      </c>
      <c r="R370" s="3">
        <v>712.6</v>
      </c>
      <c r="S370" s="3">
        <f>SUM(Table1[[#This Row],[Product_Cost]:[Other_Cost]])</f>
        <v>32935.67</v>
      </c>
      <c r="T370" s="3">
        <f>Table1[[#This Row],[Net_Sales]]-Table1[[#This Row],[Product_Cost]]</f>
        <v>7661.6200000000063</v>
      </c>
      <c r="U370" s="3">
        <f>Table1[[#This Row],[Net_Sales]]-Table1[[#This Row],[Total_Cost]]</f>
        <v>2201.820000000007</v>
      </c>
      <c r="V370" s="4">
        <f>Table1[[#This Row],[Net_Profit]]/Table1[[#This Row],[Net_Sales]]</f>
        <v>6.2662984749337722E-2</v>
      </c>
      <c r="W370" t="s">
        <v>33</v>
      </c>
      <c r="X370" t="s">
        <v>443</v>
      </c>
      <c r="Y370">
        <v>4</v>
      </c>
      <c r="Z370" t="str">
        <f>IF(Table1[[#This Row],[Month_No]]&lt;=6, "H1","H2")</f>
        <v>H1</v>
      </c>
    </row>
    <row r="371" spans="1:26" x14ac:dyDescent="0.25">
      <c r="A371" s="2">
        <v>45748</v>
      </c>
      <c r="B371" t="s">
        <v>447</v>
      </c>
      <c r="C371" t="s">
        <v>63</v>
      </c>
      <c r="D371" t="s">
        <v>68</v>
      </c>
      <c r="E371" t="s">
        <v>29</v>
      </c>
      <c r="F371" t="s">
        <v>52</v>
      </c>
      <c r="G371" t="s">
        <v>86</v>
      </c>
      <c r="H371" t="s">
        <v>41</v>
      </c>
      <c r="I371">
        <v>114</v>
      </c>
      <c r="J371" s="3">
        <v>375.28</v>
      </c>
      <c r="K371" s="3">
        <f>Table1[[#This Row],[Quantity]]*Table1[[#This Row],[Unit_Price]]</f>
        <v>42781.919999999998</v>
      </c>
      <c r="L371" s="3">
        <v>3637.03</v>
      </c>
      <c r="M371" s="3">
        <f>Table1[[#This Row],[Gross_Sales]]-Table1[[#This Row],[Discount]]</f>
        <v>39144.89</v>
      </c>
      <c r="N371" s="3">
        <v>31282.12</v>
      </c>
      <c r="O371" s="3">
        <v>1097.47</v>
      </c>
      <c r="P371" s="3">
        <v>2809.65</v>
      </c>
      <c r="Q371" s="3">
        <v>1548.59</v>
      </c>
      <c r="R371" s="3">
        <v>882.65</v>
      </c>
      <c r="S371" s="3">
        <f>SUM(Table1[[#This Row],[Product_Cost]:[Other_Cost]])</f>
        <v>37620.479999999996</v>
      </c>
      <c r="T371" s="3">
        <f>Table1[[#This Row],[Net_Sales]]-Table1[[#This Row],[Product_Cost]]</f>
        <v>7862.77</v>
      </c>
      <c r="U371" s="3">
        <f>Table1[[#This Row],[Net_Sales]]-Table1[[#This Row],[Total_Cost]]</f>
        <v>1524.4100000000035</v>
      </c>
      <c r="V371" s="4">
        <f>Table1[[#This Row],[Net_Profit]]/Table1[[#This Row],[Net_Sales]]</f>
        <v>3.8942758556736359E-2</v>
      </c>
      <c r="W371" t="s">
        <v>33</v>
      </c>
      <c r="X371" t="s">
        <v>443</v>
      </c>
      <c r="Y371">
        <v>4</v>
      </c>
      <c r="Z371" t="str">
        <f>IF(Table1[[#This Row],[Month_No]]&lt;=6, "H1","H2")</f>
        <v>H1</v>
      </c>
    </row>
    <row r="372" spans="1:26" x14ac:dyDescent="0.25">
      <c r="A372" s="2">
        <v>45749</v>
      </c>
      <c r="B372" t="s">
        <v>448</v>
      </c>
      <c r="C372" t="s">
        <v>107</v>
      </c>
      <c r="D372" t="s">
        <v>28</v>
      </c>
      <c r="E372" t="s">
        <v>29</v>
      </c>
      <c r="F372" t="s">
        <v>30</v>
      </c>
      <c r="G372" t="s">
        <v>61</v>
      </c>
      <c r="H372" t="s">
        <v>59</v>
      </c>
      <c r="I372">
        <v>60</v>
      </c>
      <c r="J372" s="3">
        <v>1137.47</v>
      </c>
      <c r="K372" s="3">
        <f>Table1[[#This Row],[Quantity]]*Table1[[#This Row],[Unit_Price]]</f>
        <v>68248.2</v>
      </c>
      <c r="L372" s="3">
        <v>5527.11</v>
      </c>
      <c r="M372" s="3">
        <f>Table1[[#This Row],[Gross_Sales]]-Table1[[#This Row],[Discount]]</f>
        <v>62721.09</v>
      </c>
      <c r="N372" s="3">
        <v>37076.769999999997</v>
      </c>
      <c r="O372" s="3">
        <v>2368.96</v>
      </c>
      <c r="P372" s="3">
        <v>4057.64</v>
      </c>
      <c r="Q372" s="3">
        <v>2410.64</v>
      </c>
      <c r="R372" s="3">
        <v>1652.47</v>
      </c>
      <c r="S372" s="3">
        <f>SUM(Table1[[#This Row],[Product_Cost]:[Other_Cost]])</f>
        <v>47566.479999999996</v>
      </c>
      <c r="T372" s="3">
        <f>Table1[[#This Row],[Net_Sales]]-Table1[[#This Row],[Product_Cost]]</f>
        <v>25644.32</v>
      </c>
      <c r="U372" s="3">
        <f>Table1[[#This Row],[Net_Sales]]-Table1[[#This Row],[Total_Cost]]</f>
        <v>15154.61</v>
      </c>
      <c r="V372" s="4">
        <f>Table1[[#This Row],[Net_Profit]]/Table1[[#This Row],[Net_Sales]]</f>
        <v>0.24161904711796306</v>
      </c>
      <c r="W372" t="s">
        <v>33</v>
      </c>
      <c r="X372" t="s">
        <v>443</v>
      </c>
      <c r="Y372">
        <v>4</v>
      </c>
      <c r="Z372" t="str">
        <f>IF(Table1[[#This Row],[Month_No]]&lt;=6, "H1","H2")</f>
        <v>H1</v>
      </c>
    </row>
    <row r="373" spans="1:26" x14ac:dyDescent="0.25">
      <c r="A373" s="2">
        <v>45749</v>
      </c>
      <c r="B373" t="s">
        <v>449</v>
      </c>
      <c r="C373" t="s">
        <v>63</v>
      </c>
      <c r="D373" t="s">
        <v>44</v>
      </c>
      <c r="E373" t="s">
        <v>45</v>
      </c>
      <c r="F373" t="s">
        <v>39</v>
      </c>
      <c r="G373" t="s">
        <v>86</v>
      </c>
      <c r="H373" t="s">
        <v>47</v>
      </c>
      <c r="I373">
        <v>56</v>
      </c>
      <c r="J373" s="3">
        <v>4522.26</v>
      </c>
      <c r="K373" s="3">
        <f>Table1[[#This Row],[Quantity]]*Table1[[#This Row],[Unit_Price]]</f>
        <v>253246.56</v>
      </c>
      <c r="L373" s="3">
        <v>20372.13</v>
      </c>
      <c r="M373" s="3">
        <f>Table1[[#This Row],[Gross_Sales]]-Table1[[#This Row],[Discount]]</f>
        <v>232874.43</v>
      </c>
      <c r="N373" s="3">
        <v>161381.07999999999</v>
      </c>
      <c r="O373" s="3">
        <v>10544.45</v>
      </c>
      <c r="P373" s="3">
        <v>15683.59</v>
      </c>
      <c r="Q373" s="3">
        <v>10849.96</v>
      </c>
      <c r="R373" s="3">
        <v>6050.66</v>
      </c>
      <c r="S373" s="3">
        <f>SUM(Table1[[#This Row],[Product_Cost]:[Other_Cost]])</f>
        <v>204509.74</v>
      </c>
      <c r="T373" s="3">
        <f>Table1[[#This Row],[Net_Sales]]-Table1[[#This Row],[Product_Cost]]</f>
        <v>71493.350000000006</v>
      </c>
      <c r="U373" s="3">
        <f>Table1[[#This Row],[Net_Sales]]-Table1[[#This Row],[Total_Cost]]</f>
        <v>28364.690000000002</v>
      </c>
      <c r="V373" s="4">
        <f>Table1[[#This Row],[Net_Profit]]/Table1[[#This Row],[Net_Sales]]</f>
        <v>0.12180250961859575</v>
      </c>
      <c r="W373" t="s">
        <v>72</v>
      </c>
      <c r="X373" t="s">
        <v>443</v>
      </c>
      <c r="Y373">
        <v>4</v>
      </c>
      <c r="Z373" t="str">
        <f>IF(Table1[[#This Row],[Month_No]]&lt;=6, "H1","H2")</f>
        <v>H1</v>
      </c>
    </row>
    <row r="374" spans="1:26" x14ac:dyDescent="0.25">
      <c r="A374" s="2">
        <v>45750</v>
      </c>
      <c r="B374" t="s">
        <v>450</v>
      </c>
      <c r="C374" t="s">
        <v>55</v>
      </c>
      <c r="D374" t="s">
        <v>74</v>
      </c>
      <c r="E374" t="s">
        <v>75</v>
      </c>
      <c r="F374" t="s">
        <v>39</v>
      </c>
      <c r="G374" t="s">
        <v>64</v>
      </c>
      <c r="H374" t="s">
        <v>59</v>
      </c>
      <c r="I374">
        <v>30</v>
      </c>
      <c r="J374" s="3">
        <v>5615.04</v>
      </c>
      <c r="K374" s="3">
        <f>Table1[[#This Row],[Quantity]]*Table1[[#This Row],[Unit_Price]]</f>
        <v>168451.20000000001</v>
      </c>
      <c r="L374" s="3">
        <v>9975.5499999999993</v>
      </c>
      <c r="M374" s="3">
        <f>Table1[[#This Row],[Gross_Sales]]-Table1[[#This Row],[Discount]]</f>
        <v>158475.65000000002</v>
      </c>
      <c r="N374" s="3">
        <v>119336.4</v>
      </c>
      <c r="O374" s="3">
        <v>7230.91</v>
      </c>
      <c r="P374" s="3">
        <v>8752.8700000000008</v>
      </c>
      <c r="Q374" s="3">
        <v>8007.69</v>
      </c>
      <c r="R374" s="3">
        <v>4907.8500000000004</v>
      </c>
      <c r="S374" s="3">
        <f>SUM(Table1[[#This Row],[Product_Cost]:[Other_Cost]])</f>
        <v>148235.72</v>
      </c>
      <c r="T374" s="3">
        <f>Table1[[#This Row],[Net_Sales]]-Table1[[#This Row],[Product_Cost]]</f>
        <v>39139.250000000029</v>
      </c>
      <c r="U374" s="3">
        <f>Table1[[#This Row],[Net_Sales]]-Table1[[#This Row],[Total_Cost]]</f>
        <v>10239.930000000022</v>
      </c>
      <c r="V374" s="4">
        <f>Table1[[#This Row],[Net_Profit]]/Table1[[#This Row],[Net_Sales]]</f>
        <v>6.4615163275872481E-2</v>
      </c>
      <c r="W374" t="s">
        <v>33</v>
      </c>
      <c r="X374" t="s">
        <v>443</v>
      </c>
      <c r="Y374">
        <v>4</v>
      </c>
      <c r="Z374" t="str">
        <f>IF(Table1[[#This Row],[Month_No]]&lt;=6, "H1","H2")</f>
        <v>H1</v>
      </c>
    </row>
    <row r="375" spans="1:26" x14ac:dyDescent="0.25">
      <c r="A375" s="2">
        <v>45751</v>
      </c>
      <c r="B375" t="s">
        <v>451</v>
      </c>
      <c r="C375" t="s">
        <v>83</v>
      </c>
      <c r="D375" t="s">
        <v>68</v>
      </c>
      <c r="E375" t="s">
        <v>29</v>
      </c>
      <c r="F375" t="s">
        <v>52</v>
      </c>
      <c r="G375" t="s">
        <v>58</v>
      </c>
      <c r="H375" t="s">
        <v>41</v>
      </c>
      <c r="I375">
        <v>72</v>
      </c>
      <c r="J375" s="3">
        <v>359.81</v>
      </c>
      <c r="K375" s="3">
        <f>Table1[[#This Row],[Quantity]]*Table1[[#This Row],[Unit_Price]]</f>
        <v>25906.32</v>
      </c>
      <c r="L375" s="3">
        <v>1705.85</v>
      </c>
      <c r="M375" s="3">
        <f>Table1[[#This Row],[Gross_Sales]]-Table1[[#This Row],[Discount]]</f>
        <v>24200.47</v>
      </c>
      <c r="N375" s="3">
        <v>18722.54</v>
      </c>
      <c r="O375" s="3">
        <v>594.9</v>
      </c>
      <c r="P375" s="3">
        <v>1474</v>
      </c>
      <c r="Q375" s="3">
        <v>861.91</v>
      </c>
      <c r="R375" s="3">
        <v>694.65</v>
      </c>
      <c r="S375" s="3">
        <f>SUM(Table1[[#This Row],[Product_Cost]:[Other_Cost]])</f>
        <v>22348.000000000004</v>
      </c>
      <c r="T375" s="3">
        <f>Table1[[#This Row],[Net_Sales]]-Table1[[#This Row],[Product_Cost]]</f>
        <v>5477.93</v>
      </c>
      <c r="U375" s="3">
        <f>Table1[[#This Row],[Net_Sales]]-Table1[[#This Row],[Total_Cost]]</f>
        <v>1852.4699999999975</v>
      </c>
      <c r="V375" s="4">
        <f>Table1[[#This Row],[Net_Profit]]/Table1[[#This Row],[Net_Sales]]</f>
        <v>7.6546860453536536E-2</v>
      </c>
      <c r="W375" t="s">
        <v>33</v>
      </c>
      <c r="X375" t="s">
        <v>443</v>
      </c>
      <c r="Y375">
        <v>4</v>
      </c>
      <c r="Z375" t="str">
        <f>IF(Table1[[#This Row],[Month_No]]&lt;=6, "H1","H2")</f>
        <v>H1</v>
      </c>
    </row>
    <row r="376" spans="1:26" x14ac:dyDescent="0.25">
      <c r="A376" s="2">
        <v>45751</v>
      </c>
      <c r="B376" t="s">
        <v>452</v>
      </c>
      <c r="C376" t="s">
        <v>117</v>
      </c>
      <c r="D376" t="s">
        <v>100</v>
      </c>
      <c r="E376" t="s">
        <v>75</v>
      </c>
      <c r="F376" t="s">
        <v>52</v>
      </c>
      <c r="G376" t="s">
        <v>76</v>
      </c>
      <c r="H376" t="s">
        <v>41</v>
      </c>
      <c r="I376">
        <v>58</v>
      </c>
      <c r="J376" s="3">
        <v>6967.5</v>
      </c>
      <c r="K376" s="3">
        <f>Table1[[#This Row],[Quantity]]*Table1[[#This Row],[Unit_Price]]</f>
        <v>404115</v>
      </c>
      <c r="L376" s="3">
        <v>37394.94</v>
      </c>
      <c r="M376" s="3">
        <f>Table1[[#This Row],[Gross_Sales]]-Table1[[#This Row],[Discount]]</f>
        <v>366720.06</v>
      </c>
      <c r="N376" s="3">
        <v>230004.81</v>
      </c>
      <c r="O376" s="3">
        <v>10004.200000000001</v>
      </c>
      <c r="P376" s="3">
        <v>22161.47</v>
      </c>
      <c r="Q376" s="3">
        <v>13916.04</v>
      </c>
      <c r="R376" s="3">
        <v>7560.96</v>
      </c>
      <c r="S376" s="3">
        <f>SUM(Table1[[#This Row],[Product_Cost]:[Other_Cost]])</f>
        <v>283647.48</v>
      </c>
      <c r="T376" s="3">
        <f>Table1[[#This Row],[Net_Sales]]-Table1[[#This Row],[Product_Cost]]</f>
        <v>136715.25</v>
      </c>
      <c r="U376" s="3">
        <f>Table1[[#This Row],[Net_Sales]]-Table1[[#This Row],[Total_Cost]]</f>
        <v>83072.580000000016</v>
      </c>
      <c r="V376" s="4">
        <f>Table1[[#This Row],[Net_Profit]]/Table1[[#This Row],[Net_Sales]]</f>
        <v>0.22652859513602833</v>
      </c>
      <c r="W376" t="s">
        <v>33</v>
      </c>
      <c r="X376" t="s">
        <v>443</v>
      </c>
      <c r="Y376">
        <v>4</v>
      </c>
      <c r="Z376" t="str">
        <f>IF(Table1[[#This Row],[Month_No]]&lt;=6, "H1","H2")</f>
        <v>H1</v>
      </c>
    </row>
    <row r="377" spans="1:26" x14ac:dyDescent="0.25">
      <c r="A377" s="2">
        <v>45751</v>
      </c>
      <c r="B377" t="s">
        <v>453</v>
      </c>
      <c r="C377" t="s">
        <v>36</v>
      </c>
      <c r="D377" t="s">
        <v>66</v>
      </c>
      <c r="E377" t="s">
        <v>51</v>
      </c>
      <c r="F377" t="s">
        <v>52</v>
      </c>
      <c r="G377" t="s">
        <v>58</v>
      </c>
      <c r="H377" t="s">
        <v>41</v>
      </c>
      <c r="I377">
        <v>52</v>
      </c>
      <c r="J377" s="3">
        <v>1511.67</v>
      </c>
      <c r="K377" s="3">
        <f>Table1[[#This Row],[Quantity]]*Table1[[#This Row],[Unit_Price]]</f>
        <v>78606.84</v>
      </c>
      <c r="L377" s="3">
        <v>6274.64</v>
      </c>
      <c r="M377" s="3">
        <f>Table1[[#This Row],[Gross_Sales]]-Table1[[#This Row],[Discount]]</f>
        <v>72332.2</v>
      </c>
      <c r="N377" s="3">
        <v>38495.65</v>
      </c>
      <c r="O377" s="3">
        <v>1778.46</v>
      </c>
      <c r="P377" s="3">
        <v>4201.63</v>
      </c>
      <c r="Q377" s="3">
        <v>3684.31</v>
      </c>
      <c r="R377" s="3">
        <v>1468.55</v>
      </c>
      <c r="S377" s="3">
        <f>SUM(Table1[[#This Row],[Product_Cost]:[Other_Cost]])</f>
        <v>49628.6</v>
      </c>
      <c r="T377" s="3">
        <f>Table1[[#This Row],[Net_Sales]]-Table1[[#This Row],[Product_Cost]]</f>
        <v>33836.549999999996</v>
      </c>
      <c r="U377" s="3">
        <f>Table1[[#This Row],[Net_Sales]]-Table1[[#This Row],[Total_Cost]]</f>
        <v>22703.599999999999</v>
      </c>
      <c r="V377" s="4">
        <f>Table1[[#This Row],[Net_Profit]]/Table1[[#This Row],[Net_Sales]]</f>
        <v>0.31387957230666286</v>
      </c>
      <c r="W377" t="s">
        <v>33</v>
      </c>
      <c r="X377" t="s">
        <v>443</v>
      </c>
      <c r="Y377">
        <v>4</v>
      </c>
      <c r="Z377" t="str">
        <f>IF(Table1[[#This Row],[Month_No]]&lt;=6, "H1","H2")</f>
        <v>H1</v>
      </c>
    </row>
    <row r="378" spans="1:26" x14ac:dyDescent="0.25">
      <c r="A378" s="2">
        <v>45752</v>
      </c>
      <c r="B378" t="s">
        <v>454</v>
      </c>
      <c r="C378" t="s">
        <v>55</v>
      </c>
      <c r="D378" t="s">
        <v>37</v>
      </c>
      <c r="E378" t="s">
        <v>38</v>
      </c>
      <c r="F378" t="s">
        <v>30</v>
      </c>
      <c r="G378" t="s">
        <v>76</v>
      </c>
      <c r="H378" t="s">
        <v>41</v>
      </c>
      <c r="I378">
        <v>61</v>
      </c>
      <c r="J378" s="3">
        <v>4274.57</v>
      </c>
      <c r="K378" s="3">
        <f>Table1[[#This Row],[Quantity]]*Table1[[#This Row],[Unit_Price]]</f>
        <v>260748.77</v>
      </c>
      <c r="L378" s="3">
        <v>24052.18</v>
      </c>
      <c r="M378" s="3">
        <f>Table1[[#This Row],[Gross_Sales]]-Table1[[#This Row],[Discount]]</f>
        <v>236696.59</v>
      </c>
      <c r="N378" s="3">
        <v>169956.75</v>
      </c>
      <c r="O378" s="3">
        <v>7730.76</v>
      </c>
      <c r="P378" s="3">
        <v>17210.349999999999</v>
      </c>
      <c r="Q378" s="3">
        <v>8611.77</v>
      </c>
      <c r="R378" s="3">
        <v>6412.5</v>
      </c>
      <c r="S378" s="3">
        <f>SUM(Table1[[#This Row],[Product_Cost]:[Other_Cost]])</f>
        <v>209922.13</v>
      </c>
      <c r="T378" s="3">
        <f>Table1[[#This Row],[Net_Sales]]-Table1[[#This Row],[Product_Cost]]</f>
        <v>66739.839999999997</v>
      </c>
      <c r="U378" s="3">
        <f>Table1[[#This Row],[Net_Sales]]-Table1[[#This Row],[Total_Cost]]</f>
        <v>26774.459999999992</v>
      </c>
      <c r="V378" s="4">
        <f>Table1[[#This Row],[Net_Profit]]/Table1[[#This Row],[Net_Sales]]</f>
        <v>0.11311721896796229</v>
      </c>
      <c r="W378" t="s">
        <v>72</v>
      </c>
      <c r="X378" t="s">
        <v>443</v>
      </c>
      <c r="Y378">
        <v>4</v>
      </c>
      <c r="Z378" t="str">
        <f>IF(Table1[[#This Row],[Month_No]]&lt;=6, "H1","H2")</f>
        <v>H1</v>
      </c>
    </row>
    <row r="379" spans="1:26" x14ac:dyDescent="0.25">
      <c r="A379" s="2">
        <v>45752</v>
      </c>
      <c r="B379" t="s">
        <v>455</v>
      </c>
      <c r="C379" t="s">
        <v>27</v>
      </c>
      <c r="D379" t="s">
        <v>68</v>
      </c>
      <c r="E379" t="s">
        <v>29</v>
      </c>
      <c r="F379" t="s">
        <v>52</v>
      </c>
      <c r="G379" t="s">
        <v>76</v>
      </c>
      <c r="H379" t="s">
        <v>32</v>
      </c>
      <c r="I379">
        <v>108</v>
      </c>
      <c r="J379" s="3">
        <v>364.7</v>
      </c>
      <c r="K379" s="3">
        <f>Table1[[#This Row],[Quantity]]*Table1[[#This Row],[Unit_Price]]</f>
        <v>39387.599999999999</v>
      </c>
      <c r="L379" s="3">
        <v>2960.5</v>
      </c>
      <c r="M379" s="3">
        <f>Table1[[#This Row],[Gross_Sales]]-Table1[[#This Row],[Discount]]</f>
        <v>36427.1</v>
      </c>
      <c r="N379" s="3">
        <v>29439.71</v>
      </c>
      <c r="O379" s="3">
        <v>864.66</v>
      </c>
      <c r="P379" s="3">
        <v>2043.28</v>
      </c>
      <c r="Q379" s="3">
        <v>1980.86</v>
      </c>
      <c r="R379" s="3">
        <v>802.82</v>
      </c>
      <c r="S379" s="3">
        <f>SUM(Table1[[#This Row],[Product_Cost]:[Other_Cost]])</f>
        <v>35131.329999999994</v>
      </c>
      <c r="T379" s="3">
        <f>Table1[[#This Row],[Net_Sales]]-Table1[[#This Row],[Product_Cost]]</f>
        <v>6987.3899999999994</v>
      </c>
      <c r="U379" s="3">
        <f>Table1[[#This Row],[Net_Sales]]-Table1[[#This Row],[Total_Cost]]</f>
        <v>1295.7700000000041</v>
      </c>
      <c r="V379" s="4">
        <f>Table1[[#This Row],[Net_Profit]]/Table1[[#This Row],[Net_Sales]]</f>
        <v>3.5571593676136833E-2</v>
      </c>
      <c r="W379" t="s">
        <v>33</v>
      </c>
      <c r="X379" t="s">
        <v>443</v>
      </c>
      <c r="Y379">
        <v>4</v>
      </c>
      <c r="Z379" t="str">
        <f>IF(Table1[[#This Row],[Month_No]]&lt;=6, "H1","H2")</f>
        <v>H1</v>
      </c>
    </row>
    <row r="380" spans="1:26" x14ac:dyDescent="0.25">
      <c r="A380" s="2">
        <v>45753</v>
      </c>
      <c r="B380" t="s">
        <v>456</v>
      </c>
      <c r="C380" t="s">
        <v>70</v>
      </c>
      <c r="D380" t="s">
        <v>85</v>
      </c>
      <c r="E380" t="s">
        <v>57</v>
      </c>
      <c r="F380" t="s">
        <v>46</v>
      </c>
      <c r="G380" t="s">
        <v>31</v>
      </c>
      <c r="H380" t="s">
        <v>59</v>
      </c>
      <c r="I380">
        <v>106</v>
      </c>
      <c r="J380" s="3">
        <v>1961.88</v>
      </c>
      <c r="K380" s="3">
        <f>Table1[[#This Row],[Quantity]]*Table1[[#This Row],[Unit_Price]]</f>
        <v>207959.28</v>
      </c>
      <c r="L380" s="3">
        <v>15071.68</v>
      </c>
      <c r="M380" s="3">
        <f>Table1[[#This Row],[Gross_Sales]]-Table1[[#This Row],[Discount]]</f>
        <v>192887.6</v>
      </c>
      <c r="N380" s="3">
        <v>137724.60999999999</v>
      </c>
      <c r="O380" s="3">
        <v>6158.22</v>
      </c>
      <c r="P380" s="3">
        <v>12279.21</v>
      </c>
      <c r="Q380" s="3">
        <v>8016.31</v>
      </c>
      <c r="R380" s="3">
        <v>5436.37</v>
      </c>
      <c r="S380" s="3">
        <f>SUM(Table1[[#This Row],[Product_Cost]:[Other_Cost]])</f>
        <v>169614.71999999997</v>
      </c>
      <c r="T380" s="3">
        <f>Table1[[#This Row],[Net_Sales]]-Table1[[#This Row],[Product_Cost]]</f>
        <v>55162.99000000002</v>
      </c>
      <c r="U380" s="3">
        <f>Table1[[#This Row],[Net_Sales]]-Table1[[#This Row],[Total_Cost]]</f>
        <v>23272.880000000034</v>
      </c>
      <c r="V380" s="4">
        <f>Table1[[#This Row],[Net_Profit]]/Table1[[#This Row],[Net_Sales]]</f>
        <v>0.12065513801820352</v>
      </c>
      <c r="W380" t="s">
        <v>33</v>
      </c>
      <c r="X380" t="s">
        <v>443</v>
      </c>
      <c r="Y380">
        <v>4</v>
      </c>
      <c r="Z380" t="str">
        <f>IF(Table1[[#This Row],[Month_No]]&lt;=6, "H1","H2")</f>
        <v>H1</v>
      </c>
    </row>
    <row r="381" spans="1:26" x14ac:dyDescent="0.25">
      <c r="A381" s="2">
        <v>45754</v>
      </c>
      <c r="B381" t="s">
        <v>457</v>
      </c>
      <c r="C381" t="s">
        <v>78</v>
      </c>
      <c r="D381" t="s">
        <v>68</v>
      </c>
      <c r="E381" t="s">
        <v>29</v>
      </c>
      <c r="F381" t="s">
        <v>46</v>
      </c>
      <c r="G381" t="s">
        <v>58</v>
      </c>
      <c r="H381" t="s">
        <v>59</v>
      </c>
      <c r="I381">
        <v>126</v>
      </c>
      <c r="J381" s="3">
        <v>373.7</v>
      </c>
      <c r="K381" s="3">
        <f>Table1[[#This Row],[Quantity]]*Table1[[#This Row],[Unit_Price]]</f>
        <v>47086.2</v>
      </c>
      <c r="L381" s="3">
        <v>3890.37</v>
      </c>
      <c r="M381" s="3">
        <f>Table1[[#This Row],[Gross_Sales]]-Table1[[#This Row],[Discount]]</f>
        <v>43195.829999999994</v>
      </c>
      <c r="N381" s="3">
        <v>34970.65</v>
      </c>
      <c r="O381" s="3">
        <v>1187.51</v>
      </c>
      <c r="P381" s="3">
        <v>2857.94</v>
      </c>
      <c r="Q381" s="3">
        <v>1832.31</v>
      </c>
      <c r="R381" s="3">
        <v>1298.49</v>
      </c>
      <c r="S381" s="3">
        <f>SUM(Table1[[#This Row],[Product_Cost]:[Other_Cost]])</f>
        <v>42146.9</v>
      </c>
      <c r="T381" s="3">
        <f>Table1[[#This Row],[Net_Sales]]-Table1[[#This Row],[Product_Cost]]</f>
        <v>8225.179999999993</v>
      </c>
      <c r="U381" s="3">
        <f>Table1[[#This Row],[Net_Sales]]-Table1[[#This Row],[Total_Cost]]</f>
        <v>1048.929999999993</v>
      </c>
      <c r="V381" s="4">
        <f>Table1[[#This Row],[Net_Profit]]/Table1[[#This Row],[Net_Sales]]</f>
        <v>2.4283131033713049E-2</v>
      </c>
      <c r="W381" t="s">
        <v>33</v>
      </c>
      <c r="X381" t="s">
        <v>443</v>
      </c>
      <c r="Y381">
        <v>4</v>
      </c>
      <c r="Z381" t="str">
        <f>IF(Table1[[#This Row],[Month_No]]&lt;=6, "H1","H2")</f>
        <v>H1</v>
      </c>
    </row>
    <row r="382" spans="1:26" x14ac:dyDescent="0.25">
      <c r="A382" s="2">
        <v>45754</v>
      </c>
      <c r="B382" t="s">
        <v>458</v>
      </c>
      <c r="C382" t="s">
        <v>55</v>
      </c>
      <c r="D382" t="s">
        <v>68</v>
      </c>
      <c r="E382" t="s">
        <v>29</v>
      </c>
      <c r="F382" t="s">
        <v>46</v>
      </c>
      <c r="G382" t="s">
        <v>61</v>
      </c>
      <c r="H382" t="s">
        <v>59</v>
      </c>
      <c r="I382">
        <v>160</v>
      </c>
      <c r="J382" s="3">
        <v>352.56</v>
      </c>
      <c r="K382" s="3">
        <f>Table1[[#This Row],[Quantity]]*Table1[[#This Row],[Unit_Price]]</f>
        <v>56409.599999999999</v>
      </c>
      <c r="L382" s="3">
        <v>4275.7</v>
      </c>
      <c r="M382" s="3">
        <f>Table1[[#This Row],[Gross_Sales]]-Table1[[#This Row],[Discount]]</f>
        <v>52133.9</v>
      </c>
      <c r="N382" s="3">
        <v>41294.949999999997</v>
      </c>
      <c r="O382" s="3">
        <v>1612.89</v>
      </c>
      <c r="P382" s="3">
        <v>3780.17</v>
      </c>
      <c r="Q382" s="3">
        <v>2742.17</v>
      </c>
      <c r="R382" s="3">
        <v>1615.75</v>
      </c>
      <c r="S382" s="3">
        <f>SUM(Table1[[#This Row],[Product_Cost]:[Other_Cost]])</f>
        <v>51045.929999999993</v>
      </c>
      <c r="T382" s="3">
        <f>Table1[[#This Row],[Net_Sales]]-Table1[[#This Row],[Product_Cost]]</f>
        <v>10838.950000000004</v>
      </c>
      <c r="U382" s="3">
        <f>Table1[[#This Row],[Net_Sales]]-Table1[[#This Row],[Total_Cost]]</f>
        <v>1087.9700000000084</v>
      </c>
      <c r="V382" s="4">
        <f>Table1[[#This Row],[Net_Profit]]/Table1[[#This Row],[Net_Sales]]</f>
        <v>2.08687629354414E-2</v>
      </c>
      <c r="W382" t="s">
        <v>33</v>
      </c>
      <c r="X382" t="s">
        <v>443</v>
      </c>
      <c r="Y382">
        <v>4</v>
      </c>
      <c r="Z382" t="str">
        <f>IF(Table1[[#This Row],[Month_No]]&lt;=6, "H1","H2")</f>
        <v>H1</v>
      </c>
    </row>
    <row r="383" spans="1:26" x14ac:dyDescent="0.25">
      <c r="A383" s="2">
        <v>45754</v>
      </c>
      <c r="B383" t="s">
        <v>459</v>
      </c>
      <c r="C383" t="s">
        <v>49</v>
      </c>
      <c r="D383" t="s">
        <v>100</v>
      </c>
      <c r="E383" t="s">
        <v>75</v>
      </c>
      <c r="F383" t="s">
        <v>46</v>
      </c>
      <c r="G383" t="s">
        <v>58</v>
      </c>
      <c r="H383" t="s">
        <v>32</v>
      </c>
      <c r="I383">
        <v>70</v>
      </c>
      <c r="J383" s="3">
        <v>7106.97</v>
      </c>
      <c r="K383" s="3">
        <f>Table1[[#This Row],[Quantity]]*Table1[[#This Row],[Unit_Price]]</f>
        <v>497487.9</v>
      </c>
      <c r="L383" s="3">
        <v>44997.99</v>
      </c>
      <c r="M383" s="3">
        <f>Table1[[#This Row],[Gross_Sales]]-Table1[[#This Row],[Discount]]</f>
        <v>452489.91000000003</v>
      </c>
      <c r="N383" s="3">
        <v>280203.11</v>
      </c>
      <c r="O383" s="3">
        <v>13558.38</v>
      </c>
      <c r="P383" s="3">
        <v>28258.880000000001</v>
      </c>
      <c r="Q383" s="3">
        <v>20057.8</v>
      </c>
      <c r="R383" s="3">
        <v>13429.71</v>
      </c>
      <c r="S383" s="3">
        <f>SUM(Table1[[#This Row],[Product_Cost]:[Other_Cost]])</f>
        <v>355507.88</v>
      </c>
      <c r="T383" s="3">
        <f>Table1[[#This Row],[Net_Sales]]-Table1[[#This Row],[Product_Cost]]</f>
        <v>172286.80000000005</v>
      </c>
      <c r="U383" s="3">
        <f>Table1[[#This Row],[Net_Sales]]-Table1[[#This Row],[Total_Cost]]</f>
        <v>96982.030000000028</v>
      </c>
      <c r="V383" s="4">
        <f>Table1[[#This Row],[Net_Profit]]/Table1[[#This Row],[Net_Sales]]</f>
        <v>0.21432970737402746</v>
      </c>
      <c r="W383" t="s">
        <v>33</v>
      </c>
      <c r="X383" t="s">
        <v>443</v>
      </c>
      <c r="Y383">
        <v>4</v>
      </c>
      <c r="Z383" t="str">
        <f>IF(Table1[[#This Row],[Month_No]]&lt;=6, "H1","H2")</f>
        <v>H1</v>
      </c>
    </row>
    <row r="384" spans="1:26" x14ac:dyDescent="0.25">
      <c r="A384" s="2">
        <v>45754</v>
      </c>
      <c r="B384" t="s">
        <v>460</v>
      </c>
      <c r="C384" t="s">
        <v>55</v>
      </c>
      <c r="D384" t="s">
        <v>85</v>
      </c>
      <c r="E384" t="s">
        <v>57</v>
      </c>
      <c r="F384" t="s">
        <v>52</v>
      </c>
      <c r="G384" t="s">
        <v>31</v>
      </c>
      <c r="H384" t="s">
        <v>32</v>
      </c>
      <c r="I384">
        <v>40</v>
      </c>
      <c r="J384" s="3">
        <v>1817.36</v>
      </c>
      <c r="K384" s="3">
        <f>Table1[[#This Row],[Quantity]]*Table1[[#This Row],[Unit_Price]]</f>
        <v>72694.399999999994</v>
      </c>
      <c r="L384" s="3">
        <v>6067.27</v>
      </c>
      <c r="M384" s="3">
        <f>Table1[[#This Row],[Gross_Sales]]-Table1[[#This Row],[Discount]]</f>
        <v>66627.12999999999</v>
      </c>
      <c r="N384" s="3">
        <v>47240.45</v>
      </c>
      <c r="O384" s="3">
        <v>1630</v>
      </c>
      <c r="P384" s="3">
        <v>3738.42</v>
      </c>
      <c r="Q384" s="3">
        <v>3089.07</v>
      </c>
      <c r="R384" s="3">
        <v>1874.08</v>
      </c>
      <c r="S384" s="3">
        <f>SUM(Table1[[#This Row],[Product_Cost]:[Other_Cost]])</f>
        <v>57572.02</v>
      </c>
      <c r="T384" s="3">
        <f>Table1[[#This Row],[Net_Sales]]-Table1[[#This Row],[Product_Cost]]</f>
        <v>19386.679999999993</v>
      </c>
      <c r="U384" s="3">
        <f>Table1[[#This Row],[Net_Sales]]-Table1[[#This Row],[Total_Cost]]</f>
        <v>9055.1099999999933</v>
      </c>
      <c r="V384" s="4">
        <f>Table1[[#This Row],[Net_Profit]]/Table1[[#This Row],[Net_Sales]]</f>
        <v>0.13590724979449054</v>
      </c>
      <c r="W384" t="s">
        <v>33</v>
      </c>
      <c r="X384" t="s">
        <v>443</v>
      </c>
      <c r="Y384">
        <v>4</v>
      </c>
      <c r="Z384" t="str">
        <f>IF(Table1[[#This Row],[Month_No]]&lt;=6, "H1","H2")</f>
        <v>H1</v>
      </c>
    </row>
    <row r="385" spans="1:26" x14ac:dyDescent="0.25">
      <c r="A385" s="2">
        <v>45754</v>
      </c>
      <c r="B385" t="s">
        <v>461</v>
      </c>
      <c r="C385" t="s">
        <v>98</v>
      </c>
      <c r="D385" t="s">
        <v>85</v>
      </c>
      <c r="E385" t="s">
        <v>57</v>
      </c>
      <c r="F385" t="s">
        <v>52</v>
      </c>
      <c r="G385" t="s">
        <v>40</v>
      </c>
      <c r="H385" t="s">
        <v>41</v>
      </c>
      <c r="I385">
        <v>81</v>
      </c>
      <c r="J385" s="3">
        <v>1885.08</v>
      </c>
      <c r="K385" s="3">
        <f>Table1[[#This Row],[Quantity]]*Table1[[#This Row],[Unit_Price]]</f>
        <v>152691.47999999998</v>
      </c>
      <c r="L385" s="3">
        <v>11166.02</v>
      </c>
      <c r="M385" s="3">
        <f>Table1[[#This Row],[Gross_Sales]]-Table1[[#This Row],[Discount]]</f>
        <v>141525.46</v>
      </c>
      <c r="N385" s="3">
        <v>101600.37</v>
      </c>
      <c r="O385" s="3">
        <v>3784.43</v>
      </c>
      <c r="P385" s="3">
        <v>8505.3799999999992</v>
      </c>
      <c r="Q385" s="3">
        <v>7241.62</v>
      </c>
      <c r="R385" s="3">
        <v>3826.91</v>
      </c>
      <c r="S385" s="3">
        <f>SUM(Table1[[#This Row],[Product_Cost]:[Other_Cost]])</f>
        <v>124958.70999999999</v>
      </c>
      <c r="T385" s="3">
        <f>Table1[[#This Row],[Net_Sales]]-Table1[[#This Row],[Product_Cost]]</f>
        <v>39925.089999999997</v>
      </c>
      <c r="U385" s="3">
        <f>Table1[[#This Row],[Net_Sales]]-Table1[[#This Row],[Total_Cost]]</f>
        <v>16566.75</v>
      </c>
      <c r="V385" s="4">
        <f>Table1[[#This Row],[Net_Profit]]/Table1[[#This Row],[Net_Sales]]</f>
        <v>0.11705844305328526</v>
      </c>
      <c r="W385" t="s">
        <v>33</v>
      </c>
      <c r="X385" t="s">
        <v>443</v>
      </c>
      <c r="Y385">
        <v>4</v>
      </c>
      <c r="Z385" t="str">
        <f>IF(Table1[[#This Row],[Month_No]]&lt;=6, "H1","H2")</f>
        <v>H1</v>
      </c>
    </row>
    <row r="386" spans="1:26" x14ac:dyDescent="0.25">
      <c r="A386" s="2">
        <v>45754</v>
      </c>
      <c r="B386" t="s">
        <v>462</v>
      </c>
      <c r="C386" t="s">
        <v>36</v>
      </c>
      <c r="D386" t="s">
        <v>28</v>
      </c>
      <c r="E386" t="s">
        <v>29</v>
      </c>
      <c r="F386" t="s">
        <v>52</v>
      </c>
      <c r="G386" t="s">
        <v>76</v>
      </c>
      <c r="H386" t="s">
        <v>41</v>
      </c>
      <c r="I386">
        <v>100</v>
      </c>
      <c r="J386" s="3">
        <v>1176.42</v>
      </c>
      <c r="K386" s="3">
        <f>Table1[[#This Row],[Quantity]]*Table1[[#This Row],[Unit_Price]]</f>
        <v>117642</v>
      </c>
      <c r="L386" s="3">
        <v>10000.89</v>
      </c>
      <c r="M386" s="3">
        <f>Table1[[#This Row],[Gross_Sales]]-Table1[[#This Row],[Discount]]</f>
        <v>107641.11</v>
      </c>
      <c r="N386" s="3">
        <v>63919.5</v>
      </c>
      <c r="O386" s="3">
        <v>3049.18</v>
      </c>
      <c r="P386" s="3">
        <v>7102.54</v>
      </c>
      <c r="Q386" s="3">
        <v>5890.68</v>
      </c>
      <c r="R386" s="3">
        <v>2674.69</v>
      </c>
      <c r="S386" s="3">
        <f>SUM(Table1[[#This Row],[Product_Cost]:[Other_Cost]])</f>
        <v>82636.59</v>
      </c>
      <c r="T386" s="3">
        <f>Table1[[#This Row],[Net_Sales]]-Table1[[#This Row],[Product_Cost]]</f>
        <v>43721.61</v>
      </c>
      <c r="U386" s="3">
        <f>Table1[[#This Row],[Net_Sales]]-Table1[[#This Row],[Total_Cost]]</f>
        <v>25004.520000000004</v>
      </c>
      <c r="V386" s="4">
        <f>Table1[[#This Row],[Net_Profit]]/Table1[[#This Row],[Net_Sales]]</f>
        <v>0.23229526339890033</v>
      </c>
      <c r="W386" t="s">
        <v>33</v>
      </c>
      <c r="X386" t="s">
        <v>443</v>
      </c>
      <c r="Y386">
        <v>4</v>
      </c>
      <c r="Z386" t="str">
        <f>IF(Table1[[#This Row],[Month_No]]&lt;=6, "H1","H2")</f>
        <v>H1</v>
      </c>
    </row>
    <row r="387" spans="1:26" x14ac:dyDescent="0.25">
      <c r="A387" s="2">
        <v>45755</v>
      </c>
      <c r="B387" t="s">
        <v>463</v>
      </c>
      <c r="C387" t="s">
        <v>83</v>
      </c>
      <c r="D387" t="s">
        <v>74</v>
      </c>
      <c r="E387" t="s">
        <v>75</v>
      </c>
      <c r="F387" t="s">
        <v>52</v>
      </c>
      <c r="G387" t="s">
        <v>86</v>
      </c>
      <c r="H387" t="s">
        <v>32</v>
      </c>
      <c r="I387">
        <v>67</v>
      </c>
      <c r="J387" s="3">
        <v>5654.84</v>
      </c>
      <c r="K387" s="3">
        <f>Table1[[#This Row],[Quantity]]*Table1[[#This Row],[Unit_Price]]</f>
        <v>378874.28</v>
      </c>
      <c r="L387" s="3">
        <v>28183.37</v>
      </c>
      <c r="M387" s="3">
        <f>Table1[[#This Row],[Gross_Sales]]-Table1[[#This Row],[Discount]]</f>
        <v>350690.91000000003</v>
      </c>
      <c r="N387" s="3">
        <v>257138.73</v>
      </c>
      <c r="O387" s="3">
        <v>8212.0300000000007</v>
      </c>
      <c r="P387" s="3">
        <v>25291.02</v>
      </c>
      <c r="Q387" s="3">
        <v>14423.93</v>
      </c>
      <c r="R387" s="3">
        <v>10009.31</v>
      </c>
      <c r="S387" s="3">
        <f>SUM(Table1[[#This Row],[Product_Cost]:[Other_Cost]])</f>
        <v>315075.02</v>
      </c>
      <c r="T387" s="3">
        <f>Table1[[#This Row],[Net_Sales]]-Table1[[#This Row],[Product_Cost]]</f>
        <v>93552.180000000022</v>
      </c>
      <c r="U387" s="3">
        <f>Table1[[#This Row],[Net_Sales]]-Table1[[#This Row],[Total_Cost]]</f>
        <v>35615.890000000014</v>
      </c>
      <c r="V387" s="4">
        <f>Table1[[#This Row],[Net_Profit]]/Table1[[#This Row],[Net_Sales]]</f>
        <v>0.10155920494203859</v>
      </c>
      <c r="W387" t="s">
        <v>33</v>
      </c>
      <c r="X387" t="s">
        <v>443</v>
      </c>
      <c r="Y387">
        <v>4</v>
      </c>
      <c r="Z387" t="str">
        <f>IF(Table1[[#This Row],[Month_No]]&lt;=6, "H1","H2")</f>
        <v>H1</v>
      </c>
    </row>
    <row r="388" spans="1:26" x14ac:dyDescent="0.25">
      <c r="A388" s="2">
        <v>45755</v>
      </c>
      <c r="B388" t="s">
        <v>464</v>
      </c>
      <c r="C388" t="s">
        <v>78</v>
      </c>
      <c r="D388" t="s">
        <v>50</v>
      </c>
      <c r="E388" t="s">
        <v>51</v>
      </c>
      <c r="F388" t="s">
        <v>52</v>
      </c>
      <c r="G388" t="s">
        <v>71</v>
      </c>
      <c r="H388" t="s">
        <v>59</v>
      </c>
      <c r="I388">
        <v>57</v>
      </c>
      <c r="J388" s="3">
        <v>808.24</v>
      </c>
      <c r="K388" s="3">
        <f>Table1[[#This Row],[Quantity]]*Table1[[#This Row],[Unit_Price]]</f>
        <v>46069.68</v>
      </c>
      <c r="L388" s="3">
        <v>3508.1</v>
      </c>
      <c r="M388" s="3">
        <f>Table1[[#This Row],[Gross_Sales]]-Table1[[#This Row],[Discount]]</f>
        <v>42561.58</v>
      </c>
      <c r="N388" s="3">
        <v>28777.24</v>
      </c>
      <c r="O388" s="3">
        <v>1135.68</v>
      </c>
      <c r="P388" s="3">
        <v>3138.71</v>
      </c>
      <c r="Q388" s="3">
        <v>1857.82</v>
      </c>
      <c r="R388" s="3">
        <v>1018.7</v>
      </c>
      <c r="S388" s="3">
        <f>SUM(Table1[[#This Row],[Product_Cost]:[Other_Cost]])</f>
        <v>35928.15</v>
      </c>
      <c r="T388" s="3">
        <f>Table1[[#This Row],[Net_Sales]]-Table1[[#This Row],[Product_Cost]]</f>
        <v>13784.34</v>
      </c>
      <c r="U388" s="3">
        <f>Table1[[#This Row],[Net_Sales]]-Table1[[#This Row],[Total_Cost]]</f>
        <v>6633.43</v>
      </c>
      <c r="V388" s="4">
        <f>Table1[[#This Row],[Net_Profit]]/Table1[[#This Row],[Net_Sales]]</f>
        <v>0.15585488132724395</v>
      </c>
      <c r="W388" t="s">
        <v>72</v>
      </c>
      <c r="X388" t="s">
        <v>443</v>
      </c>
      <c r="Y388">
        <v>4</v>
      </c>
      <c r="Z388" t="str">
        <f>IF(Table1[[#This Row],[Month_No]]&lt;=6, "H1","H2")</f>
        <v>H1</v>
      </c>
    </row>
    <row r="389" spans="1:26" x14ac:dyDescent="0.25">
      <c r="A389" s="2">
        <v>45755</v>
      </c>
      <c r="B389" t="s">
        <v>465</v>
      </c>
      <c r="C389" t="s">
        <v>117</v>
      </c>
      <c r="D389" t="s">
        <v>68</v>
      </c>
      <c r="E389" t="s">
        <v>29</v>
      </c>
      <c r="F389" t="s">
        <v>30</v>
      </c>
      <c r="G389" t="s">
        <v>64</v>
      </c>
      <c r="H389" t="s">
        <v>59</v>
      </c>
      <c r="I389">
        <v>75</v>
      </c>
      <c r="J389" s="3">
        <v>358.5</v>
      </c>
      <c r="K389" s="3">
        <f>Table1[[#This Row],[Quantity]]*Table1[[#This Row],[Unit_Price]]</f>
        <v>26887.5</v>
      </c>
      <c r="L389" s="3">
        <v>1755.32</v>
      </c>
      <c r="M389" s="3">
        <f>Table1[[#This Row],[Gross_Sales]]-Table1[[#This Row],[Discount]]</f>
        <v>25132.18</v>
      </c>
      <c r="N389" s="3">
        <v>20075.95</v>
      </c>
      <c r="O389" s="3">
        <v>924.36</v>
      </c>
      <c r="P389" s="3">
        <v>1873.3</v>
      </c>
      <c r="Q389" s="3">
        <v>1257.18</v>
      </c>
      <c r="R389" s="3">
        <v>597.91999999999996</v>
      </c>
      <c r="S389" s="3">
        <f>SUM(Table1[[#This Row],[Product_Cost]:[Other_Cost]])</f>
        <v>24728.71</v>
      </c>
      <c r="T389" s="3">
        <f>Table1[[#This Row],[Net_Sales]]-Table1[[#This Row],[Product_Cost]]</f>
        <v>5056.2299999999996</v>
      </c>
      <c r="U389" s="3">
        <f>Table1[[#This Row],[Net_Sales]]-Table1[[#This Row],[Total_Cost]]</f>
        <v>403.47000000000116</v>
      </c>
      <c r="V389" s="4">
        <f>Table1[[#This Row],[Net_Profit]]/Table1[[#This Row],[Net_Sales]]</f>
        <v>1.6053919715679307E-2</v>
      </c>
      <c r="W389" t="s">
        <v>33</v>
      </c>
      <c r="X389" t="s">
        <v>443</v>
      </c>
      <c r="Y389">
        <v>4</v>
      </c>
      <c r="Z389" t="str">
        <f>IF(Table1[[#This Row],[Month_No]]&lt;=6, "H1","H2")</f>
        <v>H1</v>
      </c>
    </row>
    <row r="390" spans="1:26" x14ac:dyDescent="0.25">
      <c r="A390" s="2">
        <v>45755</v>
      </c>
      <c r="B390" t="s">
        <v>466</v>
      </c>
      <c r="C390" t="s">
        <v>43</v>
      </c>
      <c r="D390" t="s">
        <v>68</v>
      </c>
      <c r="E390" t="s">
        <v>29</v>
      </c>
      <c r="F390" t="s">
        <v>52</v>
      </c>
      <c r="G390" t="s">
        <v>76</v>
      </c>
      <c r="H390" t="s">
        <v>59</v>
      </c>
      <c r="I390">
        <v>184</v>
      </c>
      <c r="J390" s="3">
        <v>357.09</v>
      </c>
      <c r="K390" s="3">
        <f>Table1[[#This Row],[Quantity]]*Table1[[#This Row],[Unit_Price]]</f>
        <v>65704.56</v>
      </c>
      <c r="L390" s="3">
        <v>5533.73</v>
      </c>
      <c r="M390" s="3">
        <f>Table1[[#This Row],[Gross_Sales]]-Table1[[#This Row],[Discount]]</f>
        <v>60170.83</v>
      </c>
      <c r="N390" s="3">
        <v>47574.26</v>
      </c>
      <c r="O390" s="3">
        <v>1517.4</v>
      </c>
      <c r="P390" s="3">
        <v>3592.95</v>
      </c>
      <c r="Q390" s="3">
        <v>2181.2800000000002</v>
      </c>
      <c r="R390" s="3">
        <v>1528.76</v>
      </c>
      <c r="S390" s="3">
        <f>SUM(Table1[[#This Row],[Product_Cost]:[Other_Cost]])</f>
        <v>56394.65</v>
      </c>
      <c r="T390" s="3">
        <f>Table1[[#This Row],[Net_Sales]]-Table1[[#This Row],[Product_Cost]]</f>
        <v>12596.57</v>
      </c>
      <c r="U390" s="3">
        <f>Table1[[#This Row],[Net_Sales]]-Table1[[#This Row],[Total_Cost]]</f>
        <v>3776.1800000000003</v>
      </c>
      <c r="V390" s="4">
        <f>Table1[[#This Row],[Net_Profit]]/Table1[[#This Row],[Net_Sales]]</f>
        <v>6.2757651838939235E-2</v>
      </c>
      <c r="W390" t="s">
        <v>33</v>
      </c>
      <c r="X390" t="s">
        <v>443</v>
      </c>
      <c r="Y390">
        <v>4</v>
      </c>
      <c r="Z390" t="str">
        <f>IF(Table1[[#This Row],[Month_No]]&lt;=6, "H1","H2")</f>
        <v>H1</v>
      </c>
    </row>
    <row r="391" spans="1:26" x14ac:dyDescent="0.25">
      <c r="A391" s="2">
        <v>45755</v>
      </c>
      <c r="B391" t="s">
        <v>467</v>
      </c>
      <c r="C391" t="s">
        <v>98</v>
      </c>
      <c r="D391" t="s">
        <v>183</v>
      </c>
      <c r="E391" t="s">
        <v>38</v>
      </c>
      <c r="F391" t="s">
        <v>39</v>
      </c>
      <c r="G391" t="s">
        <v>31</v>
      </c>
      <c r="H391" t="s">
        <v>32</v>
      </c>
      <c r="I391">
        <v>52</v>
      </c>
      <c r="J391" s="3">
        <v>6349.15</v>
      </c>
      <c r="K391" s="3">
        <f>Table1[[#This Row],[Quantity]]*Table1[[#This Row],[Unit_Price]]</f>
        <v>330155.8</v>
      </c>
      <c r="L391" s="3">
        <v>30399.11</v>
      </c>
      <c r="M391" s="3">
        <f>Table1[[#This Row],[Gross_Sales]]-Table1[[#This Row],[Discount]]</f>
        <v>299756.69</v>
      </c>
      <c r="N391" s="3">
        <v>174096.3</v>
      </c>
      <c r="O391" s="3">
        <v>12490.05</v>
      </c>
      <c r="P391" s="3">
        <v>20544.3</v>
      </c>
      <c r="Q391" s="3">
        <v>14932.3</v>
      </c>
      <c r="R391" s="3">
        <v>7937.49</v>
      </c>
      <c r="S391" s="3">
        <f>SUM(Table1[[#This Row],[Product_Cost]:[Other_Cost]])</f>
        <v>230000.43999999994</v>
      </c>
      <c r="T391" s="3">
        <f>Table1[[#This Row],[Net_Sales]]-Table1[[#This Row],[Product_Cost]]</f>
        <v>125660.39000000001</v>
      </c>
      <c r="U391" s="3">
        <f>Table1[[#This Row],[Net_Sales]]-Table1[[#This Row],[Total_Cost]]</f>
        <v>69756.250000000058</v>
      </c>
      <c r="V391" s="4">
        <f>Table1[[#This Row],[Net_Profit]]/Table1[[#This Row],[Net_Sales]]</f>
        <v>0.23270956855041353</v>
      </c>
      <c r="W391" t="s">
        <v>33</v>
      </c>
      <c r="X391" t="s">
        <v>443</v>
      </c>
      <c r="Y391">
        <v>4</v>
      </c>
      <c r="Z391" t="str">
        <f>IF(Table1[[#This Row],[Month_No]]&lt;=6, "H1","H2")</f>
        <v>H1</v>
      </c>
    </row>
    <row r="392" spans="1:26" x14ac:dyDescent="0.25">
      <c r="A392" s="2">
        <v>45756</v>
      </c>
      <c r="B392" t="s">
        <v>468</v>
      </c>
      <c r="C392" t="s">
        <v>36</v>
      </c>
      <c r="D392" t="s">
        <v>37</v>
      </c>
      <c r="E392" t="s">
        <v>38</v>
      </c>
      <c r="F392" t="s">
        <v>30</v>
      </c>
      <c r="G392" t="s">
        <v>76</v>
      </c>
      <c r="H392" t="s">
        <v>41</v>
      </c>
      <c r="I392">
        <v>73</v>
      </c>
      <c r="J392" s="3">
        <v>4331.1400000000003</v>
      </c>
      <c r="K392" s="3">
        <f>Table1[[#This Row],[Quantity]]*Table1[[#This Row],[Unit_Price]]</f>
        <v>316173.22000000003</v>
      </c>
      <c r="L392" s="3">
        <v>25131.99</v>
      </c>
      <c r="M392" s="3">
        <f>Table1[[#This Row],[Gross_Sales]]-Table1[[#This Row],[Discount]]</f>
        <v>291041.23000000004</v>
      </c>
      <c r="N392" s="3">
        <v>206806.16</v>
      </c>
      <c r="O392" s="3">
        <v>9430.9500000000007</v>
      </c>
      <c r="P392" s="3">
        <v>19784.91</v>
      </c>
      <c r="Q392" s="3">
        <v>11016</v>
      </c>
      <c r="R392" s="3">
        <v>8151.43</v>
      </c>
      <c r="S392" s="3">
        <f>SUM(Table1[[#This Row],[Product_Cost]:[Other_Cost]])</f>
        <v>255189.45</v>
      </c>
      <c r="T392" s="3">
        <f>Table1[[#This Row],[Net_Sales]]-Table1[[#This Row],[Product_Cost]]</f>
        <v>84235.070000000036</v>
      </c>
      <c r="U392" s="3">
        <f>Table1[[#This Row],[Net_Sales]]-Table1[[#This Row],[Total_Cost]]</f>
        <v>35851.780000000028</v>
      </c>
      <c r="V392" s="4">
        <f>Table1[[#This Row],[Net_Profit]]/Table1[[#This Row],[Net_Sales]]</f>
        <v>0.12318453986742711</v>
      </c>
      <c r="W392" t="s">
        <v>72</v>
      </c>
      <c r="X392" t="s">
        <v>443</v>
      </c>
      <c r="Y392">
        <v>4</v>
      </c>
      <c r="Z392" t="str">
        <f>IF(Table1[[#This Row],[Month_No]]&lt;=6, "H1","H2")</f>
        <v>H1</v>
      </c>
    </row>
    <row r="393" spans="1:26" x14ac:dyDescent="0.25">
      <c r="A393" s="2">
        <v>45756</v>
      </c>
      <c r="B393" t="s">
        <v>469</v>
      </c>
      <c r="C393" t="s">
        <v>98</v>
      </c>
      <c r="D393" t="s">
        <v>28</v>
      </c>
      <c r="E393" t="s">
        <v>29</v>
      </c>
      <c r="F393" t="s">
        <v>52</v>
      </c>
      <c r="G393" t="s">
        <v>31</v>
      </c>
      <c r="H393" t="s">
        <v>47</v>
      </c>
      <c r="I393">
        <v>52</v>
      </c>
      <c r="J393" s="3">
        <v>1103.6300000000001</v>
      </c>
      <c r="K393" s="3">
        <f>Table1[[#This Row],[Quantity]]*Table1[[#This Row],[Unit_Price]]</f>
        <v>57388.760000000009</v>
      </c>
      <c r="L393" s="3">
        <v>4052.79</v>
      </c>
      <c r="M393" s="3">
        <f>Table1[[#This Row],[Gross_Sales]]-Table1[[#This Row],[Discount]]</f>
        <v>53335.970000000008</v>
      </c>
      <c r="N393" s="3">
        <v>32410.240000000002</v>
      </c>
      <c r="O393" s="3">
        <v>1433.3</v>
      </c>
      <c r="P393" s="3">
        <v>3294.52</v>
      </c>
      <c r="Q393" s="3">
        <v>2010.8</v>
      </c>
      <c r="R393" s="3">
        <v>1458.47</v>
      </c>
      <c r="S393" s="3">
        <f>SUM(Table1[[#This Row],[Product_Cost]:[Other_Cost]])</f>
        <v>40607.33</v>
      </c>
      <c r="T393" s="3">
        <f>Table1[[#This Row],[Net_Sales]]-Table1[[#This Row],[Product_Cost]]</f>
        <v>20925.730000000007</v>
      </c>
      <c r="U393" s="3">
        <f>Table1[[#This Row],[Net_Sales]]-Table1[[#This Row],[Total_Cost]]</f>
        <v>12728.640000000007</v>
      </c>
      <c r="V393" s="4">
        <f>Table1[[#This Row],[Net_Profit]]/Table1[[#This Row],[Net_Sales]]</f>
        <v>0.23865020173065202</v>
      </c>
      <c r="W393" t="s">
        <v>72</v>
      </c>
      <c r="X393" t="s">
        <v>443</v>
      </c>
      <c r="Y393">
        <v>4</v>
      </c>
      <c r="Z393" t="str">
        <f>IF(Table1[[#This Row],[Month_No]]&lt;=6, "H1","H2")</f>
        <v>H1</v>
      </c>
    </row>
    <row r="394" spans="1:26" x14ac:dyDescent="0.25">
      <c r="A394" s="2">
        <v>45756</v>
      </c>
      <c r="B394" t="s">
        <v>470</v>
      </c>
      <c r="C394" t="s">
        <v>43</v>
      </c>
      <c r="D394" t="s">
        <v>74</v>
      </c>
      <c r="E394" t="s">
        <v>75</v>
      </c>
      <c r="F394" t="s">
        <v>52</v>
      </c>
      <c r="G394" t="s">
        <v>76</v>
      </c>
      <c r="H394" t="s">
        <v>32</v>
      </c>
      <c r="I394">
        <v>66</v>
      </c>
      <c r="J394" s="3">
        <v>5482.7</v>
      </c>
      <c r="K394" s="3">
        <f>Table1[[#This Row],[Quantity]]*Table1[[#This Row],[Unit_Price]]</f>
        <v>361858.2</v>
      </c>
      <c r="L394" s="3">
        <v>30543.61</v>
      </c>
      <c r="M394" s="3">
        <f>Table1[[#This Row],[Gross_Sales]]-Table1[[#This Row],[Discount]]</f>
        <v>331314.59000000003</v>
      </c>
      <c r="N394" s="3">
        <v>248273.91</v>
      </c>
      <c r="O394" s="3">
        <v>8708.15</v>
      </c>
      <c r="P394" s="3">
        <v>21811.22</v>
      </c>
      <c r="Q394" s="3">
        <v>14889.44</v>
      </c>
      <c r="R394" s="3">
        <v>7244.02</v>
      </c>
      <c r="S394" s="3">
        <f>SUM(Table1[[#This Row],[Product_Cost]:[Other_Cost]])</f>
        <v>300926.74000000005</v>
      </c>
      <c r="T394" s="3">
        <f>Table1[[#This Row],[Net_Sales]]-Table1[[#This Row],[Product_Cost]]</f>
        <v>83040.680000000022</v>
      </c>
      <c r="U394" s="3">
        <f>Table1[[#This Row],[Net_Sales]]-Table1[[#This Row],[Total_Cost]]</f>
        <v>30387.849999999977</v>
      </c>
      <c r="V394" s="4">
        <f>Table1[[#This Row],[Net_Profit]]/Table1[[#This Row],[Net_Sales]]</f>
        <v>9.171902148951537E-2</v>
      </c>
      <c r="W394" t="s">
        <v>33</v>
      </c>
      <c r="X394" t="s">
        <v>443</v>
      </c>
      <c r="Y394">
        <v>4</v>
      </c>
      <c r="Z394" t="str">
        <f>IF(Table1[[#This Row],[Month_No]]&lt;=6, "H1","H2")</f>
        <v>H1</v>
      </c>
    </row>
    <row r="395" spans="1:26" x14ac:dyDescent="0.25">
      <c r="A395" s="2">
        <v>45756</v>
      </c>
      <c r="B395" t="s">
        <v>471</v>
      </c>
      <c r="C395" t="s">
        <v>83</v>
      </c>
      <c r="D395" t="s">
        <v>50</v>
      </c>
      <c r="E395" t="s">
        <v>51</v>
      </c>
      <c r="F395" t="s">
        <v>52</v>
      </c>
      <c r="G395" t="s">
        <v>61</v>
      </c>
      <c r="H395" t="s">
        <v>41</v>
      </c>
      <c r="I395">
        <v>82</v>
      </c>
      <c r="J395" s="3">
        <v>830.55</v>
      </c>
      <c r="K395" s="3">
        <f>Table1[[#This Row],[Quantity]]*Table1[[#This Row],[Unit_Price]]</f>
        <v>68105.099999999991</v>
      </c>
      <c r="L395" s="3">
        <v>5219.21</v>
      </c>
      <c r="M395" s="3">
        <f>Table1[[#This Row],[Gross_Sales]]-Table1[[#This Row],[Discount]]</f>
        <v>62885.889999999992</v>
      </c>
      <c r="N395" s="3">
        <v>40952</v>
      </c>
      <c r="O395" s="3">
        <v>1516.68</v>
      </c>
      <c r="P395" s="3">
        <v>3826.09</v>
      </c>
      <c r="Q395" s="3">
        <v>2353.2399999999998</v>
      </c>
      <c r="R395" s="3">
        <v>1915.87</v>
      </c>
      <c r="S395" s="3">
        <f>SUM(Table1[[#This Row],[Product_Cost]:[Other_Cost]])</f>
        <v>50563.880000000005</v>
      </c>
      <c r="T395" s="3">
        <f>Table1[[#This Row],[Net_Sales]]-Table1[[#This Row],[Product_Cost]]</f>
        <v>21933.889999999992</v>
      </c>
      <c r="U395" s="3">
        <f>Table1[[#This Row],[Net_Sales]]-Table1[[#This Row],[Total_Cost]]</f>
        <v>12322.009999999987</v>
      </c>
      <c r="V395" s="4">
        <f>Table1[[#This Row],[Net_Profit]]/Table1[[#This Row],[Net_Sales]]</f>
        <v>0.19594236481347388</v>
      </c>
      <c r="W395" t="s">
        <v>33</v>
      </c>
      <c r="X395" t="s">
        <v>443</v>
      </c>
      <c r="Y395">
        <v>4</v>
      </c>
      <c r="Z395" t="str">
        <f>IF(Table1[[#This Row],[Month_No]]&lt;=6, "H1","H2")</f>
        <v>H1</v>
      </c>
    </row>
    <row r="396" spans="1:26" x14ac:dyDescent="0.25">
      <c r="A396" s="2">
        <v>45757</v>
      </c>
      <c r="B396" t="s">
        <v>472</v>
      </c>
      <c r="C396" t="s">
        <v>55</v>
      </c>
      <c r="D396" t="s">
        <v>66</v>
      </c>
      <c r="E396" t="s">
        <v>51</v>
      </c>
      <c r="F396" t="s">
        <v>39</v>
      </c>
      <c r="G396" t="s">
        <v>61</v>
      </c>
      <c r="H396" t="s">
        <v>47</v>
      </c>
      <c r="I396">
        <v>75</v>
      </c>
      <c r="J396" s="3">
        <v>1412.43</v>
      </c>
      <c r="K396" s="3">
        <f>Table1[[#This Row],[Quantity]]*Table1[[#This Row],[Unit_Price]]</f>
        <v>105932.25</v>
      </c>
      <c r="L396" s="3">
        <v>7784.22</v>
      </c>
      <c r="M396" s="3">
        <f>Table1[[#This Row],[Gross_Sales]]-Table1[[#This Row],[Discount]]</f>
        <v>98148.03</v>
      </c>
      <c r="N396" s="3">
        <v>55457.56</v>
      </c>
      <c r="O396" s="3">
        <v>3913.39</v>
      </c>
      <c r="P396" s="3">
        <v>7310.77</v>
      </c>
      <c r="Q396" s="3">
        <v>4281.0200000000004</v>
      </c>
      <c r="R396" s="3">
        <v>2368.15</v>
      </c>
      <c r="S396" s="3">
        <f>SUM(Table1[[#This Row],[Product_Cost]:[Other_Cost]])</f>
        <v>73330.89</v>
      </c>
      <c r="T396" s="3">
        <f>Table1[[#This Row],[Net_Sales]]-Table1[[#This Row],[Product_Cost]]</f>
        <v>42690.47</v>
      </c>
      <c r="U396" s="3">
        <f>Table1[[#This Row],[Net_Sales]]-Table1[[#This Row],[Total_Cost]]</f>
        <v>24817.14</v>
      </c>
      <c r="V396" s="4">
        <f>Table1[[#This Row],[Net_Profit]]/Table1[[#This Row],[Net_Sales]]</f>
        <v>0.2528541836244701</v>
      </c>
      <c r="W396" t="s">
        <v>33</v>
      </c>
      <c r="X396" t="s">
        <v>443</v>
      </c>
      <c r="Y396">
        <v>4</v>
      </c>
      <c r="Z396" t="str">
        <f>IF(Table1[[#This Row],[Month_No]]&lt;=6, "H1","H2")</f>
        <v>H1</v>
      </c>
    </row>
    <row r="397" spans="1:26" x14ac:dyDescent="0.25">
      <c r="A397" s="2">
        <v>45758</v>
      </c>
      <c r="B397" t="s">
        <v>473</v>
      </c>
      <c r="C397" t="s">
        <v>36</v>
      </c>
      <c r="D397" t="s">
        <v>100</v>
      </c>
      <c r="E397" t="s">
        <v>75</v>
      </c>
      <c r="F397" t="s">
        <v>39</v>
      </c>
      <c r="G397" t="s">
        <v>61</v>
      </c>
      <c r="H397" t="s">
        <v>47</v>
      </c>
      <c r="I397">
        <v>40</v>
      </c>
      <c r="J397" s="3">
        <v>6967.04</v>
      </c>
      <c r="K397" s="3">
        <f>Table1[[#This Row],[Quantity]]*Table1[[#This Row],[Unit_Price]]</f>
        <v>278681.59999999998</v>
      </c>
      <c r="L397" s="3">
        <v>20078.22</v>
      </c>
      <c r="M397" s="3">
        <f>Table1[[#This Row],[Gross_Sales]]-Table1[[#This Row],[Discount]]</f>
        <v>258603.37999999998</v>
      </c>
      <c r="N397" s="3">
        <v>154047.94</v>
      </c>
      <c r="O397" s="3">
        <v>10209.700000000001</v>
      </c>
      <c r="P397" s="3">
        <v>19146.169999999998</v>
      </c>
      <c r="Q397" s="3">
        <v>9893.68</v>
      </c>
      <c r="R397" s="3">
        <v>6686.52</v>
      </c>
      <c r="S397" s="3">
        <f>SUM(Table1[[#This Row],[Product_Cost]:[Other_Cost]])</f>
        <v>199984.00999999998</v>
      </c>
      <c r="T397" s="3">
        <f>Table1[[#This Row],[Net_Sales]]-Table1[[#This Row],[Product_Cost]]</f>
        <v>104555.43999999997</v>
      </c>
      <c r="U397" s="3">
        <f>Table1[[#This Row],[Net_Sales]]-Table1[[#This Row],[Total_Cost]]</f>
        <v>58619.369999999995</v>
      </c>
      <c r="V397" s="4">
        <f>Table1[[#This Row],[Net_Profit]]/Table1[[#This Row],[Net_Sales]]</f>
        <v>0.22667673562503321</v>
      </c>
      <c r="W397" t="s">
        <v>33</v>
      </c>
      <c r="X397" t="s">
        <v>443</v>
      </c>
      <c r="Y397">
        <v>4</v>
      </c>
      <c r="Z397" t="str">
        <f>IF(Table1[[#This Row],[Month_No]]&lt;=6, "H1","H2")</f>
        <v>H1</v>
      </c>
    </row>
    <row r="398" spans="1:26" x14ac:dyDescent="0.25">
      <c r="A398" s="2">
        <v>45758</v>
      </c>
      <c r="B398" t="s">
        <v>474</v>
      </c>
      <c r="C398" t="s">
        <v>107</v>
      </c>
      <c r="D398" t="s">
        <v>50</v>
      </c>
      <c r="E398" t="s">
        <v>51</v>
      </c>
      <c r="F398" t="s">
        <v>52</v>
      </c>
      <c r="G398" t="s">
        <v>61</v>
      </c>
      <c r="H398" t="s">
        <v>47</v>
      </c>
      <c r="I398">
        <v>59</v>
      </c>
      <c r="J398" s="3">
        <v>841.8</v>
      </c>
      <c r="K398" s="3">
        <f>Table1[[#This Row],[Quantity]]*Table1[[#This Row],[Unit_Price]]</f>
        <v>49666.2</v>
      </c>
      <c r="L398" s="3">
        <v>3374.73</v>
      </c>
      <c r="M398" s="3">
        <f>Table1[[#This Row],[Gross_Sales]]-Table1[[#This Row],[Discount]]</f>
        <v>46291.469999999994</v>
      </c>
      <c r="N398" s="3">
        <v>30479.119999999999</v>
      </c>
      <c r="O398" s="3">
        <v>1205.8399999999999</v>
      </c>
      <c r="P398" s="3">
        <v>2916.87</v>
      </c>
      <c r="Q398" s="3">
        <v>1673.06</v>
      </c>
      <c r="R398" s="3">
        <v>979.41</v>
      </c>
      <c r="S398" s="3">
        <f>SUM(Table1[[#This Row],[Product_Cost]:[Other_Cost]])</f>
        <v>37254.300000000003</v>
      </c>
      <c r="T398" s="3">
        <f>Table1[[#This Row],[Net_Sales]]-Table1[[#This Row],[Product_Cost]]</f>
        <v>15812.349999999995</v>
      </c>
      <c r="U398" s="3">
        <f>Table1[[#This Row],[Net_Sales]]-Table1[[#This Row],[Total_Cost]]</f>
        <v>9037.169999999991</v>
      </c>
      <c r="V398" s="4">
        <f>Table1[[#This Row],[Net_Profit]]/Table1[[#This Row],[Net_Sales]]</f>
        <v>0.19522322363061687</v>
      </c>
      <c r="W398" t="s">
        <v>33</v>
      </c>
      <c r="X398" t="s">
        <v>443</v>
      </c>
      <c r="Y398">
        <v>4</v>
      </c>
      <c r="Z398" t="str">
        <f>IF(Table1[[#This Row],[Month_No]]&lt;=6, "H1","H2")</f>
        <v>H1</v>
      </c>
    </row>
    <row r="399" spans="1:26" x14ac:dyDescent="0.25">
      <c r="A399" s="2">
        <v>45758</v>
      </c>
      <c r="B399" t="s">
        <v>475</v>
      </c>
      <c r="C399" t="s">
        <v>63</v>
      </c>
      <c r="D399" t="s">
        <v>68</v>
      </c>
      <c r="E399" t="s">
        <v>29</v>
      </c>
      <c r="F399" t="s">
        <v>52</v>
      </c>
      <c r="G399" t="s">
        <v>31</v>
      </c>
      <c r="H399" t="s">
        <v>47</v>
      </c>
      <c r="I399">
        <v>96</v>
      </c>
      <c r="J399" s="3">
        <v>381.17</v>
      </c>
      <c r="K399" s="3">
        <f>Table1[[#This Row],[Quantity]]*Table1[[#This Row],[Unit_Price]]</f>
        <v>36592.32</v>
      </c>
      <c r="L399" s="3">
        <v>3039.26</v>
      </c>
      <c r="M399" s="3">
        <f>Table1[[#This Row],[Gross_Sales]]-Table1[[#This Row],[Discount]]</f>
        <v>33553.06</v>
      </c>
      <c r="N399" s="3">
        <v>25424.78</v>
      </c>
      <c r="O399" s="3">
        <v>802.14</v>
      </c>
      <c r="P399" s="3">
        <v>2367.17</v>
      </c>
      <c r="Q399" s="3">
        <v>1566.53</v>
      </c>
      <c r="R399" s="3">
        <v>845.03</v>
      </c>
      <c r="S399" s="3">
        <f>SUM(Table1[[#This Row],[Product_Cost]:[Other_Cost]])</f>
        <v>31005.649999999994</v>
      </c>
      <c r="T399" s="3">
        <f>Table1[[#This Row],[Net_Sales]]-Table1[[#This Row],[Product_Cost]]</f>
        <v>8128.2799999999988</v>
      </c>
      <c r="U399" s="3">
        <f>Table1[[#This Row],[Net_Sales]]-Table1[[#This Row],[Total_Cost]]</f>
        <v>2547.4100000000035</v>
      </c>
      <c r="V399" s="4">
        <f>Table1[[#This Row],[Net_Profit]]/Table1[[#This Row],[Net_Sales]]</f>
        <v>7.5921838425467111E-2</v>
      </c>
      <c r="W399" t="s">
        <v>33</v>
      </c>
      <c r="X399" t="s">
        <v>443</v>
      </c>
      <c r="Y399">
        <v>4</v>
      </c>
      <c r="Z399" t="str">
        <f>IF(Table1[[#This Row],[Month_No]]&lt;=6, "H1","H2")</f>
        <v>H1</v>
      </c>
    </row>
    <row r="400" spans="1:26" x14ac:dyDescent="0.25">
      <c r="A400" s="2">
        <v>45758</v>
      </c>
      <c r="B400" t="s">
        <v>476</v>
      </c>
      <c r="C400" t="s">
        <v>117</v>
      </c>
      <c r="D400" t="s">
        <v>100</v>
      </c>
      <c r="E400" t="s">
        <v>75</v>
      </c>
      <c r="F400" t="s">
        <v>46</v>
      </c>
      <c r="G400" t="s">
        <v>64</v>
      </c>
      <c r="H400" t="s">
        <v>59</v>
      </c>
      <c r="I400">
        <v>30</v>
      </c>
      <c r="J400" s="3">
        <v>6795.48</v>
      </c>
      <c r="K400" s="3">
        <f>Table1[[#This Row],[Quantity]]*Table1[[#This Row],[Unit_Price]]</f>
        <v>203864.4</v>
      </c>
      <c r="L400" s="3">
        <v>11888.51</v>
      </c>
      <c r="M400" s="3">
        <f>Table1[[#This Row],[Gross_Sales]]-Table1[[#This Row],[Discount]]</f>
        <v>191975.88999999998</v>
      </c>
      <c r="N400" s="3">
        <v>117667.9</v>
      </c>
      <c r="O400" s="3">
        <v>5943.56</v>
      </c>
      <c r="P400" s="3">
        <v>11350.47</v>
      </c>
      <c r="Q400" s="3">
        <v>8876.2999999999993</v>
      </c>
      <c r="R400" s="3">
        <v>4661.47</v>
      </c>
      <c r="S400" s="3">
        <f>SUM(Table1[[#This Row],[Product_Cost]:[Other_Cost]])</f>
        <v>148499.69999999998</v>
      </c>
      <c r="T400" s="3">
        <f>Table1[[#This Row],[Net_Sales]]-Table1[[#This Row],[Product_Cost]]</f>
        <v>74307.989999999991</v>
      </c>
      <c r="U400" s="3">
        <f>Table1[[#This Row],[Net_Sales]]-Table1[[#This Row],[Total_Cost]]</f>
        <v>43476.19</v>
      </c>
      <c r="V400" s="4">
        <f>Table1[[#This Row],[Net_Profit]]/Table1[[#This Row],[Net_Sales]]</f>
        <v>0.22646692769597268</v>
      </c>
      <c r="W400" t="s">
        <v>33</v>
      </c>
      <c r="X400" t="s">
        <v>443</v>
      </c>
      <c r="Y400">
        <v>4</v>
      </c>
      <c r="Z400" t="str">
        <f>IF(Table1[[#This Row],[Month_No]]&lt;=6, "H1","H2")</f>
        <v>H1</v>
      </c>
    </row>
    <row r="401" spans="1:26" x14ac:dyDescent="0.25">
      <c r="A401" s="2">
        <v>45758</v>
      </c>
      <c r="B401" t="s">
        <v>477</v>
      </c>
      <c r="C401" t="s">
        <v>98</v>
      </c>
      <c r="D401" t="s">
        <v>74</v>
      </c>
      <c r="E401" t="s">
        <v>75</v>
      </c>
      <c r="F401" t="s">
        <v>52</v>
      </c>
      <c r="G401" t="s">
        <v>64</v>
      </c>
      <c r="H401" t="s">
        <v>59</v>
      </c>
      <c r="I401">
        <v>76</v>
      </c>
      <c r="J401" s="3">
        <v>5325.54</v>
      </c>
      <c r="K401" s="3">
        <f>Table1[[#This Row],[Quantity]]*Table1[[#This Row],[Unit_Price]]</f>
        <v>404741.04</v>
      </c>
      <c r="L401" s="3">
        <v>28754.19</v>
      </c>
      <c r="M401" s="3">
        <f>Table1[[#This Row],[Gross_Sales]]-Table1[[#This Row],[Discount]]</f>
        <v>375986.85</v>
      </c>
      <c r="N401" s="3">
        <v>272387.87</v>
      </c>
      <c r="O401" s="3">
        <v>10319.77</v>
      </c>
      <c r="P401" s="3">
        <v>26450.38</v>
      </c>
      <c r="Q401" s="3">
        <v>19471.509999999998</v>
      </c>
      <c r="R401" s="3">
        <v>10113.01</v>
      </c>
      <c r="S401" s="3">
        <f>SUM(Table1[[#This Row],[Product_Cost]:[Other_Cost]])</f>
        <v>338742.54000000004</v>
      </c>
      <c r="T401" s="3">
        <f>Table1[[#This Row],[Net_Sales]]-Table1[[#This Row],[Product_Cost]]</f>
        <v>103598.97999999998</v>
      </c>
      <c r="U401" s="3">
        <f>Table1[[#This Row],[Net_Sales]]-Table1[[#This Row],[Total_Cost]]</f>
        <v>37244.309999999939</v>
      </c>
      <c r="V401" s="4">
        <f>Table1[[#This Row],[Net_Profit]]/Table1[[#This Row],[Net_Sales]]</f>
        <v>9.9057480334750911E-2</v>
      </c>
      <c r="W401" t="s">
        <v>33</v>
      </c>
      <c r="X401" t="s">
        <v>443</v>
      </c>
      <c r="Y401">
        <v>4</v>
      </c>
      <c r="Z401" t="str">
        <f>IF(Table1[[#This Row],[Month_No]]&lt;=6, "H1","H2")</f>
        <v>H1</v>
      </c>
    </row>
    <row r="402" spans="1:26" x14ac:dyDescent="0.25">
      <c r="A402" s="2">
        <v>45759</v>
      </c>
      <c r="B402" t="s">
        <v>478</v>
      </c>
      <c r="C402" t="s">
        <v>83</v>
      </c>
      <c r="D402" t="s">
        <v>44</v>
      </c>
      <c r="E402" t="s">
        <v>45</v>
      </c>
      <c r="F402" t="s">
        <v>30</v>
      </c>
      <c r="G402" t="s">
        <v>58</v>
      </c>
      <c r="H402" t="s">
        <v>41</v>
      </c>
      <c r="I402">
        <v>49</v>
      </c>
      <c r="J402" s="3">
        <v>4541.13</v>
      </c>
      <c r="K402" s="3">
        <f>Table1[[#This Row],[Quantity]]*Table1[[#This Row],[Unit_Price]]</f>
        <v>222515.37</v>
      </c>
      <c r="L402" s="3">
        <v>14772.73</v>
      </c>
      <c r="M402" s="3">
        <f>Table1[[#This Row],[Gross_Sales]]-Table1[[#This Row],[Discount]]</f>
        <v>207742.63999999998</v>
      </c>
      <c r="N402" s="3">
        <v>149112.5</v>
      </c>
      <c r="O402" s="3">
        <v>7158.36</v>
      </c>
      <c r="P402" s="3">
        <v>15519.95</v>
      </c>
      <c r="Q402" s="3">
        <v>9692.66</v>
      </c>
      <c r="R402" s="3">
        <v>4675.9799999999996</v>
      </c>
      <c r="S402" s="3">
        <f>SUM(Table1[[#This Row],[Product_Cost]:[Other_Cost]])</f>
        <v>186159.45</v>
      </c>
      <c r="T402" s="3">
        <f>Table1[[#This Row],[Net_Sales]]-Table1[[#This Row],[Product_Cost]]</f>
        <v>58630.139999999985</v>
      </c>
      <c r="U402" s="3">
        <f>Table1[[#This Row],[Net_Sales]]-Table1[[#This Row],[Total_Cost]]</f>
        <v>21583.189999999973</v>
      </c>
      <c r="V402" s="4">
        <f>Table1[[#This Row],[Net_Profit]]/Table1[[#This Row],[Net_Sales]]</f>
        <v>0.1038938852418549</v>
      </c>
      <c r="W402" t="s">
        <v>72</v>
      </c>
      <c r="X402" t="s">
        <v>443</v>
      </c>
      <c r="Y402">
        <v>4</v>
      </c>
      <c r="Z402" t="str">
        <f>IF(Table1[[#This Row],[Month_No]]&lt;=6, "H1","H2")</f>
        <v>H1</v>
      </c>
    </row>
    <row r="403" spans="1:26" x14ac:dyDescent="0.25">
      <c r="A403" s="2">
        <v>45759</v>
      </c>
      <c r="B403" t="s">
        <v>479</v>
      </c>
      <c r="C403" t="s">
        <v>43</v>
      </c>
      <c r="D403" t="s">
        <v>66</v>
      </c>
      <c r="E403" t="s">
        <v>51</v>
      </c>
      <c r="F403" t="s">
        <v>52</v>
      </c>
      <c r="G403" t="s">
        <v>61</v>
      </c>
      <c r="H403" t="s">
        <v>47</v>
      </c>
      <c r="I403">
        <v>65</v>
      </c>
      <c r="J403" s="3">
        <v>1534.64</v>
      </c>
      <c r="K403" s="3">
        <f>Table1[[#This Row],[Quantity]]*Table1[[#This Row],[Unit_Price]]</f>
        <v>99751.6</v>
      </c>
      <c r="L403" s="3">
        <v>7598.79</v>
      </c>
      <c r="M403" s="3">
        <f>Table1[[#This Row],[Gross_Sales]]-Table1[[#This Row],[Discount]]</f>
        <v>92152.810000000012</v>
      </c>
      <c r="N403" s="3">
        <v>52591.38</v>
      </c>
      <c r="O403" s="3">
        <v>2173.21</v>
      </c>
      <c r="P403" s="3">
        <v>5887.23</v>
      </c>
      <c r="Q403" s="3">
        <v>3249.84</v>
      </c>
      <c r="R403" s="3">
        <v>2431.59</v>
      </c>
      <c r="S403" s="3">
        <f>SUM(Table1[[#This Row],[Product_Cost]:[Other_Cost]])</f>
        <v>66333.249999999985</v>
      </c>
      <c r="T403" s="3">
        <f>Table1[[#This Row],[Net_Sales]]-Table1[[#This Row],[Product_Cost]]</f>
        <v>39561.430000000015</v>
      </c>
      <c r="U403" s="3">
        <f>Table1[[#This Row],[Net_Sales]]-Table1[[#This Row],[Total_Cost]]</f>
        <v>25819.560000000027</v>
      </c>
      <c r="V403" s="4">
        <f>Table1[[#This Row],[Net_Profit]]/Table1[[#This Row],[Net_Sales]]</f>
        <v>0.28018201506823309</v>
      </c>
      <c r="W403" t="s">
        <v>33</v>
      </c>
      <c r="X403" t="s">
        <v>443</v>
      </c>
      <c r="Y403">
        <v>4</v>
      </c>
      <c r="Z403" t="str">
        <f>IF(Table1[[#This Row],[Month_No]]&lt;=6, "H1","H2")</f>
        <v>H1</v>
      </c>
    </row>
    <row r="404" spans="1:26" x14ac:dyDescent="0.25">
      <c r="A404" s="2">
        <v>45760</v>
      </c>
      <c r="B404" t="s">
        <v>480</v>
      </c>
      <c r="C404" t="s">
        <v>70</v>
      </c>
      <c r="D404" t="s">
        <v>44</v>
      </c>
      <c r="E404" t="s">
        <v>45</v>
      </c>
      <c r="F404" t="s">
        <v>52</v>
      </c>
      <c r="G404" t="s">
        <v>31</v>
      </c>
      <c r="H404" t="s">
        <v>41</v>
      </c>
      <c r="I404">
        <v>93</v>
      </c>
      <c r="J404" s="3">
        <v>4548.1899999999996</v>
      </c>
      <c r="K404" s="3">
        <f>Table1[[#This Row],[Quantity]]*Table1[[#This Row],[Unit_Price]]</f>
        <v>422981.67</v>
      </c>
      <c r="L404" s="3">
        <v>39120.49</v>
      </c>
      <c r="M404" s="3">
        <f>Table1[[#This Row],[Gross_Sales]]-Table1[[#This Row],[Discount]]</f>
        <v>383861.18</v>
      </c>
      <c r="N404" s="3">
        <v>276106.84999999998</v>
      </c>
      <c r="O404" s="3">
        <v>10470.89</v>
      </c>
      <c r="P404" s="3">
        <v>23631.599999999999</v>
      </c>
      <c r="Q404" s="3">
        <v>15078.29</v>
      </c>
      <c r="R404" s="3">
        <v>9792.57</v>
      </c>
      <c r="S404" s="3">
        <f>SUM(Table1[[#This Row],[Product_Cost]:[Other_Cost]])</f>
        <v>335080.19999999995</v>
      </c>
      <c r="T404" s="3">
        <f>Table1[[#This Row],[Net_Sales]]-Table1[[#This Row],[Product_Cost]]</f>
        <v>107754.33000000002</v>
      </c>
      <c r="U404" s="3">
        <f>Table1[[#This Row],[Net_Sales]]-Table1[[#This Row],[Total_Cost]]</f>
        <v>48780.98000000004</v>
      </c>
      <c r="V404" s="4">
        <f>Table1[[#This Row],[Net_Profit]]/Table1[[#This Row],[Net_Sales]]</f>
        <v>0.12707974273407913</v>
      </c>
      <c r="W404" t="s">
        <v>33</v>
      </c>
      <c r="X404" t="s">
        <v>443</v>
      </c>
      <c r="Y404">
        <v>4</v>
      </c>
      <c r="Z404" t="str">
        <f>IF(Table1[[#This Row],[Month_No]]&lt;=6, "H1","H2")</f>
        <v>H1</v>
      </c>
    </row>
    <row r="405" spans="1:26" x14ac:dyDescent="0.25">
      <c r="A405" s="2">
        <v>45760</v>
      </c>
      <c r="B405" t="s">
        <v>481</v>
      </c>
      <c r="C405" t="s">
        <v>49</v>
      </c>
      <c r="D405" t="s">
        <v>183</v>
      </c>
      <c r="E405" t="s">
        <v>38</v>
      </c>
      <c r="F405" t="s">
        <v>52</v>
      </c>
      <c r="G405" t="s">
        <v>64</v>
      </c>
      <c r="H405" t="s">
        <v>41</v>
      </c>
      <c r="I405">
        <v>75</v>
      </c>
      <c r="J405" s="3">
        <v>6461.79</v>
      </c>
      <c r="K405" s="3">
        <f>Table1[[#This Row],[Quantity]]*Table1[[#This Row],[Unit_Price]]</f>
        <v>484634.25</v>
      </c>
      <c r="L405" s="3">
        <v>31840.82</v>
      </c>
      <c r="M405" s="3">
        <f>Table1[[#This Row],[Gross_Sales]]-Table1[[#This Row],[Discount]]</f>
        <v>452793.43</v>
      </c>
      <c r="N405" s="3">
        <v>268898.26</v>
      </c>
      <c r="O405" s="3">
        <v>11935.89</v>
      </c>
      <c r="P405" s="3">
        <v>30923.75</v>
      </c>
      <c r="Q405" s="3">
        <v>24177.25</v>
      </c>
      <c r="R405" s="3">
        <v>9768.7099999999991</v>
      </c>
      <c r="S405" s="3">
        <f>SUM(Table1[[#This Row],[Product_Cost]:[Other_Cost]])</f>
        <v>345703.86000000004</v>
      </c>
      <c r="T405" s="3">
        <f>Table1[[#This Row],[Net_Sales]]-Table1[[#This Row],[Product_Cost]]</f>
        <v>183895.16999999998</v>
      </c>
      <c r="U405" s="3">
        <f>Table1[[#This Row],[Net_Sales]]-Table1[[#This Row],[Total_Cost]]</f>
        <v>107089.56999999995</v>
      </c>
      <c r="V405" s="4">
        <f>Table1[[#This Row],[Net_Profit]]/Table1[[#This Row],[Net_Sales]]</f>
        <v>0.23650866577282262</v>
      </c>
      <c r="W405" t="s">
        <v>33</v>
      </c>
      <c r="X405" t="s">
        <v>443</v>
      </c>
      <c r="Y405">
        <v>4</v>
      </c>
      <c r="Z405" t="str">
        <f>IF(Table1[[#This Row],[Month_No]]&lt;=6, "H1","H2")</f>
        <v>H1</v>
      </c>
    </row>
    <row r="406" spans="1:26" x14ac:dyDescent="0.25">
      <c r="A406" s="2">
        <v>45760</v>
      </c>
      <c r="B406" t="s">
        <v>482</v>
      </c>
      <c r="C406" t="s">
        <v>98</v>
      </c>
      <c r="D406" t="s">
        <v>44</v>
      </c>
      <c r="E406" t="s">
        <v>45</v>
      </c>
      <c r="F406" t="s">
        <v>46</v>
      </c>
      <c r="G406" t="s">
        <v>71</v>
      </c>
      <c r="H406" t="s">
        <v>47</v>
      </c>
      <c r="I406">
        <v>83</v>
      </c>
      <c r="J406" s="3">
        <v>4554.18</v>
      </c>
      <c r="K406" s="3">
        <f>Table1[[#This Row],[Quantity]]*Table1[[#This Row],[Unit_Price]]</f>
        <v>377996.94</v>
      </c>
      <c r="L406" s="3">
        <v>28393.94</v>
      </c>
      <c r="M406" s="3">
        <f>Table1[[#This Row],[Gross_Sales]]-Table1[[#This Row],[Discount]]</f>
        <v>349603</v>
      </c>
      <c r="N406" s="3">
        <v>258851.26</v>
      </c>
      <c r="O406" s="3">
        <v>11266.82</v>
      </c>
      <c r="P406" s="3">
        <v>26051.75</v>
      </c>
      <c r="Q406" s="3">
        <v>15993.98</v>
      </c>
      <c r="R406" s="3">
        <v>9064.02</v>
      </c>
      <c r="S406" s="3">
        <f>SUM(Table1[[#This Row],[Product_Cost]:[Other_Cost]])</f>
        <v>321227.83</v>
      </c>
      <c r="T406" s="3">
        <f>Table1[[#This Row],[Net_Sales]]-Table1[[#This Row],[Product_Cost]]</f>
        <v>90751.739999999991</v>
      </c>
      <c r="U406" s="3">
        <f>Table1[[#This Row],[Net_Sales]]-Table1[[#This Row],[Total_Cost]]</f>
        <v>28375.169999999984</v>
      </c>
      <c r="V406" s="4">
        <f>Table1[[#This Row],[Net_Profit]]/Table1[[#This Row],[Net_Sales]]</f>
        <v>8.1163977425822958E-2</v>
      </c>
      <c r="W406" t="s">
        <v>33</v>
      </c>
      <c r="X406" t="s">
        <v>443</v>
      </c>
      <c r="Y406">
        <v>4</v>
      </c>
      <c r="Z406" t="str">
        <f>IF(Table1[[#This Row],[Month_No]]&lt;=6, "H1","H2")</f>
        <v>H1</v>
      </c>
    </row>
    <row r="407" spans="1:26" x14ac:dyDescent="0.25">
      <c r="A407" s="2">
        <v>45760</v>
      </c>
      <c r="B407" t="s">
        <v>483</v>
      </c>
      <c r="C407" t="s">
        <v>78</v>
      </c>
      <c r="D407" t="s">
        <v>74</v>
      </c>
      <c r="E407" t="s">
        <v>75</v>
      </c>
      <c r="F407" t="s">
        <v>39</v>
      </c>
      <c r="G407" t="s">
        <v>61</v>
      </c>
      <c r="H407" t="s">
        <v>59</v>
      </c>
      <c r="I407">
        <v>56</v>
      </c>
      <c r="J407" s="3">
        <v>5433.53</v>
      </c>
      <c r="K407" s="3">
        <f>Table1[[#This Row],[Quantity]]*Table1[[#This Row],[Unit_Price]]</f>
        <v>304277.68</v>
      </c>
      <c r="L407" s="3">
        <v>24174.77</v>
      </c>
      <c r="M407" s="3">
        <f>Table1[[#This Row],[Gross_Sales]]-Table1[[#This Row],[Discount]]</f>
        <v>280102.90999999997</v>
      </c>
      <c r="N407" s="3">
        <v>203489.72</v>
      </c>
      <c r="O407" s="3">
        <v>10761.39</v>
      </c>
      <c r="P407" s="3">
        <v>16582.72</v>
      </c>
      <c r="Q407" s="3">
        <v>12113.04</v>
      </c>
      <c r="R407" s="3">
        <v>7421.54</v>
      </c>
      <c r="S407" s="3">
        <f>SUM(Table1[[#This Row],[Product_Cost]:[Other_Cost]])</f>
        <v>250368.41</v>
      </c>
      <c r="T407" s="3">
        <f>Table1[[#This Row],[Net_Sales]]-Table1[[#This Row],[Product_Cost]]</f>
        <v>76613.189999999973</v>
      </c>
      <c r="U407" s="3">
        <f>Table1[[#This Row],[Net_Sales]]-Table1[[#This Row],[Total_Cost]]</f>
        <v>29734.499999999971</v>
      </c>
      <c r="V407" s="4">
        <f>Table1[[#This Row],[Net_Profit]]/Table1[[#This Row],[Net_Sales]]</f>
        <v>0.10615562687299455</v>
      </c>
      <c r="W407" t="s">
        <v>33</v>
      </c>
      <c r="X407" t="s">
        <v>443</v>
      </c>
      <c r="Y407">
        <v>4</v>
      </c>
      <c r="Z407" t="str">
        <f>IF(Table1[[#This Row],[Month_No]]&lt;=6, "H1","H2")</f>
        <v>H1</v>
      </c>
    </row>
    <row r="408" spans="1:26" x14ac:dyDescent="0.25">
      <c r="A408" s="2">
        <v>45760</v>
      </c>
      <c r="B408" t="s">
        <v>484</v>
      </c>
      <c r="C408" t="s">
        <v>78</v>
      </c>
      <c r="D408" t="s">
        <v>28</v>
      </c>
      <c r="E408" t="s">
        <v>29</v>
      </c>
      <c r="F408" t="s">
        <v>52</v>
      </c>
      <c r="G408" t="s">
        <v>58</v>
      </c>
      <c r="H408" t="s">
        <v>32</v>
      </c>
      <c r="I408">
        <v>56</v>
      </c>
      <c r="J408" s="3">
        <v>1178.83</v>
      </c>
      <c r="K408" s="3">
        <f>Table1[[#This Row],[Quantity]]*Table1[[#This Row],[Unit_Price]]</f>
        <v>66014.48</v>
      </c>
      <c r="L408" s="3">
        <v>5997.61</v>
      </c>
      <c r="M408" s="3">
        <f>Table1[[#This Row],[Gross_Sales]]-Table1[[#This Row],[Discount]]</f>
        <v>60016.869999999995</v>
      </c>
      <c r="N408" s="3">
        <v>36975.18</v>
      </c>
      <c r="O408" s="3">
        <v>1672.05</v>
      </c>
      <c r="P408" s="3">
        <v>3472.56</v>
      </c>
      <c r="Q408" s="3">
        <v>2639.05</v>
      </c>
      <c r="R408" s="3">
        <v>1838.29</v>
      </c>
      <c r="S408" s="3">
        <f>SUM(Table1[[#This Row],[Product_Cost]:[Other_Cost]])</f>
        <v>46597.130000000005</v>
      </c>
      <c r="T408" s="3">
        <f>Table1[[#This Row],[Net_Sales]]-Table1[[#This Row],[Product_Cost]]</f>
        <v>23041.689999999995</v>
      </c>
      <c r="U408" s="3">
        <f>Table1[[#This Row],[Net_Sales]]-Table1[[#This Row],[Total_Cost]]</f>
        <v>13419.739999999991</v>
      </c>
      <c r="V408" s="4">
        <f>Table1[[#This Row],[Net_Profit]]/Table1[[#This Row],[Net_Sales]]</f>
        <v>0.22359946461719832</v>
      </c>
      <c r="W408" t="s">
        <v>72</v>
      </c>
      <c r="X408" t="s">
        <v>443</v>
      </c>
      <c r="Y408">
        <v>4</v>
      </c>
      <c r="Z408" t="str">
        <f>IF(Table1[[#This Row],[Month_No]]&lt;=6, "H1","H2")</f>
        <v>H1</v>
      </c>
    </row>
    <row r="409" spans="1:26" x14ac:dyDescent="0.25">
      <c r="A409" s="2">
        <v>45760</v>
      </c>
      <c r="B409" t="s">
        <v>485</v>
      </c>
      <c r="C409" t="s">
        <v>43</v>
      </c>
      <c r="D409" t="s">
        <v>68</v>
      </c>
      <c r="E409" t="s">
        <v>29</v>
      </c>
      <c r="F409" t="s">
        <v>52</v>
      </c>
      <c r="G409" t="s">
        <v>40</v>
      </c>
      <c r="H409" t="s">
        <v>41</v>
      </c>
      <c r="I409">
        <v>117</v>
      </c>
      <c r="J409" s="3">
        <v>382.44</v>
      </c>
      <c r="K409" s="3">
        <f>Table1[[#This Row],[Quantity]]*Table1[[#This Row],[Unit_Price]]</f>
        <v>44745.48</v>
      </c>
      <c r="L409" s="3">
        <v>3203.99</v>
      </c>
      <c r="M409" s="3">
        <f>Table1[[#This Row],[Gross_Sales]]-Table1[[#This Row],[Discount]]</f>
        <v>41541.490000000005</v>
      </c>
      <c r="N409" s="3">
        <v>31329.66</v>
      </c>
      <c r="O409" s="3">
        <v>1141.96</v>
      </c>
      <c r="P409" s="3">
        <v>3046.21</v>
      </c>
      <c r="Q409" s="3">
        <v>2235.1799999999998</v>
      </c>
      <c r="R409" s="3">
        <v>1023.22</v>
      </c>
      <c r="S409" s="3">
        <f>SUM(Table1[[#This Row],[Product_Cost]:[Other_Cost]])</f>
        <v>38776.230000000003</v>
      </c>
      <c r="T409" s="3">
        <f>Table1[[#This Row],[Net_Sales]]-Table1[[#This Row],[Product_Cost]]</f>
        <v>10211.830000000005</v>
      </c>
      <c r="U409" s="3">
        <f>Table1[[#This Row],[Net_Sales]]-Table1[[#This Row],[Total_Cost]]</f>
        <v>2765.260000000002</v>
      </c>
      <c r="V409" s="4">
        <f>Table1[[#This Row],[Net_Profit]]/Table1[[#This Row],[Net_Sales]]</f>
        <v>6.6566220903487128E-2</v>
      </c>
      <c r="W409" t="s">
        <v>33</v>
      </c>
      <c r="X409" t="s">
        <v>443</v>
      </c>
      <c r="Y409">
        <v>4</v>
      </c>
      <c r="Z409" t="str">
        <f>IF(Table1[[#This Row],[Month_No]]&lt;=6, "H1","H2")</f>
        <v>H1</v>
      </c>
    </row>
    <row r="410" spans="1:26" x14ac:dyDescent="0.25">
      <c r="A410" s="2">
        <v>45761</v>
      </c>
      <c r="B410" t="s">
        <v>486</v>
      </c>
      <c r="C410" t="s">
        <v>117</v>
      </c>
      <c r="D410" t="s">
        <v>44</v>
      </c>
      <c r="E410" t="s">
        <v>45</v>
      </c>
      <c r="F410" t="s">
        <v>39</v>
      </c>
      <c r="G410" t="s">
        <v>64</v>
      </c>
      <c r="H410" t="s">
        <v>41</v>
      </c>
      <c r="I410">
        <v>100</v>
      </c>
      <c r="J410" s="3">
        <v>4259.66</v>
      </c>
      <c r="K410" s="3">
        <f>Table1[[#This Row],[Quantity]]*Table1[[#This Row],[Unit_Price]]</f>
        <v>425966</v>
      </c>
      <c r="L410" s="3">
        <v>36447.870000000003</v>
      </c>
      <c r="M410" s="3">
        <f>Table1[[#This Row],[Gross_Sales]]-Table1[[#This Row],[Discount]]</f>
        <v>389518.13</v>
      </c>
      <c r="N410" s="3">
        <v>275435.07</v>
      </c>
      <c r="O410" s="3">
        <v>17823.8</v>
      </c>
      <c r="P410" s="3">
        <v>22933.57</v>
      </c>
      <c r="Q410" s="3">
        <v>19637.759999999998</v>
      </c>
      <c r="R410" s="3">
        <v>9449.2900000000009</v>
      </c>
      <c r="S410" s="3">
        <f>SUM(Table1[[#This Row],[Product_Cost]:[Other_Cost]])</f>
        <v>345279.49</v>
      </c>
      <c r="T410" s="3">
        <f>Table1[[#This Row],[Net_Sales]]-Table1[[#This Row],[Product_Cost]]</f>
        <v>114083.06</v>
      </c>
      <c r="U410" s="3">
        <f>Table1[[#This Row],[Net_Sales]]-Table1[[#This Row],[Total_Cost]]</f>
        <v>44238.640000000014</v>
      </c>
      <c r="V410" s="4">
        <f>Table1[[#This Row],[Net_Profit]]/Table1[[#This Row],[Net_Sales]]</f>
        <v>0.11357273665284852</v>
      </c>
      <c r="W410" t="s">
        <v>72</v>
      </c>
      <c r="X410" t="s">
        <v>443</v>
      </c>
      <c r="Y410">
        <v>4</v>
      </c>
      <c r="Z410" t="str">
        <f>IF(Table1[[#This Row],[Month_No]]&lt;=6, "H1","H2")</f>
        <v>H1</v>
      </c>
    </row>
    <row r="411" spans="1:26" x14ac:dyDescent="0.25">
      <c r="A411" s="2">
        <v>45761</v>
      </c>
      <c r="B411" t="s">
        <v>487</v>
      </c>
      <c r="C411" t="s">
        <v>78</v>
      </c>
      <c r="D411" t="s">
        <v>37</v>
      </c>
      <c r="E411" t="s">
        <v>38</v>
      </c>
      <c r="F411" t="s">
        <v>46</v>
      </c>
      <c r="G411" t="s">
        <v>86</v>
      </c>
      <c r="H411" t="s">
        <v>59</v>
      </c>
      <c r="I411">
        <v>94</v>
      </c>
      <c r="J411" s="3">
        <v>4570.47</v>
      </c>
      <c r="K411" s="3">
        <f>Table1[[#This Row],[Quantity]]*Table1[[#This Row],[Unit_Price]]</f>
        <v>429624.18000000005</v>
      </c>
      <c r="L411" s="3">
        <v>28978.89</v>
      </c>
      <c r="M411" s="3">
        <f>Table1[[#This Row],[Gross_Sales]]-Table1[[#This Row],[Discount]]</f>
        <v>400645.29000000004</v>
      </c>
      <c r="N411" s="3">
        <v>299567.75</v>
      </c>
      <c r="O411" s="3">
        <v>12529.8</v>
      </c>
      <c r="P411" s="3">
        <v>22263.07</v>
      </c>
      <c r="Q411" s="3">
        <v>20906.169999999998</v>
      </c>
      <c r="R411" s="3">
        <v>11417.17</v>
      </c>
      <c r="S411" s="3">
        <f>SUM(Table1[[#This Row],[Product_Cost]:[Other_Cost]])</f>
        <v>366683.95999999996</v>
      </c>
      <c r="T411" s="3">
        <f>Table1[[#This Row],[Net_Sales]]-Table1[[#This Row],[Product_Cost]]</f>
        <v>101077.54000000004</v>
      </c>
      <c r="U411" s="3">
        <f>Table1[[#This Row],[Net_Sales]]-Table1[[#This Row],[Total_Cost]]</f>
        <v>33961.330000000075</v>
      </c>
      <c r="V411" s="4">
        <f>Table1[[#This Row],[Net_Profit]]/Table1[[#This Row],[Net_Sales]]</f>
        <v>8.4766577438112584E-2</v>
      </c>
      <c r="W411" t="s">
        <v>33</v>
      </c>
      <c r="X411" t="s">
        <v>443</v>
      </c>
      <c r="Y411">
        <v>4</v>
      </c>
      <c r="Z411" t="str">
        <f>IF(Table1[[#This Row],[Month_No]]&lt;=6, "H1","H2")</f>
        <v>H1</v>
      </c>
    </row>
    <row r="412" spans="1:26" x14ac:dyDescent="0.25">
      <c r="A412" s="2">
        <v>45761</v>
      </c>
      <c r="B412" t="s">
        <v>488</v>
      </c>
      <c r="C412" t="s">
        <v>98</v>
      </c>
      <c r="D412" t="s">
        <v>81</v>
      </c>
      <c r="E412" t="s">
        <v>45</v>
      </c>
      <c r="F412" t="s">
        <v>39</v>
      </c>
      <c r="G412" t="s">
        <v>61</v>
      </c>
      <c r="H412" t="s">
        <v>47</v>
      </c>
      <c r="I412">
        <v>46</v>
      </c>
      <c r="J412" s="3">
        <v>6549.87</v>
      </c>
      <c r="K412" s="3">
        <f>Table1[[#This Row],[Quantity]]*Table1[[#This Row],[Unit_Price]]</f>
        <v>301294.02</v>
      </c>
      <c r="L412" s="3">
        <v>22812.25</v>
      </c>
      <c r="M412" s="3">
        <f>Table1[[#This Row],[Gross_Sales]]-Table1[[#This Row],[Discount]]</f>
        <v>278481.77</v>
      </c>
      <c r="N412" s="3">
        <v>162012.62</v>
      </c>
      <c r="O412" s="3">
        <v>12350.01</v>
      </c>
      <c r="P412" s="3">
        <v>18145.59</v>
      </c>
      <c r="Q412" s="3">
        <v>13844.41</v>
      </c>
      <c r="R412" s="3">
        <v>7638.92</v>
      </c>
      <c r="S412" s="3">
        <f>SUM(Table1[[#This Row],[Product_Cost]:[Other_Cost]])</f>
        <v>213991.55000000002</v>
      </c>
      <c r="T412" s="3">
        <f>Table1[[#This Row],[Net_Sales]]-Table1[[#This Row],[Product_Cost]]</f>
        <v>116469.15000000002</v>
      </c>
      <c r="U412" s="3">
        <f>Table1[[#This Row],[Net_Sales]]-Table1[[#This Row],[Total_Cost]]</f>
        <v>64490.22</v>
      </c>
      <c r="V412" s="4">
        <f>Table1[[#This Row],[Net_Profit]]/Table1[[#This Row],[Net_Sales]]</f>
        <v>0.23157788748613597</v>
      </c>
      <c r="W412" t="s">
        <v>33</v>
      </c>
      <c r="X412" t="s">
        <v>443</v>
      </c>
      <c r="Y412">
        <v>4</v>
      </c>
      <c r="Z412" t="str">
        <f>IF(Table1[[#This Row],[Month_No]]&lt;=6, "H1","H2")</f>
        <v>H1</v>
      </c>
    </row>
    <row r="413" spans="1:26" x14ac:dyDescent="0.25">
      <c r="A413" s="2">
        <v>45762</v>
      </c>
      <c r="B413" t="s">
        <v>489</v>
      </c>
      <c r="C413" t="s">
        <v>117</v>
      </c>
      <c r="D413" t="s">
        <v>74</v>
      </c>
      <c r="E413" t="s">
        <v>75</v>
      </c>
      <c r="F413" t="s">
        <v>52</v>
      </c>
      <c r="G413" t="s">
        <v>64</v>
      </c>
      <c r="H413" t="s">
        <v>41</v>
      </c>
      <c r="I413">
        <v>79</v>
      </c>
      <c r="J413" s="3">
        <v>5643.76</v>
      </c>
      <c r="K413" s="3">
        <f>Table1[[#This Row],[Quantity]]*Table1[[#This Row],[Unit_Price]]</f>
        <v>445857.04000000004</v>
      </c>
      <c r="L413" s="3">
        <v>37161.339999999997</v>
      </c>
      <c r="M413" s="3">
        <f>Table1[[#This Row],[Gross_Sales]]-Table1[[#This Row],[Discount]]</f>
        <v>408695.70000000007</v>
      </c>
      <c r="N413" s="3">
        <v>317959.38</v>
      </c>
      <c r="O413" s="3">
        <v>10907.62</v>
      </c>
      <c r="P413" s="3">
        <v>22701.75</v>
      </c>
      <c r="Q413" s="3">
        <v>22151.66</v>
      </c>
      <c r="R413" s="3">
        <v>12163.45</v>
      </c>
      <c r="S413" s="3">
        <f>SUM(Table1[[#This Row],[Product_Cost]:[Other_Cost]])</f>
        <v>385883.86</v>
      </c>
      <c r="T413" s="3">
        <f>Table1[[#This Row],[Net_Sales]]-Table1[[#This Row],[Product_Cost]]</f>
        <v>90736.320000000065</v>
      </c>
      <c r="U413" s="3">
        <f>Table1[[#This Row],[Net_Sales]]-Table1[[#This Row],[Total_Cost]]</f>
        <v>22811.840000000084</v>
      </c>
      <c r="V413" s="4">
        <f>Table1[[#This Row],[Net_Profit]]/Table1[[#This Row],[Net_Sales]]</f>
        <v>5.5816197723636635E-2</v>
      </c>
      <c r="W413" t="s">
        <v>33</v>
      </c>
      <c r="X413" t="s">
        <v>443</v>
      </c>
      <c r="Y413">
        <v>4</v>
      </c>
      <c r="Z413" t="str">
        <f>IF(Table1[[#This Row],[Month_No]]&lt;=6, "H1","H2")</f>
        <v>H1</v>
      </c>
    </row>
    <row r="414" spans="1:26" x14ac:dyDescent="0.25">
      <c r="A414" s="2">
        <v>45762</v>
      </c>
      <c r="B414" t="s">
        <v>490</v>
      </c>
      <c r="C414" t="s">
        <v>63</v>
      </c>
      <c r="D414" t="s">
        <v>50</v>
      </c>
      <c r="E414" t="s">
        <v>51</v>
      </c>
      <c r="F414" t="s">
        <v>52</v>
      </c>
      <c r="G414" t="s">
        <v>64</v>
      </c>
      <c r="H414" t="s">
        <v>41</v>
      </c>
      <c r="I414">
        <v>41</v>
      </c>
      <c r="J414" s="3">
        <v>821.54</v>
      </c>
      <c r="K414" s="3">
        <f>Table1[[#This Row],[Quantity]]*Table1[[#This Row],[Unit_Price]]</f>
        <v>33683.14</v>
      </c>
      <c r="L414" s="3">
        <v>2673.62</v>
      </c>
      <c r="M414" s="3">
        <f>Table1[[#This Row],[Gross_Sales]]-Table1[[#This Row],[Discount]]</f>
        <v>31009.52</v>
      </c>
      <c r="N414" s="3">
        <v>20975.200000000001</v>
      </c>
      <c r="O414" s="3">
        <v>833.51</v>
      </c>
      <c r="P414" s="3">
        <v>1717.91</v>
      </c>
      <c r="Q414" s="3">
        <v>1266.8499999999999</v>
      </c>
      <c r="R414" s="3">
        <v>765.37</v>
      </c>
      <c r="S414" s="3">
        <f>SUM(Table1[[#This Row],[Product_Cost]:[Other_Cost]])</f>
        <v>25558.839999999997</v>
      </c>
      <c r="T414" s="3">
        <f>Table1[[#This Row],[Net_Sales]]-Table1[[#This Row],[Product_Cost]]</f>
        <v>10034.32</v>
      </c>
      <c r="U414" s="3">
        <f>Table1[[#This Row],[Net_Sales]]-Table1[[#This Row],[Total_Cost]]</f>
        <v>5450.6800000000039</v>
      </c>
      <c r="V414" s="4">
        <f>Table1[[#This Row],[Net_Profit]]/Table1[[#This Row],[Net_Sales]]</f>
        <v>0.17577440734329342</v>
      </c>
      <c r="W414" t="s">
        <v>33</v>
      </c>
      <c r="X414" t="s">
        <v>443</v>
      </c>
      <c r="Y414">
        <v>4</v>
      </c>
      <c r="Z414" t="str">
        <f>IF(Table1[[#This Row],[Month_No]]&lt;=6, "H1","H2")</f>
        <v>H1</v>
      </c>
    </row>
    <row r="415" spans="1:26" x14ac:dyDescent="0.25">
      <c r="A415" s="2">
        <v>45762</v>
      </c>
      <c r="B415" t="s">
        <v>491</v>
      </c>
      <c r="C415" t="s">
        <v>63</v>
      </c>
      <c r="D415" t="s">
        <v>68</v>
      </c>
      <c r="E415" t="s">
        <v>29</v>
      </c>
      <c r="F415" t="s">
        <v>52</v>
      </c>
      <c r="G415" t="s">
        <v>64</v>
      </c>
      <c r="H415" t="s">
        <v>47</v>
      </c>
      <c r="I415">
        <v>122</v>
      </c>
      <c r="J415" s="3">
        <v>370.19</v>
      </c>
      <c r="K415" s="3">
        <f>Table1[[#This Row],[Quantity]]*Table1[[#This Row],[Unit_Price]]</f>
        <v>45163.18</v>
      </c>
      <c r="L415" s="3">
        <v>3210.38</v>
      </c>
      <c r="M415" s="3">
        <f>Table1[[#This Row],[Gross_Sales]]-Table1[[#This Row],[Discount]]</f>
        <v>41952.800000000003</v>
      </c>
      <c r="N415" s="3">
        <v>31820.54</v>
      </c>
      <c r="O415" s="3">
        <v>1130.9000000000001</v>
      </c>
      <c r="P415" s="3">
        <v>2870.23</v>
      </c>
      <c r="Q415" s="3">
        <v>1763.98</v>
      </c>
      <c r="R415" s="3">
        <v>942.4</v>
      </c>
      <c r="S415" s="3">
        <f>SUM(Table1[[#This Row],[Product_Cost]:[Other_Cost]])</f>
        <v>38528.05000000001</v>
      </c>
      <c r="T415" s="3">
        <f>Table1[[#This Row],[Net_Sales]]-Table1[[#This Row],[Product_Cost]]</f>
        <v>10132.260000000002</v>
      </c>
      <c r="U415" s="3">
        <f>Table1[[#This Row],[Net_Sales]]-Table1[[#This Row],[Total_Cost]]</f>
        <v>3424.7499999999927</v>
      </c>
      <c r="V415" s="4">
        <f>Table1[[#This Row],[Net_Profit]]/Table1[[#This Row],[Net_Sales]]</f>
        <v>8.1633407066989391E-2</v>
      </c>
      <c r="W415" t="s">
        <v>33</v>
      </c>
      <c r="X415" t="s">
        <v>443</v>
      </c>
      <c r="Y415">
        <v>4</v>
      </c>
      <c r="Z415" t="str">
        <f>IF(Table1[[#This Row],[Month_No]]&lt;=6, "H1","H2")</f>
        <v>H1</v>
      </c>
    </row>
    <row r="416" spans="1:26" x14ac:dyDescent="0.25">
      <c r="A416" s="2">
        <v>45762</v>
      </c>
      <c r="B416" t="s">
        <v>492</v>
      </c>
      <c r="C416" t="s">
        <v>27</v>
      </c>
      <c r="D416" t="s">
        <v>85</v>
      </c>
      <c r="E416" t="s">
        <v>57</v>
      </c>
      <c r="F416" t="s">
        <v>30</v>
      </c>
      <c r="G416" t="s">
        <v>31</v>
      </c>
      <c r="H416" t="s">
        <v>47</v>
      </c>
      <c r="I416">
        <v>85</v>
      </c>
      <c r="J416" s="3">
        <v>1896.41</v>
      </c>
      <c r="K416" s="3">
        <f>Table1[[#This Row],[Quantity]]*Table1[[#This Row],[Unit_Price]]</f>
        <v>161194.85</v>
      </c>
      <c r="L416" s="3">
        <v>10553.64</v>
      </c>
      <c r="M416" s="3">
        <f>Table1[[#This Row],[Gross_Sales]]-Table1[[#This Row],[Discount]]</f>
        <v>150641.21000000002</v>
      </c>
      <c r="N416" s="3">
        <v>104302.47</v>
      </c>
      <c r="O416" s="3">
        <v>5336.01</v>
      </c>
      <c r="P416" s="3">
        <v>10430.41</v>
      </c>
      <c r="Q416" s="3">
        <v>5378</v>
      </c>
      <c r="R416" s="3">
        <v>4106.24</v>
      </c>
      <c r="S416" s="3">
        <f>SUM(Table1[[#This Row],[Product_Cost]:[Other_Cost]])</f>
        <v>129553.13</v>
      </c>
      <c r="T416" s="3">
        <f>Table1[[#This Row],[Net_Sales]]-Table1[[#This Row],[Product_Cost]]</f>
        <v>46338.74000000002</v>
      </c>
      <c r="U416" s="3">
        <f>Table1[[#This Row],[Net_Sales]]-Table1[[#This Row],[Total_Cost]]</f>
        <v>21088.080000000016</v>
      </c>
      <c r="V416" s="4">
        <f>Table1[[#This Row],[Net_Profit]]/Table1[[#This Row],[Net_Sales]]</f>
        <v>0.13998878527329947</v>
      </c>
      <c r="W416" t="s">
        <v>33</v>
      </c>
      <c r="X416" t="s">
        <v>443</v>
      </c>
      <c r="Y416">
        <v>4</v>
      </c>
      <c r="Z416" t="str">
        <f>IF(Table1[[#This Row],[Month_No]]&lt;=6, "H1","H2")</f>
        <v>H1</v>
      </c>
    </row>
    <row r="417" spans="1:26" x14ac:dyDescent="0.25">
      <c r="A417" s="2">
        <v>45762</v>
      </c>
      <c r="B417" t="s">
        <v>493</v>
      </c>
      <c r="C417" t="s">
        <v>27</v>
      </c>
      <c r="D417" t="s">
        <v>44</v>
      </c>
      <c r="E417" t="s">
        <v>45</v>
      </c>
      <c r="F417" t="s">
        <v>30</v>
      </c>
      <c r="G417" t="s">
        <v>61</v>
      </c>
      <c r="H417" t="s">
        <v>32</v>
      </c>
      <c r="I417">
        <v>94</v>
      </c>
      <c r="J417" s="3">
        <v>4413.75</v>
      </c>
      <c r="K417" s="3">
        <f>Table1[[#This Row],[Quantity]]*Table1[[#This Row],[Unit_Price]]</f>
        <v>414892.5</v>
      </c>
      <c r="L417" s="3">
        <v>36817.050000000003</v>
      </c>
      <c r="M417" s="3">
        <f>Table1[[#This Row],[Gross_Sales]]-Table1[[#This Row],[Discount]]</f>
        <v>378075.45</v>
      </c>
      <c r="N417" s="3">
        <v>277326.90999999997</v>
      </c>
      <c r="O417" s="3">
        <v>13340.51</v>
      </c>
      <c r="P417" s="3">
        <v>20804.2</v>
      </c>
      <c r="Q417" s="3">
        <v>19609.990000000002</v>
      </c>
      <c r="R417" s="3">
        <v>7856.91</v>
      </c>
      <c r="S417" s="3">
        <f>SUM(Table1[[#This Row],[Product_Cost]:[Other_Cost]])</f>
        <v>338938.51999999996</v>
      </c>
      <c r="T417" s="3">
        <f>Table1[[#This Row],[Net_Sales]]-Table1[[#This Row],[Product_Cost]]</f>
        <v>100748.54000000004</v>
      </c>
      <c r="U417" s="3">
        <f>Table1[[#This Row],[Net_Sales]]-Table1[[#This Row],[Total_Cost]]</f>
        <v>39136.930000000051</v>
      </c>
      <c r="V417" s="4">
        <f>Table1[[#This Row],[Net_Profit]]/Table1[[#This Row],[Net_Sales]]</f>
        <v>0.10351618969176668</v>
      </c>
      <c r="W417" t="s">
        <v>33</v>
      </c>
      <c r="X417" t="s">
        <v>443</v>
      </c>
      <c r="Y417">
        <v>4</v>
      </c>
      <c r="Z417" t="str">
        <f>IF(Table1[[#This Row],[Month_No]]&lt;=6, "H1","H2")</f>
        <v>H1</v>
      </c>
    </row>
    <row r="418" spans="1:26" x14ac:dyDescent="0.25">
      <c r="A418" s="2">
        <v>45762</v>
      </c>
      <c r="B418" t="s">
        <v>494</v>
      </c>
      <c r="C418" t="s">
        <v>36</v>
      </c>
      <c r="D418" t="s">
        <v>28</v>
      </c>
      <c r="E418" t="s">
        <v>29</v>
      </c>
      <c r="F418" t="s">
        <v>52</v>
      </c>
      <c r="G418" t="s">
        <v>40</v>
      </c>
      <c r="H418" t="s">
        <v>32</v>
      </c>
      <c r="I418">
        <v>73</v>
      </c>
      <c r="J418" s="3">
        <v>1171.78</v>
      </c>
      <c r="K418" s="3">
        <f>Table1[[#This Row],[Quantity]]*Table1[[#This Row],[Unit_Price]]</f>
        <v>85539.94</v>
      </c>
      <c r="L418" s="3">
        <v>7832.67</v>
      </c>
      <c r="M418" s="3">
        <f>Table1[[#This Row],[Gross_Sales]]-Table1[[#This Row],[Discount]]</f>
        <v>77707.27</v>
      </c>
      <c r="N418" s="3">
        <v>46216.13</v>
      </c>
      <c r="O418" s="3">
        <v>1823.58</v>
      </c>
      <c r="P418" s="3">
        <v>5754.53</v>
      </c>
      <c r="Q418" s="3">
        <v>3410.03</v>
      </c>
      <c r="R418" s="3">
        <v>1918.68</v>
      </c>
      <c r="S418" s="3">
        <f>SUM(Table1[[#This Row],[Product_Cost]:[Other_Cost]])</f>
        <v>59122.95</v>
      </c>
      <c r="T418" s="3">
        <f>Table1[[#This Row],[Net_Sales]]-Table1[[#This Row],[Product_Cost]]</f>
        <v>31491.140000000007</v>
      </c>
      <c r="U418" s="3">
        <f>Table1[[#This Row],[Net_Sales]]-Table1[[#This Row],[Total_Cost]]</f>
        <v>18584.320000000007</v>
      </c>
      <c r="V418" s="4">
        <f>Table1[[#This Row],[Net_Profit]]/Table1[[#This Row],[Net_Sales]]</f>
        <v>0.23915806075802182</v>
      </c>
      <c r="W418" t="s">
        <v>33</v>
      </c>
      <c r="X418" t="s">
        <v>443</v>
      </c>
      <c r="Y418">
        <v>4</v>
      </c>
      <c r="Z418" t="str">
        <f>IF(Table1[[#This Row],[Month_No]]&lt;=6, "H1","H2")</f>
        <v>H1</v>
      </c>
    </row>
    <row r="419" spans="1:26" x14ac:dyDescent="0.25">
      <c r="A419" s="2">
        <v>45763</v>
      </c>
      <c r="B419" t="s">
        <v>495</v>
      </c>
      <c r="C419" t="s">
        <v>49</v>
      </c>
      <c r="D419" t="s">
        <v>74</v>
      </c>
      <c r="E419" t="s">
        <v>75</v>
      </c>
      <c r="F419" t="s">
        <v>52</v>
      </c>
      <c r="G419" t="s">
        <v>71</v>
      </c>
      <c r="H419" t="s">
        <v>59</v>
      </c>
      <c r="I419">
        <v>97</v>
      </c>
      <c r="J419" s="3">
        <v>5624.1</v>
      </c>
      <c r="K419" s="3">
        <f>Table1[[#This Row],[Quantity]]*Table1[[#This Row],[Unit_Price]]</f>
        <v>545537.70000000007</v>
      </c>
      <c r="L419" s="3">
        <v>32891.83</v>
      </c>
      <c r="M419" s="3">
        <f>Table1[[#This Row],[Gross_Sales]]-Table1[[#This Row],[Discount]]</f>
        <v>512645.87000000005</v>
      </c>
      <c r="N419" s="3">
        <v>381642.65</v>
      </c>
      <c r="O419" s="3">
        <v>13299.26</v>
      </c>
      <c r="P419" s="3">
        <v>29019.48</v>
      </c>
      <c r="Q419" s="3">
        <v>19627.09</v>
      </c>
      <c r="R419" s="3">
        <v>16403.02</v>
      </c>
      <c r="S419" s="3">
        <f>SUM(Table1[[#This Row],[Product_Cost]:[Other_Cost]])</f>
        <v>459991.50000000006</v>
      </c>
      <c r="T419" s="3">
        <f>Table1[[#This Row],[Net_Sales]]-Table1[[#This Row],[Product_Cost]]</f>
        <v>131003.22000000003</v>
      </c>
      <c r="U419" s="3">
        <f>Table1[[#This Row],[Net_Sales]]-Table1[[#This Row],[Total_Cost]]</f>
        <v>52654.369999999995</v>
      </c>
      <c r="V419" s="4">
        <f>Table1[[#This Row],[Net_Profit]]/Table1[[#This Row],[Net_Sales]]</f>
        <v>0.10271100009056933</v>
      </c>
      <c r="W419" t="s">
        <v>33</v>
      </c>
      <c r="X419" t="s">
        <v>443</v>
      </c>
      <c r="Y419">
        <v>4</v>
      </c>
      <c r="Z419" t="str">
        <f>IF(Table1[[#This Row],[Month_No]]&lt;=6, "H1","H2")</f>
        <v>H1</v>
      </c>
    </row>
    <row r="420" spans="1:26" x14ac:dyDescent="0.25">
      <c r="A420" s="2">
        <v>45763</v>
      </c>
      <c r="B420" t="s">
        <v>496</v>
      </c>
      <c r="C420" t="s">
        <v>117</v>
      </c>
      <c r="D420" t="s">
        <v>85</v>
      </c>
      <c r="E420" t="s">
        <v>57</v>
      </c>
      <c r="F420" t="s">
        <v>46</v>
      </c>
      <c r="G420" t="s">
        <v>58</v>
      </c>
      <c r="H420" t="s">
        <v>47</v>
      </c>
      <c r="I420">
        <v>62</v>
      </c>
      <c r="J420" s="3">
        <v>1875.33</v>
      </c>
      <c r="K420" s="3">
        <f>Table1[[#This Row],[Quantity]]*Table1[[#This Row],[Unit_Price]]</f>
        <v>116270.45999999999</v>
      </c>
      <c r="L420" s="3">
        <v>9418.8799999999992</v>
      </c>
      <c r="M420" s="3">
        <f>Table1[[#This Row],[Gross_Sales]]-Table1[[#This Row],[Discount]]</f>
        <v>106851.57999999999</v>
      </c>
      <c r="N420" s="3">
        <v>77472.41</v>
      </c>
      <c r="O420" s="3">
        <v>3413.87</v>
      </c>
      <c r="P420" s="3">
        <v>7777.73</v>
      </c>
      <c r="Q420" s="3">
        <v>5719.93</v>
      </c>
      <c r="R420" s="3">
        <v>2413.3200000000002</v>
      </c>
      <c r="S420" s="3">
        <f>SUM(Table1[[#This Row],[Product_Cost]:[Other_Cost]])</f>
        <v>96797.260000000009</v>
      </c>
      <c r="T420" s="3">
        <f>Table1[[#This Row],[Net_Sales]]-Table1[[#This Row],[Product_Cost]]</f>
        <v>29379.169999999984</v>
      </c>
      <c r="U420" s="3">
        <f>Table1[[#This Row],[Net_Sales]]-Table1[[#This Row],[Total_Cost]]</f>
        <v>10054.319999999978</v>
      </c>
      <c r="V420" s="4">
        <f>Table1[[#This Row],[Net_Profit]]/Table1[[#This Row],[Net_Sales]]</f>
        <v>9.4096128480271227E-2</v>
      </c>
      <c r="W420" t="s">
        <v>72</v>
      </c>
      <c r="X420" t="s">
        <v>443</v>
      </c>
      <c r="Y420">
        <v>4</v>
      </c>
      <c r="Z420" t="str">
        <f>IF(Table1[[#This Row],[Month_No]]&lt;=6, "H1","H2")</f>
        <v>H1</v>
      </c>
    </row>
    <row r="421" spans="1:26" x14ac:dyDescent="0.25">
      <c r="A421" s="2">
        <v>45764</v>
      </c>
      <c r="B421" t="s">
        <v>497</v>
      </c>
      <c r="C421" t="s">
        <v>49</v>
      </c>
      <c r="D421" t="s">
        <v>50</v>
      </c>
      <c r="E421" t="s">
        <v>51</v>
      </c>
      <c r="F421" t="s">
        <v>52</v>
      </c>
      <c r="G421" t="s">
        <v>64</v>
      </c>
      <c r="H421" t="s">
        <v>41</v>
      </c>
      <c r="I421">
        <v>74</v>
      </c>
      <c r="J421" s="3">
        <v>804.6</v>
      </c>
      <c r="K421" s="3">
        <f>Table1[[#This Row],[Quantity]]*Table1[[#This Row],[Unit_Price]]</f>
        <v>59540.4</v>
      </c>
      <c r="L421" s="3">
        <v>4807.95</v>
      </c>
      <c r="M421" s="3">
        <f>Table1[[#This Row],[Gross_Sales]]-Table1[[#This Row],[Discount]]</f>
        <v>54732.450000000004</v>
      </c>
      <c r="N421" s="3">
        <v>35863.56</v>
      </c>
      <c r="O421" s="3">
        <v>1354.66</v>
      </c>
      <c r="P421" s="3">
        <v>4031.61</v>
      </c>
      <c r="Q421" s="3">
        <v>2703.21</v>
      </c>
      <c r="R421" s="3">
        <v>1251.19</v>
      </c>
      <c r="S421" s="3">
        <f>SUM(Table1[[#This Row],[Product_Cost]:[Other_Cost]])</f>
        <v>45204.23</v>
      </c>
      <c r="T421" s="3">
        <f>Table1[[#This Row],[Net_Sales]]-Table1[[#This Row],[Product_Cost]]</f>
        <v>18868.890000000007</v>
      </c>
      <c r="U421" s="3">
        <f>Table1[[#This Row],[Net_Sales]]-Table1[[#This Row],[Total_Cost]]</f>
        <v>9528.2200000000012</v>
      </c>
      <c r="V421" s="4">
        <f>Table1[[#This Row],[Net_Profit]]/Table1[[#This Row],[Net_Sales]]</f>
        <v>0.17408721882539518</v>
      </c>
      <c r="W421" t="s">
        <v>33</v>
      </c>
      <c r="X421" t="s">
        <v>443</v>
      </c>
      <c r="Y421">
        <v>4</v>
      </c>
      <c r="Z421" t="str">
        <f>IF(Table1[[#This Row],[Month_No]]&lt;=6, "H1","H2")</f>
        <v>H1</v>
      </c>
    </row>
    <row r="422" spans="1:26" x14ac:dyDescent="0.25">
      <c r="A422" s="2">
        <v>45764</v>
      </c>
      <c r="B422" t="s">
        <v>498</v>
      </c>
      <c r="C422" t="s">
        <v>36</v>
      </c>
      <c r="D422" t="s">
        <v>85</v>
      </c>
      <c r="E422" t="s">
        <v>57</v>
      </c>
      <c r="F422" t="s">
        <v>52</v>
      </c>
      <c r="G422" t="s">
        <v>71</v>
      </c>
      <c r="H422" t="s">
        <v>59</v>
      </c>
      <c r="I422">
        <v>67</v>
      </c>
      <c r="J422" s="3">
        <v>1846.89</v>
      </c>
      <c r="K422" s="3">
        <f>Table1[[#This Row],[Quantity]]*Table1[[#This Row],[Unit_Price]]</f>
        <v>123741.63</v>
      </c>
      <c r="L422" s="3">
        <v>8436.4699999999993</v>
      </c>
      <c r="M422" s="3">
        <f>Table1[[#This Row],[Gross_Sales]]-Table1[[#This Row],[Discount]]</f>
        <v>115305.16</v>
      </c>
      <c r="N422" s="3">
        <v>77958.92</v>
      </c>
      <c r="O422" s="3">
        <v>3183.56</v>
      </c>
      <c r="P422" s="3">
        <v>7592.29</v>
      </c>
      <c r="Q422" s="3">
        <v>6112.73</v>
      </c>
      <c r="R422" s="3">
        <v>3089.75</v>
      </c>
      <c r="S422" s="3">
        <f>SUM(Table1[[#This Row],[Product_Cost]:[Other_Cost]])</f>
        <v>97937.249999999985</v>
      </c>
      <c r="T422" s="3">
        <f>Table1[[#This Row],[Net_Sales]]-Table1[[#This Row],[Product_Cost]]</f>
        <v>37346.240000000005</v>
      </c>
      <c r="U422" s="3">
        <f>Table1[[#This Row],[Net_Sales]]-Table1[[#This Row],[Total_Cost]]</f>
        <v>17367.910000000018</v>
      </c>
      <c r="V422" s="4">
        <f>Table1[[#This Row],[Net_Profit]]/Table1[[#This Row],[Net_Sales]]</f>
        <v>0.15062560946968911</v>
      </c>
      <c r="W422" t="s">
        <v>33</v>
      </c>
      <c r="X422" t="s">
        <v>443</v>
      </c>
      <c r="Y422">
        <v>4</v>
      </c>
      <c r="Z422" t="str">
        <f>IF(Table1[[#This Row],[Month_No]]&lt;=6, "H1","H2")</f>
        <v>H1</v>
      </c>
    </row>
    <row r="423" spans="1:26" x14ac:dyDescent="0.25">
      <c r="A423" s="2">
        <v>45764</v>
      </c>
      <c r="B423" t="s">
        <v>499</v>
      </c>
      <c r="C423" t="s">
        <v>107</v>
      </c>
      <c r="D423" t="s">
        <v>44</v>
      </c>
      <c r="E423" t="s">
        <v>45</v>
      </c>
      <c r="F423" t="s">
        <v>52</v>
      </c>
      <c r="G423" t="s">
        <v>76</v>
      </c>
      <c r="H423" t="s">
        <v>59</v>
      </c>
      <c r="I423">
        <v>69</v>
      </c>
      <c r="J423" s="3">
        <v>4296.6899999999996</v>
      </c>
      <c r="K423" s="3">
        <f>Table1[[#This Row],[Quantity]]*Table1[[#This Row],[Unit_Price]]</f>
        <v>296471.61</v>
      </c>
      <c r="L423" s="3">
        <v>21245.16</v>
      </c>
      <c r="M423" s="3">
        <f>Table1[[#This Row],[Gross_Sales]]-Table1[[#This Row],[Discount]]</f>
        <v>275226.45</v>
      </c>
      <c r="N423" s="3">
        <v>195408.47</v>
      </c>
      <c r="O423" s="3">
        <v>7393.15</v>
      </c>
      <c r="P423" s="3">
        <v>19846.23</v>
      </c>
      <c r="Q423" s="3">
        <v>10351.51</v>
      </c>
      <c r="R423" s="3">
        <v>7012.33</v>
      </c>
      <c r="S423" s="3">
        <f>SUM(Table1[[#This Row],[Product_Cost]:[Other_Cost]])</f>
        <v>240011.69</v>
      </c>
      <c r="T423" s="3">
        <f>Table1[[#This Row],[Net_Sales]]-Table1[[#This Row],[Product_Cost]]</f>
        <v>79817.98000000001</v>
      </c>
      <c r="U423" s="3">
        <f>Table1[[#This Row],[Net_Sales]]-Table1[[#This Row],[Total_Cost]]</f>
        <v>35214.760000000009</v>
      </c>
      <c r="V423" s="4">
        <f>Table1[[#This Row],[Net_Profit]]/Table1[[#This Row],[Net_Sales]]</f>
        <v>0.12794831310726135</v>
      </c>
      <c r="W423" t="s">
        <v>33</v>
      </c>
      <c r="X423" t="s">
        <v>443</v>
      </c>
      <c r="Y423">
        <v>4</v>
      </c>
      <c r="Z423" t="str">
        <f>IF(Table1[[#This Row],[Month_No]]&lt;=6, "H1","H2")</f>
        <v>H1</v>
      </c>
    </row>
    <row r="424" spans="1:26" x14ac:dyDescent="0.25">
      <c r="A424" s="2">
        <v>45765</v>
      </c>
      <c r="B424" t="s">
        <v>500</v>
      </c>
      <c r="C424" t="s">
        <v>63</v>
      </c>
      <c r="D424" t="s">
        <v>28</v>
      </c>
      <c r="E424" t="s">
        <v>29</v>
      </c>
      <c r="F424" t="s">
        <v>30</v>
      </c>
      <c r="G424" t="s">
        <v>76</v>
      </c>
      <c r="H424" t="s">
        <v>47</v>
      </c>
      <c r="I424">
        <v>97</v>
      </c>
      <c r="J424" s="3">
        <v>1158.48</v>
      </c>
      <c r="K424" s="3">
        <f>Table1[[#This Row],[Quantity]]*Table1[[#This Row],[Unit_Price]]</f>
        <v>112372.56</v>
      </c>
      <c r="L424" s="3">
        <v>8651.1299999999992</v>
      </c>
      <c r="M424" s="3">
        <f>Table1[[#This Row],[Gross_Sales]]-Table1[[#This Row],[Discount]]</f>
        <v>103721.43</v>
      </c>
      <c r="N424" s="3">
        <v>59791.49</v>
      </c>
      <c r="O424" s="3">
        <v>3479.8</v>
      </c>
      <c r="P424" s="3">
        <v>6035.57</v>
      </c>
      <c r="Q424" s="3">
        <v>3807.33</v>
      </c>
      <c r="R424" s="3">
        <v>2333.25</v>
      </c>
      <c r="S424" s="3">
        <f>SUM(Table1[[#This Row],[Product_Cost]:[Other_Cost]])</f>
        <v>75447.44</v>
      </c>
      <c r="T424" s="3">
        <f>Table1[[#This Row],[Net_Sales]]-Table1[[#This Row],[Product_Cost]]</f>
        <v>43929.939999999995</v>
      </c>
      <c r="U424" s="3">
        <f>Table1[[#This Row],[Net_Sales]]-Table1[[#This Row],[Total_Cost]]</f>
        <v>28273.989999999991</v>
      </c>
      <c r="V424" s="4">
        <f>Table1[[#This Row],[Net_Profit]]/Table1[[#This Row],[Net_Sales]]</f>
        <v>0.27259545110398103</v>
      </c>
      <c r="W424" t="s">
        <v>33</v>
      </c>
      <c r="X424" t="s">
        <v>443</v>
      </c>
      <c r="Y424">
        <v>4</v>
      </c>
      <c r="Z424" t="str">
        <f>IF(Table1[[#This Row],[Month_No]]&lt;=6, "H1","H2")</f>
        <v>H1</v>
      </c>
    </row>
    <row r="425" spans="1:26" x14ac:dyDescent="0.25">
      <c r="A425" s="2">
        <v>45765</v>
      </c>
      <c r="B425" t="s">
        <v>501</v>
      </c>
      <c r="C425" t="s">
        <v>83</v>
      </c>
      <c r="D425" t="s">
        <v>85</v>
      </c>
      <c r="E425" t="s">
        <v>57</v>
      </c>
      <c r="F425" t="s">
        <v>52</v>
      </c>
      <c r="G425" t="s">
        <v>61</v>
      </c>
      <c r="H425" t="s">
        <v>59</v>
      </c>
      <c r="I425">
        <v>113</v>
      </c>
      <c r="J425" s="3">
        <v>1941.83</v>
      </c>
      <c r="K425" s="3">
        <f>Table1[[#This Row],[Quantity]]*Table1[[#This Row],[Unit_Price]]</f>
        <v>219426.78999999998</v>
      </c>
      <c r="L425" s="3">
        <v>12668.56</v>
      </c>
      <c r="M425" s="3">
        <f>Table1[[#This Row],[Gross_Sales]]-Table1[[#This Row],[Discount]]</f>
        <v>206758.22999999998</v>
      </c>
      <c r="N425" s="3">
        <v>142072.53</v>
      </c>
      <c r="O425" s="3">
        <v>5520.1</v>
      </c>
      <c r="P425" s="3">
        <v>14728.56</v>
      </c>
      <c r="Q425" s="3">
        <v>11074.16</v>
      </c>
      <c r="R425" s="3">
        <v>5882.95</v>
      </c>
      <c r="S425" s="3">
        <f>SUM(Table1[[#This Row],[Product_Cost]:[Other_Cost]])</f>
        <v>179278.30000000002</v>
      </c>
      <c r="T425" s="3">
        <f>Table1[[#This Row],[Net_Sales]]-Table1[[#This Row],[Product_Cost]]</f>
        <v>64685.699999999983</v>
      </c>
      <c r="U425" s="3">
        <f>Table1[[#This Row],[Net_Sales]]-Table1[[#This Row],[Total_Cost]]</f>
        <v>27479.929999999964</v>
      </c>
      <c r="V425" s="4">
        <f>Table1[[#This Row],[Net_Profit]]/Table1[[#This Row],[Net_Sales]]</f>
        <v>0.13290851832113268</v>
      </c>
      <c r="W425" t="s">
        <v>33</v>
      </c>
      <c r="X425" t="s">
        <v>443</v>
      </c>
      <c r="Y425">
        <v>4</v>
      </c>
      <c r="Z425" t="str">
        <f>IF(Table1[[#This Row],[Month_No]]&lt;=6, "H1","H2")</f>
        <v>H1</v>
      </c>
    </row>
    <row r="426" spans="1:26" x14ac:dyDescent="0.25">
      <c r="A426" s="2">
        <v>45766</v>
      </c>
      <c r="B426" t="s">
        <v>502</v>
      </c>
      <c r="C426" t="s">
        <v>78</v>
      </c>
      <c r="D426" t="s">
        <v>68</v>
      </c>
      <c r="E426" t="s">
        <v>29</v>
      </c>
      <c r="F426" t="s">
        <v>52</v>
      </c>
      <c r="G426" t="s">
        <v>71</v>
      </c>
      <c r="H426" t="s">
        <v>59</v>
      </c>
      <c r="I426">
        <v>126</v>
      </c>
      <c r="J426" s="3">
        <v>360.74</v>
      </c>
      <c r="K426" s="3">
        <f>Table1[[#This Row],[Quantity]]*Table1[[#This Row],[Unit_Price]]</f>
        <v>45453.24</v>
      </c>
      <c r="L426" s="3">
        <v>2726.98</v>
      </c>
      <c r="M426" s="3">
        <f>Table1[[#This Row],[Gross_Sales]]-Table1[[#This Row],[Discount]]</f>
        <v>42726.259999999995</v>
      </c>
      <c r="N426" s="3">
        <v>33897.64</v>
      </c>
      <c r="O426" s="3">
        <v>1182.3</v>
      </c>
      <c r="P426" s="3">
        <v>2625.87</v>
      </c>
      <c r="Q426" s="3">
        <v>1591.75</v>
      </c>
      <c r="R426" s="3">
        <v>871.75</v>
      </c>
      <c r="S426" s="3">
        <f>SUM(Table1[[#This Row],[Product_Cost]:[Other_Cost]])</f>
        <v>40169.310000000005</v>
      </c>
      <c r="T426" s="3">
        <f>Table1[[#This Row],[Net_Sales]]-Table1[[#This Row],[Product_Cost]]</f>
        <v>8828.6199999999953</v>
      </c>
      <c r="U426" s="3">
        <f>Table1[[#This Row],[Net_Sales]]-Table1[[#This Row],[Total_Cost]]</f>
        <v>2556.9499999999898</v>
      </c>
      <c r="V426" s="4">
        <f>Table1[[#This Row],[Net_Profit]]/Table1[[#This Row],[Net_Sales]]</f>
        <v>5.9844929090446725E-2</v>
      </c>
      <c r="W426" t="s">
        <v>33</v>
      </c>
      <c r="X426" t="s">
        <v>443</v>
      </c>
      <c r="Y426">
        <v>4</v>
      </c>
      <c r="Z426" t="str">
        <f>IF(Table1[[#This Row],[Month_No]]&lt;=6, "H1","H2")</f>
        <v>H1</v>
      </c>
    </row>
    <row r="427" spans="1:26" x14ac:dyDescent="0.25">
      <c r="A427" s="2">
        <v>45767</v>
      </c>
      <c r="B427" t="s">
        <v>503</v>
      </c>
      <c r="C427" t="s">
        <v>117</v>
      </c>
      <c r="D427" t="s">
        <v>81</v>
      </c>
      <c r="E427" t="s">
        <v>45</v>
      </c>
      <c r="F427" t="s">
        <v>52</v>
      </c>
      <c r="G427" t="s">
        <v>71</v>
      </c>
      <c r="H427" t="s">
        <v>59</v>
      </c>
      <c r="I427">
        <v>72</v>
      </c>
      <c r="J427" s="3">
        <v>6563.96</v>
      </c>
      <c r="K427" s="3">
        <f>Table1[[#This Row],[Quantity]]*Table1[[#This Row],[Unit_Price]]</f>
        <v>472605.12</v>
      </c>
      <c r="L427" s="3">
        <v>35644.89</v>
      </c>
      <c r="M427" s="3">
        <f>Table1[[#This Row],[Gross_Sales]]-Table1[[#This Row],[Discount]]</f>
        <v>436960.23</v>
      </c>
      <c r="N427" s="3">
        <v>261785.14</v>
      </c>
      <c r="O427" s="3">
        <v>11624.34</v>
      </c>
      <c r="P427" s="3">
        <v>31741.360000000001</v>
      </c>
      <c r="Q427" s="3">
        <v>19005.23</v>
      </c>
      <c r="R427" s="3">
        <v>10109.629999999999</v>
      </c>
      <c r="S427" s="3">
        <f>SUM(Table1[[#This Row],[Product_Cost]:[Other_Cost]])</f>
        <v>334265.7</v>
      </c>
      <c r="T427" s="3">
        <f>Table1[[#This Row],[Net_Sales]]-Table1[[#This Row],[Product_Cost]]</f>
        <v>175175.08999999997</v>
      </c>
      <c r="U427" s="3">
        <f>Table1[[#This Row],[Net_Sales]]-Table1[[#This Row],[Total_Cost]]</f>
        <v>102694.52999999997</v>
      </c>
      <c r="V427" s="4">
        <f>Table1[[#This Row],[Net_Profit]]/Table1[[#This Row],[Net_Sales]]</f>
        <v>0.23502031294701572</v>
      </c>
      <c r="W427" t="s">
        <v>33</v>
      </c>
      <c r="X427" t="s">
        <v>443</v>
      </c>
      <c r="Y427">
        <v>4</v>
      </c>
      <c r="Z427" t="str">
        <f>IF(Table1[[#This Row],[Month_No]]&lt;=6, "H1","H2")</f>
        <v>H1</v>
      </c>
    </row>
    <row r="428" spans="1:26" x14ac:dyDescent="0.25">
      <c r="A428" s="2">
        <v>45767</v>
      </c>
      <c r="B428" t="s">
        <v>504</v>
      </c>
      <c r="C428" t="s">
        <v>36</v>
      </c>
      <c r="D428" t="s">
        <v>50</v>
      </c>
      <c r="E428" t="s">
        <v>51</v>
      </c>
      <c r="F428" t="s">
        <v>30</v>
      </c>
      <c r="G428" t="s">
        <v>58</v>
      </c>
      <c r="H428" t="s">
        <v>47</v>
      </c>
      <c r="I428">
        <v>64</v>
      </c>
      <c r="J428" s="3">
        <v>875.78</v>
      </c>
      <c r="K428" s="3">
        <f>Table1[[#This Row],[Quantity]]*Table1[[#This Row],[Unit_Price]]</f>
        <v>56049.919999999998</v>
      </c>
      <c r="L428" s="3">
        <v>3772.99</v>
      </c>
      <c r="M428" s="3">
        <f>Table1[[#This Row],[Gross_Sales]]-Table1[[#This Row],[Discount]]</f>
        <v>52276.93</v>
      </c>
      <c r="N428" s="3">
        <v>34085.99</v>
      </c>
      <c r="O428" s="3">
        <v>1876.04</v>
      </c>
      <c r="P428" s="3">
        <v>3417.06</v>
      </c>
      <c r="Q428" s="3">
        <v>2147.48</v>
      </c>
      <c r="R428" s="3">
        <v>1070.0999999999999</v>
      </c>
      <c r="S428" s="3">
        <f>SUM(Table1[[#This Row],[Product_Cost]:[Other_Cost]])</f>
        <v>42596.67</v>
      </c>
      <c r="T428" s="3">
        <f>Table1[[#This Row],[Net_Sales]]-Table1[[#This Row],[Product_Cost]]</f>
        <v>18190.940000000002</v>
      </c>
      <c r="U428" s="3">
        <f>Table1[[#This Row],[Net_Sales]]-Table1[[#This Row],[Total_Cost]]</f>
        <v>9680.260000000002</v>
      </c>
      <c r="V428" s="4">
        <f>Table1[[#This Row],[Net_Profit]]/Table1[[#This Row],[Net_Sales]]</f>
        <v>0.18517269472403988</v>
      </c>
      <c r="W428" t="s">
        <v>72</v>
      </c>
      <c r="X428" t="s">
        <v>443</v>
      </c>
      <c r="Y428">
        <v>4</v>
      </c>
      <c r="Z428" t="str">
        <f>IF(Table1[[#This Row],[Month_No]]&lt;=6, "H1","H2")</f>
        <v>H1</v>
      </c>
    </row>
    <row r="429" spans="1:26" x14ac:dyDescent="0.25">
      <c r="A429" s="2">
        <v>45767</v>
      </c>
      <c r="B429" t="s">
        <v>505</v>
      </c>
      <c r="C429" t="s">
        <v>70</v>
      </c>
      <c r="D429" t="s">
        <v>44</v>
      </c>
      <c r="E429" t="s">
        <v>45</v>
      </c>
      <c r="F429" t="s">
        <v>39</v>
      </c>
      <c r="G429" t="s">
        <v>76</v>
      </c>
      <c r="H429" t="s">
        <v>47</v>
      </c>
      <c r="I429">
        <v>94</v>
      </c>
      <c r="J429" s="3">
        <v>4328.38</v>
      </c>
      <c r="K429" s="3">
        <f>Table1[[#This Row],[Quantity]]*Table1[[#This Row],[Unit_Price]]</f>
        <v>406867.72000000003</v>
      </c>
      <c r="L429" s="3">
        <v>32751.83</v>
      </c>
      <c r="M429" s="3">
        <f>Table1[[#This Row],[Gross_Sales]]-Table1[[#This Row],[Discount]]</f>
        <v>374115.89</v>
      </c>
      <c r="N429" s="3">
        <v>268789.59999999998</v>
      </c>
      <c r="O429" s="3">
        <v>15740.72</v>
      </c>
      <c r="P429" s="3">
        <v>25989.56</v>
      </c>
      <c r="Q429" s="3">
        <v>16825.38</v>
      </c>
      <c r="R429" s="3">
        <v>11269.78</v>
      </c>
      <c r="S429" s="3">
        <f>SUM(Table1[[#This Row],[Product_Cost]:[Other_Cost]])</f>
        <v>338615.03999999998</v>
      </c>
      <c r="T429" s="3">
        <f>Table1[[#This Row],[Net_Sales]]-Table1[[#This Row],[Product_Cost]]</f>
        <v>105326.29000000004</v>
      </c>
      <c r="U429" s="3">
        <f>Table1[[#This Row],[Net_Sales]]-Table1[[#This Row],[Total_Cost]]</f>
        <v>35500.850000000035</v>
      </c>
      <c r="V429" s="4">
        <f>Table1[[#This Row],[Net_Profit]]/Table1[[#This Row],[Net_Sales]]</f>
        <v>9.4892654786729411E-2</v>
      </c>
      <c r="W429" t="s">
        <v>33</v>
      </c>
      <c r="X429" t="s">
        <v>443</v>
      </c>
      <c r="Y429">
        <v>4</v>
      </c>
      <c r="Z429" t="str">
        <f>IF(Table1[[#This Row],[Month_No]]&lt;=6, "H1","H2")</f>
        <v>H1</v>
      </c>
    </row>
    <row r="430" spans="1:26" x14ac:dyDescent="0.25">
      <c r="A430" s="2">
        <v>45767</v>
      </c>
      <c r="B430" t="s">
        <v>506</v>
      </c>
      <c r="C430" t="s">
        <v>43</v>
      </c>
      <c r="D430" t="s">
        <v>44</v>
      </c>
      <c r="E430" t="s">
        <v>45</v>
      </c>
      <c r="F430" t="s">
        <v>52</v>
      </c>
      <c r="G430" t="s">
        <v>76</v>
      </c>
      <c r="H430" t="s">
        <v>47</v>
      </c>
      <c r="I430">
        <v>92</v>
      </c>
      <c r="J430" s="3">
        <v>4279.2700000000004</v>
      </c>
      <c r="K430" s="3">
        <f>Table1[[#This Row],[Quantity]]*Table1[[#This Row],[Unit_Price]]</f>
        <v>393692.84</v>
      </c>
      <c r="L430" s="3">
        <v>29232.25</v>
      </c>
      <c r="M430" s="3">
        <f>Table1[[#This Row],[Gross_Sales]]-Table1[[#This Row],[Discount]]</f>
        <v>364460.59</v>
      </c>
      <c r="N430" s="3">
        <v>263351.23</v>
      </c>
      <c r="O430" s="3">
        <v>9554.68</v>
      </c>
      <c r="P430" s="3">
        <v>21271.439999999999</v>
      </c>
      <c r="Q430" s="3">
        <v>18545.29</v>
      </c>
      <c r="R430" s="3">
        <v>10221.620000000001</v>
      </c>
      <c r="S430" s="3">
        <f>SUM(Table1[[#This Row],[Product_Cost]:[Other_Cost]])</f>
        <v>322944.25999999995</v>
      </c>
      <c r="T430" s="3">
        <f>Table1[[#This Row],[Net_Sales]]-Table1[[#This Row],[Product_Cost]]</f>
        <v>101109.36000000004</v>
      </c>
      <c r="U430" s="3">
        <f>Table1[[#This Row],[Net_Sales]]-Table1[[#This Row],[Total_Cost]]</f>
        <v>41516.330000000075</v>
      </c>
      <c r="V430" s="4">
        <f>Table1[[#This Row],[Net_Profit]]/Table1[[#This Row],[Net_Sales]]</f>
        <v>0.11391171264909622</v>
      </c>
      <c r="W430" t="s">
        <v>33</v>
      </c>
      <c r="X430" t="s">
        <v>443</v>
      </c>
      <c r="Y430">
        <v>4</v>
      </c>
      <c r="Z430" t="str">
        <f>IF(Table1[[#This Row],[Month_No]]&lt;=6, "H1","H2")</f>
        <v>H1</v>
      </c>
    </row>
    <row r="431" spans="1:26" x14ac:dyDescent="0.25">
      <c r="A431" s="2">
        <v>45768</v>
      </c>
      <c r="B431" t="s">
        <v>507</v>
      </c>
      <c r="C431" t="s">
        <v>117</v>
      </c>
      <c r="D431" t="s">
        <v>44</v>
      </c>
      <c r="E431" t="s">
        <v>45</v>
      </c>
      <c r="F431" t="s">
        <v>52</v>
      </c>
      <c r="G431" t="s">
        <v>58</v>
      </c>
      <c r="H431" t="s">
        <v>59</v>
      </c>
      <c r="I431">
        <v>82</v>
      </c>
      <c r="J431" s="3">
        <v>4299.79</v>
      </c>
      <c r="K431" s="3">
        <f>Table1[[#This Row],[Quantity]]*Table1[[#This Row],[Unit_Price]]</f>
        <v>352582.77999999997</v>
      </c>
      <c r="L431" s="3">
        <v>27295.91</v>
      </c>
      <c r="M431" s="3">
        <f>Table1[[#This Row],[Gross_Sales]]-Table1[[#This Row],[Discount]]</f>
        <v>325286.87</v>
      </c>
      <c r="N431" s="3">
        <v>228099.06</v>
      </c>
      <c r="O431" s="3">
        <v>8868.17</v>
      </c>
      <c r="P431" s="3">
        <v>22762.19</v>
      </c>
      <c r="Q431" s="3">
        <v>13707.72</v>
      </c>
      <c r="R431" s="3">
        <v>10125.25</v>
      </c>
      <c r="S431" s="3">
        <f>SUM(Table1[[#This Row],[Product_Cost]:[Other_Cost]])</f>
        <v>283562.39</v>
      </c>
      <c r="T431" s="3">
        <f>Table1[[#This Row],[Net_Sales]]-Table1[[#This Row],[Product_Cost]]</f>
        <v>97187.81</v>
      </c>
      <c r="U431" s="3">
        <f>Table1[[#This Row],[Net_Sales]]-Table1[[#This Row],[Total_Cost]]</f>
        <v>41724.479999999981</v>
      </c>
      <c r="V431" s="4">
        <f>Table1[[#This Row],[Net_Profit]]/Table1[[#This Row],[Net_Sales]]</f>
        <v>0.12826979459699675</v>
      </c>
      <c r="W431" t="s">
        <v>33</v>
      </c>
      <c r="X431" t="s">
        <v>443</v>
      </c>
      <c r="Y431">
        <v>4</v>
      </c>
      <c r="Z431" t="str">
        <f>IF(Table1[[#This Row],[Month_No]]&lt;=6, "H1","H2")</f>
        <v>H1</v>
      </c>
    </row>
    <row r="432" spans="1:26" x14ac:dyDescent="0.25">
      <c r="A432" s="2">
        <v>45768</v>
      </c>
      <c r="B432" t="s">
        <v>508</v>
      </c>
      <c r="C432" t="s">
        <v>43</v>
      </c>
      <c r="D432" t="s">
        <v>50</v>
      </c>
      <c r="E432" t="s">
        <v>51</v>
      </c>
      <c r="F432" t="s">
        <v>52</v>
      </c>
      <c r="G432" t="s">
        <v>61</v>
      </c>
      <c r="H432" t="s">
        <v>59</v>
      </c>
      <c r="I432">
        <v>90</v>
      </c>
      <c r="J432" s="3">
        <v>863.59</v>
      </c>
      <c r="K432" s="3">
        <f>Table1[[#This Row],[Quantity]]*Table1[[#This Row],[Unit_Price]]</f>
        <v>77723.100000000006</v>
      </c>
      <c r="L432" s="3">
        <v>4489.8900000000003</v>
      </c>
      <c r="M432" s="3">
        <f>Table1[[#This Row],[Gross_Sales]]-Table1[[#This Row],[Discount]]</f>
        <v>73233.210000000006</v>
      </c>
      <c r="N432" s="3">
        <v>48986.11</v>
      </c>
      <c r="O432" s="3">
        <v>1775.26</v>
      </c>
      <c r="P432" s="3">
        <v>4880.67</v>
      </c>
      <c r="Q432" s="3">
        <v>2866.78</v>
      </c>
      <c r="R432" s="3">
        <v>2032.54</v>
      </c>
      <c r="S432" s="3">
        <f>SUM(Table1[[#This Row],[Product_Cost]:[Other_Cost]])</f>
        <v>60541.36</v>
      </c>
      <c r="T432" s="3">
        <f>Table1[[#This Row],[Net_Sales]]-Table1[[#This Row],[Product_Cost]]</f>
        <v>24247.100000000006</v>
      </c>
      <c r="U432" s="3">
        <f>Table1[[#This Row],[Net_Sales]]-Table1[[#This Row],[Total_Cost]]</f>
        <v>12691.850000000006</v>
      </c>
      <c r="V432" s="4">
        <f>Table1[[#This Row],[Net_Profit]]/Table1[[#This Row],[Net_Sales]]</f>
        <v>0.17330730142786319</v>
      </c>
      <c r="W432" t="s">
        <v>33</v>
      </c>
      <c r="X432" t="s">
        <v>443</v>
      </c>
      <c r="Y432">
        <v>4</v>
      </c>
      <c r="Z432" t="str">
        <f>IF(Table1[[#This Row],[Month_No]]&lt;=6, "H1","H2")</f>
        <v>H1</v>
      </c>
    </row>
    <row r="433" spans="1:26" x14ac:dyDescent="0.25">
      <c r="A433" s="2">
        <v>45768</v>
      </c>
      <c r="B433" t="s">
        <v>509</v>
      </c>
      <c r="C433" t="s">
        <v>70</v>
      </c>
      <c r="D433" t="s">
        <v>28</v>
      </c>
      <c r="E433" t="s">
        <v>29</v>
      </c>
      <c r="F433" t="s">
        <v>30</v>
      </c>
      <c r="G433" t="s">
        <v>76</v>
      </c>
      <c r="H433" t="s">
        <v>59</v>
      </c>
      <c r="I433">
        <v>80</v>
      </c>
      <c r="J433" s="3">
        <v>1140.75</v>
      </c>
      <c r="K433" s="3">
        <f>Table1[[#This Row],[Quantity]]*Table1[[#This Row],[Unit_Price]]</f>
        <v>91260</v>
      </c>
      <c r="L433" s="3">
        <v>7346.62</v>
      </c>
      <c r="M433" s="3">
        <f>Table1[[#This Row],[Gross_Sales]]-Table1[[#This Row],[Discount]]</f>
        <v>83913.38</v>
      </c>
      <c r="N433" s="3">
        <v>52134.34</v>
      </c>
      <c r="O433" s="3">
        <v>2960.15</v>
      </c>
      <c r="P433" s="3">
        <v>5444.67</v>
      </c>
      <c r="Q433" s="3">
        <v>3925.7</v>
      </c>
      <c r="R433" s="3">
        <v>1756.23</v>
      </c>
      <c r="S433" s="3">
        <f>SUM(Table1[[#This Row],[Product_Cost]:[Other_Cost]])</f>
        <v>66221.09</v>
      </c>
      <c r="T433" s="3">
        <f>Table1[[#This Row],[Net_Sales]]-Table1[[#This Row],[Product_Cost]]</f>
        <v>31779.040000000008</v>
      </c>
      <c r="U433" s="3">
        <f>Table1[[#This Row],[Net_Sales]]-Table1[[#This Row],[Total_Cost]]</f>
        <v>17692.290000000008</v>
      </c>
      <c r="V433" s="4">
        <f>Table1[[#This Row],[Net_Profit]]/Table1[[#This Row],[Net_Sales]]</f>
        <v>0.21083991611349712</v>
      </c>
      <c r="W433" t="s">
        <v>33</v>
      </c>
      <c r="X433" t="s">
        <v>443</v>
      </c>
      <c r="Y433">
        <v>4</v>
      </c>
      <c r="Z433" t="str">
        <f>IF(Table1[[#This Row],[Month_No]]&lt;=6, "H1","H2")</f>
        <v>H1</v>
      </c>
    </row>
    <row r="434" spans="1:26" x14ac:dyDescent="0.25">
      <c r="A434" s="2">
        <v>45770</v>
      </c>
      <c r="B434" t="s">
        <v>510</v>
      </c>
      <c r="C434" t="s">
        <v>63</v>
      </c>
      <c r="D434" t="s">
        <v>74</v>
      </c>
      <c r="E434" t="s">
        <v>75</v>
      </c>
      <c r="F434" t="s">
        <v>52</v>
      </c>
      <c r="G434" t="s">
        <v>40</v>
      </c>
      <c r="H434" t="s">
        <v>32</v>
      </c>
      <c r="I434">
        <v>109</v>
      </c>
      <c r="J434" s="3">
        <v>5623.14</v>
      </c>
      <c r="K434" s="3">
        <f>Table1[[#This Row],[Quantity]]*Table1[[#This Row],[Unit_Price]]</f>
        <v>612922.26</v>
      </c>
      <c r="L434" s="3">
        <v>47209.38</v>
      </c>
      <c r="M434" s="3">
        <f>Table1[[#This Row],[Gross_Sales]]-Table1[[#This Row],[Discount]]</f>
        <v>565712.88</v>
      </c>
      <c r="N434" s="3">
        <v>429608.87</v>
      </c>
      <c r="O434" s="3">
        <v>14983.58</v>
      </c>
      <c r="P434" s="3">
        <v>31344.13</v>
      </c>
      <c r="Q434" s="3">
        <v>20784.7</v>
      </c>
      <c r="R434" s="3">
        <v>16516.16</v>
      </c>
      <c r="S434" s="3">
        <f>SUM(Table1[[#This Row],[Product_Cost]:[Other_Cost]])</f>
        <v>513237.44</v>
      </c>
      <c r="T434" s="3">
        <f>Table1[[#This Row],[Net_Sales]]-Table1[[#This Row],[Product_Cost]]</f>
        <v>136104.01</v>
      </c>
      <c r="U434" s="3">
        <f>Table1[[#This Row],[Net_Sales]]-Table1[[#This Row],[Total_Cost]]</f>
        <v>52475.44</v>
      </c>
      <c r="V434" s="4">
        <f>Table1[[#This Row],[Net_Profit]]/Table1[[#This Row],[Net_Sales]]</f>
        <v>9.2759846655780576E-2</v>
      </c>
      <c r="W434" t="s">
        <v>33</v>
      </c>
      <c r="X434" t="s">
        <v>443</v>
      </c>
      <c r="Y434">
        <v>4</v>
      </c>
      <c r="Z434" t="str">
        <f>IF(Table1[[#This Row],[Month_No]]&lt;=6, "H1","H2")</f>
        <v>H1</v>
      </c>
    </row>
    <row r="435" spans="1:26" x14ac:dyDescent="0.25">
      <c r="A435" s="2">
        <v>45770</v>
      </c>
      <c r="B435" t="s">
        <v>511</v>
      </c>
      <c r="C435" t="s">
        <v>117</v>
      </c>
      <c r="D435" t="s">
        <v>85</v>
      </c>
      <c r="E435" t="s">
        <v>57</v>
      </c>
      <c r="F435" t="s">
        <v>39</v>
      </c>
      <c r="G435" t="s">
        <v>71</v>
      </c>
      <c r="H435" t="s">
        <v>47</v>
      </c>
      <c r="I435">
        <v>101</v>
      </c>
      <c r="J435" s="3">
        <v>1834.31</v>
      </c>
      <c r="K435" s="3">
        <f>Table1[[#This Row],[Quantity]]*Table1[[#This Row],[Unit_Price]]</f>
        <v>185265.31</v>
      </c>
      <c r="L435" s="3">
        <v>11744.48</v>
      </c>
      <c r="M435" s="3">
        <f>Table1[[#This Row],[Gross_Sales]]-Table1[[#This Row],[Discount]]</f>
        <v>173520.83</v>
      </c>
      <c r="N435" s="3">
        <v>117294.37</v>
      </c>
      <c r="O435" s="3">
        <v>7326.34</v>
      </c>
      <c r="P435" s="3">
        <v>10187.56</v>
      </c>
      <c r="Q435" s="3">
        <v>9223.42</v>
      </c>
      <c r="R435" s="3">
        <v>4030.74</v>
      </c>
      <c r="S435" s="3">
        <f>SUM(Table1[[#This Row],[Product_Cost]:[Other_Cost]])</f>
        <v>148062.43</v>
      </c>
      <c r="T435" s="3">
        <f>Table1[[#This Row],[Net_Sales]]-Table1[[#This Row],[Product_Cost]]</f>
        <v>56226.459999999992</v>
      </c>
      <c r="U435" s="3">
        <f>Table1[[#This Row],[Net_Sales]]-Table1[[#This Row],[Total_Cost]]</f>
        <v>25458.399999999994</v>
      </c>
      <c r="V435" s="4">
        <f>Table1[[#This Row],[Net_Profit]]/Table1[[#This Row],[Net_Sales]]</f>
        <v>0.14671667949029518</v>
      </c>
      <c r="W435" t="s">
        <v>33</v>
      </c>
      <c r="X435" t="s">
        <v>443</v>
      </c>
      <c r="Y435">
        <v>4</v>
      </c>
      <c r="Z435" t="str">
        <f>IF(Table1[[#This Row],[Month_No]]&lt;=6, "H1","H2")</f>
        <v>H1</v>
      </c>
    </row>
    <row r="436" spans="1:26" x14ac:dyDescent="0.25">
      <c r="A436" s="2">
        <v>45770</v>
      </c>
      <c r="B436" t="s">
        <v>512</v>
      </c>
      <c r="C436" t="s">
        <v>83</v>
      </c>
      <c r="D436" t="s">
        <v>81</v>
      </c>
      <c r="E436" t="s">
        <v>45</v>
      </c>
      <c r="F436" t="s">
        <v>46</v>
      </c>
      <c r="G436" t="s">
        <v>61</v>
      </c>
      <c r="H436" t="s">
        <v>32</v>
      </c>
      <c r="I436">
        <v>72</v>
      </c>
      <c r="J436" s="3">
        <v>6628.61</v>
      </c>
      <c r="K436" s="3">
        <f>Table1[[#This Row],[Quantity]]*Table1[[#This Row],[Unit_Price]]</f>
        <v>477259.92</v>
      </c>
      <c r="L436" s="3">
        <v>46941.33</v>
      </c>
      <c r="M436" s="3">
        <f>Table1[[#This Row],[Gross_Sales]]-Table1[[#This Row],[Discount]]</f>
        <v>430318.58999999997</v>
      </c>
      <c r="N436" s="3">
        <v>257492.18</v>
      </c>
      <c r="O436" s="3">
        <v>14127.86</v>
      </c>
      <c r="P436" s="3">
        <v>24782.52</v>
      </c>
      <c r="Q436" s="3">
        <v>17298.91</v>
      </c>
      <c r="R436" s="3">
        <v>12982.86</v>
      </c>
      <c r="S436" s="3">
        <f>SUM(Table1[[#This Row],[Product_Cost]:[Other_Cost]])</f>
        <v>326684.32999999996</v>
      </c>
      <c r="T436" s="3">
        <f>Table1[[#This Row],[Net_Sales]]-Table1[[#This Row],[Product_Cost]]</f>
        <v>172826.40999999997</v>
      </c>
      <c r="U436" s="3">
        <f>Table1[[#This Row],[Net_Sales]]-Table1[[#This Row],[Total_Cost]]</f>
        <v>103634.26000000001</v>
      </c>
      <c r="V436" s="4">
        <f>Table1[[#This Row],[Net_Profit]]/Table1[[#This Row],[Net_Sales]]</f>
        <v>0.24083147325798779</v>
      </c>
      <c r="W436" t="s">
        <v>33</v>
      </c>
      <c r="X436" t="s">
        <v>443</v>
      </c>
      <c r="Y436">
        <v>4</v>
      </c>
      <c r="Z436" t="str">
        <f>IF(Table1[[#This Row],[Month_No]]&lt;=6, "H1","H2")</f>
        <v>H1</v>
      </c>
    </row>
    <row r="437" spans="1:26" x14ac:dyDescent="0.25">
      <c r="A437" s="2">
        <v>45770</v>
      </c>
      <c r="B437" t="s">
        <v>513</v>
      </c>
      <c r="C437" t="s">
        <v>43</v>
      </c>
      <c r="D437" t="s">
        <v>28</v>
      </c>
      <c r="E437" t="s">
        <v>29</v>
      </c>
      <c r="F437" t="s">
        <v>52</v>
      </c>
      <c r="G437" t="s">
        <v>61</v>
      </c>
      <c r="H437" t="s">
        <v>59</v>
      </c>
      <c r="I437">
        <v>100</v>
      </c>
      <c r="J437" s="3">
        <v>1179.1400000000001</v>
      </c>
      <c r="K437" s="3">
        <f>Table1[[#This Row],[Quantity]]*Table1[[#This Row],[Unit_Price]]</f>
        <v>117914.00000000001</v>
      </c>
      <c r="L437" s="3">
        <v>9580.36</v>
      </c>
      <c r="M437" s="3">
        <f>Table1[[#This Row],[Gross_Sales]]-Table1[[#This Row],[Discount]]</f>
        <v>108333.64000000001</v>
      </c>
      <c r="N437" s="3">
        <v>66126.570000000007</v>
      </c>
      <c r="O437" s="3">
        <v>3034.76</v>
      </c>
      <c r="P437" s="3">
        <v>7877.01</v>
      </c>
      <c r="Q437" s="3">
        <v>5717.63</v>
      </c>
      <c r="R437" s="3">
        <v>2542.16</v>
      </c>
      <c r="S437" s="3">
        <f>SUM(Table1[[#This Row],[Product_Cost]:[Other_Cost]])</f>
        <v>85298.13</v>
      </c>
      <c r="T437" s="3">
        <f>Table1[[#This Row],[Net_Sales]]-Table1[[#This Row],[Product_Cost]]</f>
        <v>42207.070000000007</v>
      </c>
      <c r="U437" s="3">
        <f>Table1[[#This Row],[Net_Sales]]-Table1[[#This Row],[Total_Cost]]</f>
        <v>23035.510000000009</v>
      </c>
      <c r="V437" s="4">
        <f>Table1[[#This Row],[Net_Profit]]/Table1[[#This Row],[Net_Sales]]</f>
        <v>0.21263487500281544</v>
      </c>
      <c r="W437" t="s">
        <v>33</v>
      </c>
      <c r="X437" t="s">
        <v>443</v>
      </c>
      <c r="Y437">
        <v>4</v>
      </c>
      <c r="Z437" t="str">
        <f>IF(Table1[[#This Row],[Month_No]]&lt;=6, "H1","H2")</f>
        <v>H1</v>
      </c>
    </row>
    <row r="438" spans="1:26" x14ac:dyDescent="0.25">
      <c r="A438" s="2">
        <v>45771</v>
      </c>
      <c r="B438" t="s">
        <v>514</v>
      </c>
      <c r="C438" t="s">
        <v>36</v>
      </c>
      <c r="D438" t="s">
        <v>37</v>
      </c>
      <c r="E438" t="s">
        <v>38</v>
      </c>
      <c r="F438" t="s">
        <v>30</v>
      </c>
      <c r="G438" t="s">
        <v>58</v>
      </c>
      <c r="H438" t="s">
        <v>47</v>
      </c>
      <c r="I438">
        <v>76</v>
      </c>
      <c r="J438" s="3">
        <v>4258.58</v>
      </c>
      <c r="K438" s="3">
        <f>Table1[[#This Row],[Quantity]]*Table1[[#This Row],[Unit_Price]]</f>
        <v>323652.08</v>
      </c>
      <c r="L438" s="3">
        <v>19626.8</v>
      </c>
      <c r="M438" s="3">
        <f>Table1[[#This Row],[Gross_Sales]]-Table1[[#This Row],[Discount]]</f>
        <v>304025.28000000003</v>
      </c>
      <c r="N438" s="3">
        <v>222712.37</v>
      </c>
      <c r="O438" s="3">
        <v>10124.52</v>
      </c>
      <c r="P438" s="3">
        <v>17290.099999999999</v>
      </c>
      <c r="Q438" s="3">
        <v>13136.18</v>
      </c>
      <c r="R438" s="3">
        <v>6997.84</v>
      </c>
      <c r="S438" s="3">
        <f>SUM(Table1[[#This Row],[Product_Cost]:[Other_Cost]])</f>
        <v>270261.01</v>
      </c>
      <c r="T438" s="3">
        <f>Table1[[#This Row],[Net_Sales]]-Table1[[#This Row],[Product_Cost]]</f>
        <v>81312.910000000033</v>
      </c>
      <c r="U438" s="3">
        <f>Table1[[#This Row],[Net_Sales]]-Table1[[#This Row],[Total_Cost]]</f>
        <v>33764.270000000019</v>
      </c>
      <c r="V438" s="4">
        <f>Table1[[#This Row],[Net_Profit]]/Table1[[#This Row],[Net_Sales]]</f>
        <v>0.11105744232848011</v>
      </c>
      <c r="W438" t="s">
        <v>33</v>
      </c>
      <c r="X438" t="s">
        <v>443</v>
      </c>
      <c r="Y438">
        <v>4</v>
      </c>
      <c r="Z438" t="str">
        <f>IF(Table1[[#This Row],[Month_No]]&lt;=6, "H1","H2")</f>
        <v>H1</v>
      </c>
    </row>
    <row r="439" spans="1:26" x14ac:dyDescent="0.25">
      <c r="A439" s="2">
        <v>45771</v>
      </c>
      <c r="B439" t="s">
        <v>515</v>
      </c>
      <c r="C439" t="s">
        <v>63</v>
      </c>
      <c r="D439" t="s">
        <v>50</v>
      </c>
      <c r="E439" t="s">
        <v>51</v>
      </c>
      <c r="F439" t="s">
        <v>39</v>
      </c>
      <c r="G439" t="s">
        <v>76</v>
      </c>
      <c r="H439" t="s">
        <v>59</v>
      </c>
      <c r="I439">
        <v>72</v>
      </c>
      <c r="J439" s="3">
        <v>819.92</v>
      </c>
      <c r="K439" s="3">
        <f>Table1[[#This Row],[Quantity]]*Table1[[#This Row],[Unit_Price]]</f>
        <v>59034.239999999998</v>
      </c>
      <c r="L439" s="3">
        <v>4059.26</v>
      </c>
      <c r="M439" s="3">
        <f>Table1[[#This Row],[Gross_Sales]]-Table1[[#This Row],[Discount]]</f>
        <v>54974.979999999996</v>
      </c>
      <c r="N439" s="3">
        <v>37995.42</v>
      </c>
      <c r="O439" s="3">
        <v>2437.46</v>
      </c>
      <c r="P439" s="3">
        <v>3808.22</v>
      </c>
      <c r="Q439" s="3">
        <v>2210.56</v>
      </c>
      <c r="R439" s="3">
        <v>1659.25</v>
      </c>
      <c r="S439" s="3">
        <f>SUM(Table1[[#This Row],[Product_Cost]:[Other_Cost]])</f>
        <v>48110.909999999996</v>
      </c>
      <c r="T439" s="3">
        <f>Table1[[#This Row],[Net_Sales]]-Table1[[#This Row],[Product_Cost]]</f>
        <v>16979.559999999998</v>
      </c>
      <c r="U439" s="3">
        <f>Table1[[#This Row],[Net_Sales]]-Table1[[#This Row],[Total_Cost]]</f>
        <v>6864.07</v>
      </c>
      <c r="V439" s="4">
        <f>Table1[[#This Row],[Net_Profit]]/Table1[[#This Row],[Net_Sales]]</f>
        <v>0.12485807179920758</v>
      </c>
      <c r="W439" t="s">
        <v>33</v>
      </c>
      <c r="X439" t="s">
        <v>443</v>
      </c>
      <c r="Y439">
        <v>4</v>
      </c>
      <c r="Z439" t="str">
        <f>IF(Table1[[#This Row],[Month_No]]&lt;=6, "H1","H2")</f>
        <v>H1</v>
      </c>
    </row>
    <row r="440" spans="1:26" x14ac:dyDescent="0.25">
      <c r="A440" s="2">
        <v>45771</v>
      </c>
      <c r="B440" t="s">
        <v>516</v>
      </c>
      <c r="C440" t="s">
        <v>27</v>
      </c>
      <c r="D440" t="s">
        <v>37</v>
      </c>
      <c r="E440" t="s">
        <v>38</v>
      </c>
      <c r="F440" t="s">
        <v>52</v>
      </c>
      <c r="G440" t="s">
        <v>76</v>
      </c>
      <c r="H440" t="s">
        <v>41</v>
      </c>
      <c r="I440">
        <v>98</v>
      </c>
      <c r="J440" s="3">
        <v>4302.01</v>
      </c>
      <c r="K440" s="3">
        <f>Table1[[#This Row],[Quantity]]*Table1[[#This Row],[Unit_Price]]</f>
        <v>421596.98000000004</v>
      </c>
      <c r="L440" s="3">
        <v>29889.11</v>
      </c>
      <c r="M440" s="3">
        <f>Table1[[#This Row],[Gross_Sales]]-Table1[[#This Row],[Discount]]</f>
        <v>391707.87000000005</v>
      </c>
      <c r="N440" s="3">
        <v>297305.94</v>
      </c>
      <c r="O440" s="3">
        <v>9432.6299999999992</v>
      </c>
      <c r="P440" s="3">
        <v>27215.97</v>
      </c>
      <c r="Q440" s="3">
        <v>20670.810000000001</v>
      </c>
      <c r="R440" s="3">
        <v>9962.73</v>
      </c>
      <c r="S440" s="3">
        <f>SUM(Table1[[#This Row],[Product_Cost]:[Other_Cost]])</f>
        <v>364588.08</v>
      </c>
      <c r="T440" s="3">
        <f>Table1[[#This Row],[Net_Sales]]-Table1[[#This Row],[Product_Cost]]</f>
        <v>94401.930000000051</v>
      </c>
      <c r="U440" s="3">
        <f>Table1[[#This Row],[Net_Sales]]-Table1[[#This Row],[Total_Cost]]</f>
        <v>27119.790000000037</v>
      </c>
      <c r="V440" s="4">
        <f>Table1[[#This Row],[Net_Profit]]/Table1[[#This Row],[Net_Sales]]</f>
        <v>6.9234733527309605E-2</v>
      </c>
      <c r="W440" t="s">
        <v>33</v>
      </c>
      <c r="X440" t="s">
        <v>443</v>
      </c>
      <c r="Y440">
        <v>4</v>
      </c>
      <c r="Z440" t="str">
        <f>IF(Table1[[#This Row],[Month_No]]&lt;=6, "H1","H2")</f>
        <v>H1</v>
      </c>
    </row>
    <row r="441" spans="1:26" x14ac:dyDescent="0.25">
      <c r="A441" s="2">
        <v>45771</v>
      </c>
      <c r="B441" t="s">
        <v>517</v>
      </c>
      <c r="C441" t="s">
        <v>107</v>
      </c>
      <c r="D441" t="s">
        <v>74</v>
      </c>
      <c r="E441" t="s">
        <v>75</v>
      </c>
      <c r="F441" t="s">
        <v>46</v>
      </c>
      <c r="G441" t="s">
        <v>40</v>
      </c>
      <c r="H441" t="s">
        <v>41</v>
      </c>
      <c r="I441">
        <v>27</v>
      </c>
      <c r="J441" s="3">
        <v>5433.53</v>
      </c>
      <c r="K441" s="3">
        <f>Table1[[#This Row],[Quantity]]*Table1[[#This Row],[Unit_Price]]</f>
        <v>146705.31</v>
      </c>
      <c r="L441" s="3">
        <v>13828.32</v>
      </c>
      <c r="M441" s="3">
        <f>Table1[[#This Row],[Gross_Sales]]-Table1[[#This Row],[Discount]]</f>
        <v>132876.99</v>
      </c>
      <c r="N441" s="3">
        <v>98461.98</v>
      </c>
      <c r="O441" s="3">
        <v>4299.34</v>
      </c>
      <c r="P441" s="3">
        <v>7626.62</v>
      </c>
      <c r="Q441" s="3">
        <v>5876.67</v>
      </c>
      <c r="R441" s="3">
        <v>3734.97</v>
      </c>
      <c r="S441" s="3">
        <f>SUM(Table1[[#This Row],[Product_Cost]:[Other_Cost]])</f>
        <v>119999.57999999999</v>
      </c>
      <c r="T441" s="3">
        <f>Table1[[#This Row],[Net_Sales]]-Table1[[#This Row],[Product_Cost]]</f>
        <v>34415.009999999995</v>
      </c>
      <c r="U441" s="3">
        <f>Table1[[#This Row],[Net_Sales]]-Table1[[#This Row],[Total_Cost]]</f>
        <v>12877.410000000003</v>
      </c>
      <c r="V441" s="4">
        <f>Table1[[#This Row],[Net_Profit]]/Table1[[#This Row],[Net_Sales]]</f>
        <v>9.6912264493649383E-2</v>
      </c>
      <c r="W441" t="s">
        <v>33</v>
      </c>
      <c r="X441" t="s">
        <v>443</v>
      </c>
      <c r="Y441">
        <v>4</v>
      </c>
      <c r="Z441" t="str">
        <f>IF(Table1[[#This Row],[Month_No]]&lt;=6, "H1","H2")</f>
        <v>H1</v>
      </c>
    </row>
    <row r="442" spans="1:26" x14ac:dyDescent="0.25">
      <c r="A442" s="2">
        <v>45771</v>
      </c>
      <c r="B442" t="s">
        <v>518</v>
      </c>
      <c r="C442" t="s">
        <v>63</v>
      </c>
      <c r="D442" t="s">
        <v>28</v>
      </c>
      <c r="E442" t="s">
        <v>29</v>
      </c>
      <c r="F442" t="s">
        <v>52</v>
      </c>
      <c r="G442" t="s">
        <v>71</v>
      </c>
      <c r="H442" t="s">
        <v>41</v>
      </c>
      <c r="I442">
        <v>119</v>
      </c>
      <c r="J442" s="3">
        <v>1174.98</v>
      </c>
      <c r="K442" s="3">
        <f>Table1[[#This Row],[Quantity]]*Table1[[#This Row],[Unit_Price]]</f>
        <v>139822.62</v>
      </c>
      <c r="L442" s="3">
        <v>9532.8700000000008</v>
      </c>
      <c r="M442" s="3">
        <f>Table1[[#This Row],[Gross_Sales]]-Table1[[#This Row],[Discount]]</f>
        <v>130289.75</v>
      </c>
      <c r="N442" s="3">
        <v>77691.66</v>
      </c>
      <c r="O442" s="3">
        <v>3127.54</v>
      </c>
      <c r="P442" s="3">
        <v>8225.69</v>
      </c>
      <c r="Q442" s="3">
        <v>7107.06</v>
      </c>
      <c r="R442" s="3">
        <v>3818.08</v>
      </c>
      <c r="S442" s="3">
        <f>SUM(Table1[[#This Row],[Product_Cost]:[Other_Cost]])</f>
        <v>99970.03</v>
      </c>
      <c r="T442" s="3">
        <f>Table1[[#This Row],[Net_Sales]]-Table1[[#This Row],[Product_Cost]]</f>
        <v>52598.09</v>
      </c>
      <c r="U442" s="3">
        <f>Table1[[#This Row],[Net_Sales]]-Table1[[#This Row],[Total_Cost]]</f>
        <v>30319.72</v>
      </c>
      <c r="V442" s="4">
        <f>Table1[[#This Row],[Net_Profit]]/Table1[[#This Row],[Net_Sales]]</f>
        <v>0.23270994072826146</v>
      </c>
      <c r="W442" t="s">
        <v>33</v>
      </c>
      <c r="X442" t="s">
        <v>443</v>
      </c>
      <c r="Y442">
        <v>4</v>
      </c>
      <c r="Z442" t="str">
        <f>IF(Table1[[#This Row],[Month_No]]&lt;=6, "H1","H2")</f>
        <v>H1</v>
      </c>
    </row>
    <row r="443" spans="1:26" x14ac:dyDescent="0.25">
      <c r="A443" s="2">
        <v>45772</v>
      </c>
      <c r="B443" t="s">
        <v>519</v>
      </c>
      <c r="C443" t="s">
        <v>83</v>
      </c>
      <c r="D443" t="s">
        <v>37</v>
      </c>
      <c r="E443" t="s">
        <v>38</v>
      </c>
      <c r="F443" t="s">
        <v>30</v>
      </c>
      <c r="G443" t="s">
        <v>71</v>
      </c>
      <c r="H443" t="s">
        <v>59</v>
      </c>
      <c r="I443">
        <v>48</v>
      </c>
      <c r="J443" s="3">
        <v>4376.7299999999996</v>
      </c>
      <c r="K443" s="3">
        <f>Table1[[#This Row],[Quantity]]*Table1[[#This Row],[Unit_Price]]</f>
        <v>210083.03999999998</v>
      </c>
      <c r="L443" s="3">
        <v>12330.21</v>
      </c>
      <c r="M443" s="3">
        <f>Table1[[#This Row],[Gross_Sales]]-Table1[[#This Row],[Discount]]</f>
        <v>197752.83</v>
      </c>
      <c r="N443" s="3">
        <v>138984.98000000001</v>
      </c>
      <c r="O443" s="3">
        <v>6521.03</v>
      </c>
      <c r="P443" s="3">
        <v>14337.59</v>
      </c>
      <c r="Q443" s="3">
        <v>10852.62</v>
      </c>
      <c r="R443" s="3">
        <v>4362.6099999999997</v>
      </c>
      <c r="S443" s="3">
        <f>SUM(Table1[[#This Row],[Product_Cost]:[Other_Cost]])</f>
        <v>175058.83</v>
      </c>
      <c r="T443" s="3">
        <f>Table1[[#This Row],[Net_Sales]]-Table1[[#This Row],[Product_Cost]]</f>
        <v>58767.849999999977</v>
      </c>
      <c r="U443" s="3">
        <f>Table1[[#This Row],[Net_Sales]]-Table1[[#This Row],[Total_Cost]]</f>
        <v>22694</v>
      </c>
      <c r="V443" s="4">
        <f>Table1[[#This Row],[Net_Profit]]/Table1[[#This Row],[Net_Sales]]</f>
        <v>0.11475941962499349</v>
      </c>
      <c r="W443" t="s">
        <v>33</v>
      </c>
      <c r="X443" t="s">
        <v>443</v>
      </c>
      <c r="Y443">
        <v>4</v>
      </c>
      <c r="Z443" t="str">
        <f>IF(Table1[[#This Row],[Month_No]]&lt;=6, "H1","H2")</f>
        <v>H1</v>
      </c>
    </row>
    <row r="444" spans="1:26" x14ac:dyDescent="0.25">
      <c r="A444" s="2">
        <v>45772</v>
      </c>
      <c r="B444" t="s">
        <v>520</v>
      </c>
      <c r="C444" t="s">
        <v>43</v>
      </c>
      <c r="D444" t="s">
        <v>85</v>
      </c>
      <c r="E444" t="s">
        <v>57</v>
      </c>
      <c r="F444" t="s">
        <v>46</v>
      </c>
      <c r="G444" t="s">
        <v>71</v>
      </c>
      <c r="H444" t="s">
        <v>41</v>
      </c>
      <c r="I444">
        <v>101</v>
      </c>
      <c r="J444" s="3">
        <v>1906.46</v>
      </c>
      <c r="K444" s="3">
        <f>Table1[[#This Row],[Quantity]]*Table1[[#This Row],[Unit_Price]]</f>
        <v>192552.46</v>
      </c>
      <c r="L444" s="3">
        <v>14983.58</v>
      </c>
      <c r="M444" s="3">
        <f>Table1[[#This Row],[Gross_Sales]]-Table1[[#This Row],[Discount]]</f>
        <v>177568.88</v>
      </c>
      <c r="N444" s="3">
        <v>128795.81</v>
      </c>
      <c r="O444" s="3">
        <v>5770.87</v>
      </c>
      <c r="P444" s="3">
        <v>13240.84</v>
      </c>
      <c r="Q444" s="3">
        <v>6521.98</v>
      </c>
      <c r="R444" s="3">
        <v>4209.4799999999996</v>
      </c>
      <c r="S444" s="3">
        <f>SUM(Table1[[#This Row],[Product_Cost]:[Other_Cost]])</f>
        <v>158538.98000000001</v>
      </c>
      <c r="T444" s="3">
        <f>Table1[[#This Row],[Net_Sales]]-Table1[[#This Row],[Product_Cost]]</f>
        <v>48773.070000000007</v>
      </c>
      <c r="U444" s="3">
        <f>Table1[[#This Row],[Net_Sales]]-Table1[[#This Row],[Total_Cost]]</f>
        <v>19029.899999999994</v>
      </c>
      <c r="V444" s="4">
        <f>Table1[[#This Row],[Net_Profit]]/Table1[[#This Row],[Net_Sales]]</f>
        <v>0.10716911657042605</v>
      </c>
      <c r="W444" t="s">
        <v>33</v>
      </c>
      <c r="X444" t="s">
        <v>443</v>
      </c>
      <c r="Y444">
        <v>4</v>
      </c>
      <c r="Z444" t="str">
        <f>IF(Table1[[#This Row],[Month_No]]&lt;=6, "H1","H2")</f>
        <v>H1</v>
      </c>
    </row>
    <row r="445" spans="1:26" x14ac:dyDescent="0.25">
      <c r="A445" s="2">
        <v>45772</v>
      </c>
      <c r="B445" t="s">
        <v>521</v>
      </c>
      <c r="C445" t="s">
        <v>117</v>
      </c>
      <c r="D445" t="s">
        <v>28</v>
      </c>
      <c r="E445" t="s">
        <v>29</v>
      </c>
      <c r="F445" t="s">
        <v>30</v>
      </c>
      <c r="G445" t="s">
        <v>76</v>
      </c>
      <c r="H445" t="s">
        <v>41</v>
      </c>
      <c r="I445">
        <v>121</v>
      </c>
      <c r="J445" s="3">
        <v>1152.18</v>
      </c>
      <c r="K445" s="3">
        <f>Table1[[#This Row],[Quantity]]*Table1[[#This Row],[Unit_Price]]</f>
        <v>139413.78</v>
      </c>
      <c r="L445" s="3">
        <v>12056.39</v>
      </c>
      <c r="M445" s="3">
        <f>Table1[[#This Row],[Gross_Sales]]-Table1[[#This Row],[Discount]]</f>
        <v>127357.39</v>
      </c>
      <c r="N445" s="3">
        <v>76434.48</v>
      </c>
      <c r="O445" s="3">
        <v>4747.66</v>
      </c>
      <c r="P445" s="3">
        <v>8972.6299999999992</v>
      </c>
      <c r="Q445" s="3">
        <v>6301.24</v>
      </c>
      <c r="R445" s="3">
        <v>3810.12</v>
      </c>
      <c r="S445" s="3">
        <f>SUM(Table1[[#This Row],[Product_Cost]:[Other_Cost]])</f>
        <v>100266.13</v>
      </c>
      <c r="T445" s="3">
        <f>Table1[[#This Row],[Net_Sales]]-Table1[[#This Row],[Product_Cost]]</f>
        <v>50922.91</v>
      </c>
      <c r="U445" s="3">
        <f>Table1[[#This Row],[Net_Sales]]-Table1[[#This Row],[Total_Cost]]</f>
        <v>27091.259999999995</v>
      </c>
      <c r="V445" s="4">
        <f>Table1[[#This Row],[Net_Profit]]/Table1[[#This Row],[Net_Sales]]</f>
        <v>0.21271839820209879</v>
      </c>
      <c r="W445" t="s">
        <v>33</v>
      </c>
      <c r="X445" t="s">
        <v>443</v>
      </c>
      <c r="Y445">
        <v>4</v>
      </c>
      <c r="Z445" t="str">
        <f>IF(Table1[[#This Row],[Month_No]]&lt;=6, "H1","H2")</f>
        <v>H1</v>
      </c>
    </row>
    <row r="446" spans="1:26" x14ac:dyDescent="0.25">
      <c r="A446" s="2">
        <v>45773</v>
      </c>
      <c r="B446" t="s">
        <v>522</v>
      </c>
      <c r="C446" t="s">
        <v>70</v>
      </c>
      <c r="D446" t="s">
        <v>28</v>
      </c>
      <c r="E446" t="s">
        <v>29</v>
      </c>
      <c r="F446" t="s">
        <v>52</v>
      </c>
      <c r="G446" t="s">
        <v>61</v>
      </c>
      <c r="H446" t="s">
        <v>41</v>
      </c>
      <c r="I446">
        <v>107</v>
      </c>
      <c r="J446" s="3">
        <v>1142.02</v>
      </c>
      <c r="K446" s="3">
        <f>Table1[[#This Row],[Quantity]]*Table1[[#This Row],[Unit_Price]]</f>
        <v>122196.14</v>
      </c>
      <c r="L446" s="3">
        <v>7971.95</v>
      </c>
      <c r="M446" s="3">
        <f>Table1[[#This Row],[Gross_Sales]]-Table1[[#This Row],[Discount]]</f>
        <v>114224.19</v>
      </c>
      <c r="N446" s="3">
        <v>68062.42</v>
      </c>
      <c r="O446" s="3">
        <v>2748.61</v>
      </c>
      <c r="P446" s="3">
        <v>8510.98</v>
      </c>
      <c r="Q446" s="3">
        <v>4238.8599999999997</v>
      </c>
      <c r="R446" s="3">
        <v>3397.78</v>
      </c>
      <c r="S446" s="3">
        <f>SUM(Table1[[#This Row],[Product_Cost]:[Other_Cost]])</f>
        <v>86958.65</v>
      </c>
      <c r="T446" s="3">
        <f>Table1[[#This Row],[Net_Sales]]-Table1[[#This Row],[Product_Cost]]</f>
        <v>46161.770000000004</v>
      </c>
      <c r="U446" s="3">
        <f>Table1[[#This Row],[Net_Sales]]-Table1[[#This Row],[Total_Cost]]</f>
        <v>27265.540000000008</v>
      </c>
      <c r="V446" s="4">
        <f>Table1[[#This Row],[Net_Profit]]/Table1[[#This Row],[Net_Sales]]</f>
        <v>0.23870197722566477</v>
      </c>
      <c r="W446" t="s">
        <v>33</v>
      </c>
      <c r="X446" t="s">
        <v>443</v>
      </c>
      <c r="Y446">
        <v>4</v>
      </c>
      <c r="Z446" t="str">
        <f>IF(Table1[[#This Row],[Month_No]]&lt;=6, "H1","H2")</f>
        <v>H1</v>
      </c>
    </row>
    <row r="447" spans="1:26" x14ac:dyDescent="0.25">
      <c r="A447" s="2">
        <v>45773</v>
      </c>
      <c r="B447" t="s">
        <v>523</v>
      </c>
      <c r="C447" t="s">
        <v>83</v>
      </c>
      <c r="D447" t="s">
        <v>37</v>
      </c>
      <c r="E447" t="s">
        <v>38</v>
      </c>
      <c r="F447" t="s">
        <v>46</v>
      </c>
      <c r="G447" t="s">
        <v>58</v>
      </c>
      <c r="H447" t="s">
        <v>47</v>
      </c>
      <c r="I447">
        <v>94</v>
      </c>
      <c r="J447" s="3">
        <v>4599.13</v>
      </c>
      <c r="K447" s="3">
        <f>Table1[[#This Row],[Quantity]]*Table1[[#This Row],[Unit_Price]]</f>
        <v>432318.22000000003</v>
      </c>
      <c r="L447" s="3">
        <v>29509.91</v>
      </c>
      <c r="M447" s="3">
        <f>Table1[[#This Row],[Gross_Sales]]-Table1[[#This Row],[Discount]]</f>
        <v>402808.31000000006</v>
      </c>
      <c r="N447" s="3">
        <v>294647.28000000003</v>
      </c>
      <c r="O447" s="3">
        <v>12592.14</v>
      </c>
      <c r="P447" s="3">
        <v>29435.19</v>
      </c>
      <c r="Q447" s="3">
        <v>15072.58</v>
      </c>
      <c r="R447" s="3">
        <v>10787.85</v>
      </c>
      <c r="S447" s="3">
        <f>SUM(Table1[[#This Row],[Product_Cost]:[Other_Cost]])</f>
        <v>362535.04000000004</v>
      </c>
      <c r="T447" s="3">
        <f>Table1[[#This Row],[Net_Sales]]-Table1[[#This Row],[Product_Cost]]</f>
        <v>108161.03000000003</v>
      </c>
      <c r="U447" s="3">
        <f>Table1[[#This Row],[Net_Sales]]-Table1[[#This Row],[Total_Cost]]</f>
        <v>40273.270000000019</v>
      </c>
      <c r="V447" s="4">
        <f>Table1[[#This Row],[Net_Profit]]/Table1[[#This Row],[Net_Sales]]</f>
        <v>9.9981229284966874E-2</v>
      </c>
      <c r="W447" t="s">
        <v>72</v>
      </c>
      <c r="X447" t="s">
        <v>443</v>
      </c>
      <c r="Y447">
        <v>4</v>
      </c>
      <c r="Z447" t="str">
        <f>IF(Table1[[#This Row],[Month_No]]&lt;=6, "H1","H2")</f>
        <v>H1</v>
      </c>
    </row>
    <row r="448" spans="1:26" x14ac:dyDescent="0.25">
      <c r="A448" s="2">
        <v>45773</v>
      </c>
      <c r="B448" t="s">
        <v>524</v>
      </c>
      <c r="C448" t="s">
        <v>78</v>
      </c>
      <c r="D448" t="s">
        <v>74</v>
      </c>
      <c r="E448" t="s">
        <v>75</v>
      </c>
      <c r="F448" t="s">
        <v>52</v>
      </c>
      <c r="G448" t="s">
        <v>71</v>
      </c>
      <c r="H448" t="s">
        <v>41</v>
      </c>
      <c r="I448">
        <v>54</v>
      </c>
      <c r="J448" s="3">
        <v>5672.96</v>
      </c>
      <c r="K448" s="3">
        <f>Table1[[#This Row],[Quantity]]*Table1[[#This Row],[Unit_Price]]</f>
        <v>306339.84000000003</v>
      </c>
      <c r="L448" s="3">
        <v>24836.98</v>
      </c>
      <c r="M448" s="3">
        <f>Table1[[#This Row],[Gross_Sales]]-Table1[[#This Row],[Discount]]</f>
        <v>281502.86000000004</v>
      </c>
      <c r="N448" s="3">
        <v>213235.81</v>
      </c>
      <c r="O448" s="3">
        <v>7335.16</v>
      </c>
      <c r="P448" s="3">
        <v>18235.12</v>
      </c>
      <c r="Q448" s="3">
        <v>14716.56</v>
      </c>
      <c r="R448" s="3">
        <v>6787.65</v>
      </c>
      <c r="S448" s="3">
        <f>SUM(Table1[[#This Row],[Product_Cost]:[Other_Cost]])</f>
        <v>260310.3</v>
      </c>
      <c r="T448" s="3">
        <f>Table1[[#This Row],[Net_Sales]]-Table1[[#This Row],[Product_Cost]]</f>
        <v>68267.050000000047</v>
      </c>
      <c r="U448" s="3">
        <f>Table1[[#This Row],[Net_Sales]]-Table1[[#This Row],[Total_Cost]]</f>
        <v>21192.560000000056</v>
      </c>
      <c r="V448" s="4">
        <f>Table1[[#This Row],[Net_Profit]]/Table1[[#This Row],[Net_Sales]]</f>
        <v>7.528364010227126E-2</v>
      </c>
      <c r="W448" t="s">
        <v>33</v>
      </c>
      <c r="X448" t="s">
        <v>443</v>
      </c>
      <c r="Y448">
        <v>4</v>
      </c>
      <c r="Z448" t="str">
        <f>IF(Table1[[#This Row],[Month_No]]&lt;=6, "H1","H2")</f>
        <v>H1</v>
      </c>
    </row>
    <row r="449" spans="1:26" x14ac:dyDescent="0.25">
      <c r="A449" s="2">
        <v>45774</v>
      </c>
      <c r="B449" t="s">
        <v>525</v>
      </c>
      <c r="C449" t="s">
        <v>117</v>
      </c>
      <c r="D449" t="s">
        <v>37</v>
      </c>
      <c r="E449" t="s">
        <v>38</v>
      </c>
      <c r="F449" t="s">
        <v>52</v>
      </c>
      <c r="G449" t="s">
        <v>31</v>
      </c>
      <c r="H449" t="s">
        <v>41</v>
      </c>
      <c r="I449">
        <v>80</v>
      </c>
      <c r="J449" s="3">
        <v>4603.47</v>
      </c>
      <c r="K449" s="3">
        <f>Table1[[#This Row],[Quantity]]*Table1[[#This Row],[Unit_Price]]</f>
        <v>368277.60000000003</v>
      </c>
      <c r="L449" s="3">
        <v>27043.439999999999</v>
      </c>
      <c r="M449" s="3">
        <f>Table1[[#This Row],[Gross_Sales]]-Table1[[#This Row],[Discount]]</f>
        <v>341234.16000000003</v>
      </c>
      <c r="N449" s="3">
        <v>252942.85</v>
      </c>
      <c r="O449" s="3">
        <v>8258.44</v>
      </c>
      <c r="P449" s="3">
        <v>22453</v>
      </c>
      <c r="Q449" s="3">
        <v>15795.96</v>
      </c>
      <c r="R449" s="3">
        <v>6889.4</v>
      </c>
      <c r="S449" s="3">
        <f>SUM(Table1[[#This Row],[Product_Cost]:[Other_Cost]])</f>
        <v>306339.65000000008</v>
      </c>
      <c r="T449" s="3">
        <f>Table1[[#This Row],[Net_Sales]]-Table1[[#This Row],[Product_Cost]]</f>
        <v>88291.310000000027</v>
      </c>
      <c r="U449" s="3">
        <f>Table1[[#This Row],[Net_Sales]]-Table1[[#This Row],[Total_Cost]]</f>
        <v>34894.509999999951</v>
      </c>
      <c r="V449" s="4">
        <f>Table1[[#This Row],[Net_Profit]]/Table1[[#This Row],[Net_Sales]]</f>
        <v>0.1022597210080021</v>
      </c>
      <c r="W449" t="s">
        <v>33</v>
      </c>
      <c r="X449" t="s">
        <v>443</v>
      </c>
      <c r="Y449">
        <v>4</v>
      </c>
      <c r="Z449" t="str">
        <f>IF(Table1[[#This Row],[Month_No]]&lt;=6, "H1","H2")</f>
        <v>H1</v>
      </c>
    </row>
    <row r="450" spans="1:26" x14ac:dyDescent="0.25">
      <c r="A450" s="2">
        <v>45774</v>
      </c>
      <c r="B450" t="s">
        <v>526</v>
      </c>
      <c r="C450" t="s">
        <v>70</v>
      </c>
      <c r="D450" t="s">
        <v>100</v>
      </c>
      <c r="E450" t="s">
        <v>75</v>
      </c>
      <c r="F450" t="s">
        <v>52</v>
      </c>
      <c r="G450" t="s">
        <v>31</v>
      </c>
      <c r="H450" t="s">
        <v>41</v>
      </c>
      <c r="I450">
        <v>38</v>
      </c>
      <c r="J450" s="3">
        <v>6802.64</v>
      </c>
      <c r="K450" s="3">
        <f>Table1[[#This Row],[Quantity]]*Table1[[#This Row],[Unit_Price]]</f>
        <v>258500.32</v>
      </c>
      <c r="L450" s="3">
        <v>21906.23</v>
      </c>
      <c r="M450" s="3">
        <f>Table1[[#This Row],[Gross_Sales]]-Table1[[#This Row],[Discount]]</f>
        <v>236594.09</v>
      </c>
      <c r="N450" s="3">
        <v>145514.03</v>
      </c>
      <c r="O450" s="3">
        <v>5634.76</v>
      </c>
      <c r="P450" s="3">
        <v>16678.57</v>
      </c>
      <c r="Q450" s="3">
        <v>12557.67</v>
      </c>
      <c r="R450" s="3">
        <v>5852.83</v>
      </c>
      <c r="S450" s="3">
        <f>SUM(Table1[[#This Row],[Product_Cost]:[Other_Cost]])</f>
        <v>186237.86000000002</v>
      </c>
      <c r="T450" s="3">
        <f>Table1[[#This Row],[Net_Sales]]-Table1[[#This Row],[Product_Cost]]</f>
        <v>91080.06</v>
      </c>
      <c r="U450" s="3">
        <f>Table1[[#This Row],[Net_Sales]]-Table1[[#This Row],[Total_Cost]]</f>
        <v>50356.229999999981</v>
      </c>
      <c r="V450" s="4">
        <f>Table1[[#This Row],[Net_Profit]]/Table1[[#This Row],[Net_Sales]]</f>
        <v>0.21283807215979056</v>
      </c>
      <c r="W450" t="s">
        <v>33</v>
      </c>
      <c r="X450" t="s">
        <v>443</v>
      </c>
      <c r="Y450">
        <v>4</v>
      </c>
      <c r="Z450" t="str">
        <f>IF(Table1[[#This Row],[Month_No]]&lt;=6, "H1","H2")</f>
        <v>H1</v>
      </c>
    </row>
    <row r="451" spans="1:26" x14ac:dyDescent="0.25">
      <c r="A451" s="2">
        <v>45774</v>
      </c>
      <c r="B451" t="s">
        <v>527</v>
      </c>
      <c r="C451" t="s">
        <v>43</v>
      </c>
      <c r="D451" t="s">
        <v>81</v>
      </c>
      <c r="E451" t="s">
        <v>45</v>
      </c>
      <c r="F451" t="s">
        <v>30</v>
      </c>
      <c r="G451" t="s">
        <v>64</v>
      </c>
      <c r="H451" t="s">
        <v>59</v>
      </c>
      <c r="I451">
        <v>33</v>
      </c>
      <c r="J451" s="3">
        <v>6593.52</v>
      </c>
      <c r="K451" s="3">
        <f>Table1[[#This Row],[Quantity]]*Table1[[#This Row],[Unit_Price]]</f>
        <v>217586.16</v>
      </c>
      <c r="L451" s="3">
        <v>15553.05</v>
      </c>
      <c r="M451" s="3">
        <f>Table1[[#This Row],[Gross_Sales]]-Table1[[#This Row],[Discount]]</f>
        <v>202033.11000000002</v>
      </c>
      <c r="N451" s="3">
        <v>119779.3</v>
      </c>
      <c r="O451" s="3">
        <v>7689.11</v>
      </c>
      <c r="P451" s="3">
        <v>12528.43</v>
      </c>
      <c r="Q451" s="3">
        <v>7759.8</v>
      </c>
      <c r="R451" s="3">
        <v>4867.78</v>
      </c>
      <c r="S451" s="3">
        <f>SUM(Table1[[#This Row],[Product_Cost]:[Other_Cost]])</f>
        <v>152624.41999999998</v>
      </c>
      <c r="T451" s="3">
        <f>Table1[[#This Row],[Net_Sales]]-Table1[[#This Row],[Product_Cost]]</f>
        <v>82253.810000000012</v>
      </c>
      <c r="U451" s="3">
        <f>Table1[[#This Row],[Net_Sales]]-Table1[[#This Row],[Total_Cost]]</f>
        <v>49408.690000000031</v>
      </c>
      <c r="V451" s="4">
        <f>Table1[[#This Row],[Net_Profit]]/Table1[[#This Row],[Net_Sales]]</f>
        <v>0.24455738962786855</v>
      </c>
      <c r="W451" t="s">
        <v>33</v>
      </c>
      <c r="X451" t="s">
        <v>443</v>
      </c>
      <c r="Y451">
        <v>4</v>
      </c>
      <c r="Z451" t="str">
        <f>IF(Table1[[#This Row],[Month_No]]&lt;=6, "H1","H2")</f>
        <v>H1</v>
      </c>
    </row>
    <row r="452" spans="1:26" x14ac:dyDescent="0.25">
      <c r="A452" s="2">
        <v>45774</v>
      </c>
      <c r="B452" t="s">
        <v>528</v>
      </c>
      <c r="C452" t="s">
        <v>117</v>
      </c>
      <c r="D452" t="s">
        <v>28</v>
      </c>
      <c r="E452" t="s">
        <v>29</v>
      </c>
      <c r="F452" t="s">
        <v>52</v>
      </c>
      <c r="G452" t="s">
        <v>40</v>
      </c>
      <c r="H452" t="s">
        <v>41</v>
      </c>
      <c r="I452">
        <v>110</v>
      </c>
      <c r="J452" s="3">
        <v>1116.8800000000001</v>
      </c>
      <c r="K452" s="3">
        <f>Table1[[#This Row],[Quantity]]*Table1[[#This Row],[Unit_Price]]</f>
        <v>122856.80000000002</v>
      </c>
      <c r="L452" s="3">
        <v>8187.67</v>
      </c>
      <c r="M452" s="3">
        <f>Table1[[#This Row],[Gross_Sales]]-Table1[[#This Row],[Discount]]</f>
        <v>114669.13000000002</v>
      </c>
      <c r="N452" s="3">
        <v>67689.61</v>
      </c>
      <c r="O452" s="3">
        <v>3104.92</v>
      </c>
      <c r="P452" s="3">
        <v>8023.67</v>
      </c>
      <c r="Q452" s="3">
        <v>4417.3599999999997</v>
      </c>
      <c r="R452" s="3">
        <v>2567.66</v>
      </c>
      <c r="S452" s="3">
        <f>SUM(Table1[[#This Row],[Product_Cost]:[Other_Cost]])</f>
        <v>85803.22</v>
      </c>
      <c r="T452" s="3">
        <f>Table1[[#This Row],[Net_Sales]]-Table1[[#This Row],[Product_Cost]]</f>
        <v>46979.520000000019</v>
      </c>
      <c r="U452" s="3">
        <f>Table1[[#This Row],[Net_Sales]]-Table1[[#This Row],[Total_Cost]]</f>
        <v>28865.910000000018</v>
      </c>
      <c r="V452" s="4">
        <f>Table1[[#This Row],[Net_Profit]]/Table1[[#This Row],[Net_Sales]]</f>
        <v>0.25173217935812381</v>
      </c>
      <c r="W452" t="s">
        <v>33</v>
      </c>
      <c r="X452" t="s">
        <v>443</v>
      </c>
      <c r="Y452">
        <v>4</v>
      </c>
      <c r="Z452" t="str">
        <f>IF(Table1[[#This Row],[Month_No]]&lt;=6, "H1","H2")</f>
        <v>H1</v>
      </c>
    </row>
    <row r="453" spans="1:26" x14ac:dyDescent="0.25">
      <c r="A453" s="2">
        <v>45774</v>
      </c>
      <c r="B453" t="s">
        <v>529</v>
      </c>
      <c r="C453" t="s">
        <v>36</v>
      </c>
      <c r="D453" t="s">
        <v>37</v>
      </c>
      <c r="E453" t="s">
        <v>38</v>
      </c>
      <c r="F453" t="s">
        <v>30</v>
      </c>
      <c r="G453" t="s">
        <v>58</v>
      </c>
      <c r="H453" t="s">
        <v>32</v>
      </c>
      <c r="I453">
        <v>90</v>
      </c>
      <c r="J453" s="3">
        <v>4250.8999999999996</v>
      </c>
      <c r="K453" s="3">
        <f>Table1[[#This Row],[Quantity]]*Table1[[#This Row],[Unit_Price]]</f>
        <v>382580.99999999994</v>
      </c>
      <c r="L453" s="3">
        <v>34357.49</v>
      </c>
      <c r="M453" s="3">
        <f>Table1[[#This Row],[Gross_Sales]]-Table1[[#This Row],[Discount]]</f>
        <v>348223.50999999995</v>
      </c>
      <c r="N453" s="3">
        <v>250402.81</v>
      </c>
      <c r="O453" s="3">
        <v>13225.61</v>
      </c>
      <c r="P453" s="3">
        <v>20019.59</v>
      </c>
      <c r="Q453" s="3">
        <v>18469.060000000001</v>
      </c>
      <c r="R453" s="3">
        <v>9412.17</v>
      </c>
      <c r="S453" s="3">
        <f>SUM(Table1[[#This Row],[Product_Cost]:[Other_Cost]])</f>
        <v>311529.24</v>
      </c>
      <c r="T453" s="3">
        <f>Table1[[#This Row],[Net_Sales]]-Table1[[#This Row],[Product_Cost]]</f>
        <v>97820.699999999953</v>
      </c>
      <c r="U453" s="3">
        <f>Table1[[#This Row],[Net_Sales]]-Table1[[#This Row],[Total_Cost]]</f>
        <v>36694.26999999996</v>
      </c>
      <c r="V453" s="4">
        <f>Table1[[#This Row],[Net_Profit]]/Table1[[#This Row],[Net_Sales]]</f>
        <v>0.10537562498293113</v>
      </c>
      <c r="W453" t="s">
        <v>33</v>
      </c>
      <c r="X453" t="s">
        <v>443</v>
      </c>
      <c r="Y453">
        <v>4</v>
      </c>
      <c r="Z453" t="str">
        <f>IF(Table1[[#This Row],[Month_No]]&lt;=6, "H1","H2")</f>
        <v>H1</v>
      </c>
    </row>
    <row r="454" spans="1:26" x14ac:dyDescent="0.25">
      <c r="A454" s="2">
        <v>45774</v>
      </c>
      <c r="B454" t="s">
        <v>530</v>
      </c>
      <c r="C454" t="s">
        <v>55</v>
      </c>
      <c r="D454" t="s">
        <v>68</v>
      </c>
      <c r="E454" t="s">
        <v>29</v>
      </c>
      <c r="F454" t="s">
        <v>30</v>
      </c>
      <c r="G454" t="s">
        <v>61</v>
      </c>
      <c r="H454" t="s">
        <v>47</v>
      </c>
      <c r="I454">
        <v>119</v>
      </c>
      <c r="J454" s="3">
        <v>379.35</v>
      </c>
      <c r="K454" s="3">
        <f>Table1[[#This Row],[Quantity]]*Table1[[#This Row],[Unit_Price]]</f>
        <v>45142.65</v>
      </c>
      <c r="L454" s="3">
        <v>3523.39</v>
      </c>
      <c r="M454" s="3">
        <f>Table1[[#This Row],[Gross_Sales]]-Table1[[#This Row],[Discount]]</f>
        <v>41619.26</v>
      </c>
      <c r="N454" s="3">
        <v>32032.19</v>
      </c>
      <c r="O454" s="3">
        <v>1584.02</v>
      </c>
      <c r="P454" s="3">
        <v>2525.81</v>
      </c>
      <c r="Q454" s="3">
        <v>2038.61</v>
      </c>
      <c r="R454" s="3">
        <v>1216.21</v>
      </c>
      <c r="S454" s="3">
        <f>SUM(Table1[[#This Row],[Product_Cost]:[Other_Cost]])</f>
        <v>39396.839999999997</v>
      </c>
      <c r="T454" s="3">
        <f>Table1[[#This Row],[Net_Sales]]-Table1[[#This Row],[Product_Cost]]</f>
        <v>9587.0700000000033</v>
      </c>
      <c r="U454" s="3">
        <f>Table1[[#This Row],[Net_Sales]]-Table1[[#This Row],[Total_Cost]]</f>
        <v>2222.4200000000055</v>
      </c>
      <c r="V454" s="4">
        <f>Table1[[#This Row],[Net_Profit]]/Table1[[#This Row],[Net_Sales]]</f>
        <v>5.3398835058576379E-2</v>
      </c>
      <c r="W454" t="s">
        <v>33</v>
      </c>
      <c r="X454" t="s">
        <v>443</v>
      </c>
      <c r="Y454">
        <v>4</v>
      </c>
      <c r="Z454" t="str">
        <f>IF(Table1[[#This Row],[Month_No]]&lt;=6, "H1","H2")</f>
        <v>H1</v>
      </c>
    </row>
    <row r="455" spans="1:26" x14ac:dyDescent="0.25">
      <c r="A455" s="2">
        <v>45774</v>
      </c>
      <c r="B455" t="s">
        <v>531</v>
      </c>
      <c r="C455" t="s">
        <v>78</v>
      </c>
      <c r="D455" t="s">
        <v>74</v>
      </c>
      <c r="E455" t="s">
        <v>75</v>
      </c>
      <c r="F455" t="s">
        <v>52</v>
      </c>
      <c r="G455" t="s">
        <v>86</v>
      </c>
      <c r="H455" t="s">
        <v>41</v>
      </c>
      <c r="I455">
        <v>94</v>
      </c>
      <c r="J455" s="3">
        <v>5495.53</v>
      </c>
      <c r="K455" s="3">
        <f>Table1[[#This Row],[Quantity]]*Table1[[#This Row],[Unit_Price]]</f>
        <v>516579.81999999995</v>
      </c>
      <c r="L455" s="3">
        <v>40134.83</v>
      </c>
      <c r="M455" s="3">
        <f>Table1[[#This Row],[Gross_Sales]]-Table1[[#This Row],[Discount]]</f>
        <v>476444.98999999993</v>
      </c>
      <c r="N455" s="3">
        <v>349082</v>
      </c>
      <c r="O455" s="3">
        <v>11186.34</v>
      </c>
      <c r="P455" s="3">
        <v>35712.730000000003</v>
      </c>
      <c r="Q455" s="3">
        <v>19737.53</v>
      </c>
      <c r="R455" s="3">
        <v>11318.66</v>
      </c>
      <c r="S455" s="3">
        <f>SUM(Table1[[#This Row],[Product_Cost]:[Other_Cost]])</f>
        <v>427037.25999999995</v>
      </c>
      <c r="T455" s="3">
        <f>Table1[[#This Row],[Net_Sales]]-Table1[[#This Row],[Product_Cost]]</f>
        <v>127362.98999999993</v>
      </c>
      <c r="U455" s="3">
        <f>Table1[[#This Row],[Net_Sales]]-Table1[[#This Row],[Total_Cost]]</f>
        <v>49407.729999999981</v>
      </c>
      <c r="V455" s="4">
        <f>Table1[[#This Row],[Net_Profit]]/Table1[[#This Row],[Net_Sales]]</f>
        <v>0.10370080709632394</v>
      </c>
      <c r="W455" t="s">
        <v>33</v>
      </c>
      <c r="X455" t="s">
        <v>443</v>
      </c>
      <c r="Y455">
        <v>4</v>
      </c>
      <c r="Z455" t="str">
        <f>IF(Table1[[#This Row],[Month_No]]&lt;=6, "H1","H2")</f>
        <v>H1</v>
      </c>
    </row>
    <row r="456" spans="1:26" x14ac:dyDescent="0.25">
      <c r="A456" s="2">
        <v>45775</v>
      </c>
      <c r="B456" t="s">
        <v>532</v>
      </c>
      <c r="C456" t="s">
        <v>83</v>
      </c>
      <c r="D456" t="s">
        <v>50</v>
      </c>
      <c r="E456" t="s">
        <v>51</v>
      </c>
      <c r="F456" t="s">
        <v>46</v>
      </c>
      <c r="G456" t="s">
        <v>40</v>
      </c>
      <c r="H456" t="s">
        <v>41</v>
      </c>
      <c r="I456">
        <v>82</v>
      </c>
      <c r="J456" s="3">
        <v>844.83</v>
      </c>
      <c r="K456" s="3">
        <f>Table1[[#This Row],[Quantity]]*Table1[[#This Row],[Unit_Price]]</f>
        <v>69276.06</v>
      </c>
      <c r="L456" s="3">
        <v>5588.1</v>
      </c>
      <c r="M456" s="3">
        <f>Table1[[#This Row],[Gross_Sales]]-Table1[[#This Row],[Discount]]</f>
        <v>63687.96</v>
      </c>
      <c r="N456" s="3">
        <v>43431.6</v>
      </c>
      <c r="O456" s="3">
        <v>2032.55</v>
      </c>
      <c r="P456" s="3">
        <v>3890.03</v>
      </c>
      <c r="Q456" s="3">
        <v>2352.88</v>
      </c>
      <c r="R456" s="3">
        <v>1337.23</v>
      </c>
      <c r="S456" s="3">
        <f>SUM(Table1[[#This Row],[Product_Cost]:[Other_Cost]])</f>
        <v>53044.29</v>
      </c>
      <c r="T456" s="3">
        <f>Table1[[#This Row],[Net_Sales]]-Table1[[#This Row],[Product_Cost]]</f>
        <v>20256.36</v>
      </c>
      <c r="U456" s="3">
        <f>Table1[[#This Row],[Net_Sales]]-Table1[[#This Row],[Total_Cost]]</f>
        <v>10643.669999999998</v>
      </c>
      <c r="V456" s="4">
        <f>Table1[[#This Row],[Net_Profit]]/Table1[[#This Row],[Net_Sales]]</f>
        <v>0.16712216877412933</v>
      </c>
      <c r="W456" t="s">
        <v>33</v>
      </c>
      <c r="X456" t="s">
        <v>443</v>
      </c>
      <c r="Y456">
        <v>4</v>
      </c>
      <c r="Z456" t="str">
        <f>IF(Table1[[#This Row],[Month_No]]&lt;=6, "H1","H2")</f>
        <v>H1</v>
      </c>
    </row>
    <row r="457" spans="1:26" x14ac:dyDescent="0.25">
      <c r="A457" s="2">
        <v>45775</v>
      </c>
      <c r="B457" t="s">
        <v>533</v>
      </c>
      <c r="C457" t="s">
        <v>49</v>
      </c>
      <c r="D457" t="s">
        <v>37</v>
      </c>
      <c r="E457" t="s">
        <v>38</v>
      </c>
      <c r="F457" t="s">
        <v>46</v>
      </c>
      <c r="G457" t="s">
        <v>31</v>
      </c>
      <c r="H457" t="s">
        <v>41</v>
      </c>
      <c r="I457">
        <v>93</v>
      </c>
      <c r="J457" s="3">
        <v>4380.74</v>
      </c>
      <c r="K457" s="3">
        <f>Table1[[#This Row],[Quantity]]*Table1[[#This Row],[Unit_Price]]</f>
        <v>407408.82</v>
      </c>
      <c r="L457" s="3">
        <v>32279.31</v>
      </c>
      <c r="M457" s="3">
        <f>Table1[[#This Row],[Gross_Sales]]-Table1[[#This Row],[Discount]]</f>
        <v>375129.51</v>
      </c>
      <c r="N457" s="3">
        <v>263218.02</v>
      </c>
      <c r="O457" s="3">
        <v>10865.76</v>
      </c>
      <c r="P457" s="3">
        <v>22910.84</v>
      </c>
      <c r="Q457" s="3">
        <v>17181.23</v>
      </c>
      <c r="R457" s="3">
        <v>7958.16</v>
      </c>
      <c r="S457" s="3">
        <f>SUM(Table1[[#This Row],[Product_Cost]:[Other_Cost]])</f>
        <v>322134.01</v>
      </c>
      <c r="T457" s="3">
        <f>Table1[[#This Row],[Net_Sales]]-Table1[[#This Row],[Product_Cost]]</f>
        <v>111911.48999999999</v>
      </c>
      <c r="U457" s="3">
        <f>Table1[[#This Row],[Net_Sales]]-Table1[[#This Row],[Total_Cost]]</f>
        <v>52995.5</v>
      </c>
      <c r="V457" s="4">
        <f>Table1[[#This Row],[Net_Profit]]/Table1[[#This Row],[Net_Sales]]</f>
        <v>0.14127254344772822</v>
      </c>
      <c r="W457" t="s">
        <v>33</v>
      </c>
      <c r="X457" t="s">
        <v>443</v>
      </c>
      <c r="Y457">
        <v>4</v>
      </c>
      <c r="Z457" t="str">
        <f>IF(Table1[[#This Row],[Month_No]]&lt;=6, "H1","H2")</f>
        <v>H1</v>
      </c>
    </row>
    <row r="458" spans="1:26" x14ac:dyDescent="0.25">
      <c r="A458" s="2">
        <v>45776</v>
      </c>
      <c r="B458" t="s">
        <v>534</v>
      </c>
      <c r="C458" t="s">
        <v>36</v>
      </c>
      <c r="D458" t="s">
        <v>37</v>
      </c>
      <c r="E458" t="s">
        <v>38</v>
      </c>
      <c r="F458" t="s">
        <v>52</v>
      </c>
      <c r="G458" t="s">
        <v>71</v>
      </c>
      <c r="H458" t="s">
        <v>41</v>
      </c>
      <c r="I458">
        <v>52</v>
      </c>
      <c r="J458" s="3">
        <v>4312.43</v>
      </c>
      <c r="K458" s="3">
        <f>Table1[[#This Row],[Quantity]]*Table1[[#This Row],[Unit_Price]]</f>
        <v>224246.36000000002</v>
      </c>
      <c r="L458" s="3">
        <v>14770.75</v>
      </c>
      <c r="M458" s="3">
        <f>Table1[[#This Row],[Gross_Sales]]-Table1[[#This Row],[Discount]]</f>
        <v>209475.61000000002</v>
      </c>
      <c r="N458" s="3">
        <v>156243.47</v>
      </c>
      <c r="O458" s="3">
        <v>5546.72</v>
      </c>
      <c r="P458" s="3">
        <v>11919.51</v>
      </c>
      <c r="Q458" s="3">
        <v>9827.1</v>
      </c>
      <c r="R458" s="3">
        <v>4712.45</v>
      </c>
      <c r="S458" s="3">
        <f>SUM(Table1[[#This Row],[Product_Cost]:[Other_Cost]])</f>
        <v>188249.25000000003</v>
      </c>
      <c r="T458" s="3">
        <f>Table1[[#This Row],[Net_Sales]]-Table1[[#This Row],[Product_Cost]]</f>
        <v>53232.140000000014</v>
      </c>
      <c r="U458" s="3">
        <f>Table1[[#This Row],[Net_Sales]]-Table1[[#This Row],[Total_Cost]]</f>
        <v>21226.359999999986</v>
      </c>
      <c r="V458" s="4">
        <f>Table1[[#This Row],[Net_Profit]]/Table1[[#This Row],[Net_Sales]]</f>
        <v>0.10133093776406707</v>
      </c>
      <c r="W458" t="s">
        <v>72</v>
      </c>
      <c r="X458" t="s">
        <v>443</v>
      </c>
      <c r="Y458">
        <v>4</v>
      </c>
      <c r="Z458" t="str">
        <f>IF(Table1[[#This Row],[Month_No]]&lt;=6, "H1","H2")</f>
        <v>H1</v>
      </c>
    </row>
    <row r="459" spans="1:26" x14ac:dyDescent="0.25">
      <c r="A459" s="2">
        <v>45776</v>
      </c>
      <c r="B459" t="s">
        <v>535</v>
      </c>
      <c r="C459" t="s">
        <v>27</v>
      </c>
      <c r="D459" t="s">
        <v>68</v>
      </c>
      <c r="E459" t="s">
        <v>29</v>
      </c>
      <c r="F459" t="s">
        <v>30</v>
      </c>
      <c r="G459" t="s">
        <v>86</v>
      </c>
      <c r="H459" t="s">
        <v>32</v>
      </c>
      <c r="I459">
        <v>128</v>
      </c>
      <c r="J459" s="3">
        <v>377.85</v>
      </c>
      <c r="K459" s="3">
        <f>Table1[[#This Row],[Quantity]]*Table1[[#This Row],[Unit_Price]]</f>
        <v>48364.800000000003</v>
      </c>
      <c r="L459" s="3">
        <v>4077.13</v>
      </c>
      <c r="M459" s="3">
        <f>Table1[[#This Row],[Gross_Sales]]-Table1[[#This Row],[Discount]]</f>
        <v>44287.670000000006</v>
      </c>
      <c r="N459" s="3">
        <v>33231.64</v>
      </c>
      <c r="O459" s="3">
        <v>1468.78</v>
      </c>
      <c r="P459" s="3">
        <v>3017.28</v>
      </c>
      <c r="Q459" s="3">
        <v>1633.11</v>
      </c>
      <c r="R459" s="3">
        <v>895.75</v>
      </c>
      <c r="S459" s="3">
        <f>SUM(Table1[[#This Row],[Product_Cost]:[Other_Cost]])</f>
        <v>40246.559999999998</v>
      </c>
      <c r="T459" s="3">
        <f>Table1[[#This Row],[Net_Sales]]-Table1[[#This Row],[Product_Cost]]</f>
        <v>11056.030000000006</v>
      </c>
      <c r="U459" s="3">
        <f>Table1[[#This Row],[Net_Sales]]-Table1[[#This Row],[Total_Cost]]</f>
        <v>4041.1100000000079</v>
      </c>
      <c r="V459" s="4">
        <f>Table1[[#This Row],[Net_Profit]]/Table1[[#This Row],[Net_Sales]]</f>
        <v>9.1246841389488478E-2</v>
      </c>
      <c r="W459" t="s">
        <v>33</v>
      </c>
      <c r="X459" t="s">
        <v>443</v>
      </c>
      <c r="Y459">
        <v>4</v>
      </c>
      <c r="Z459" t="str">
        <f>IF(Table1[[#This Row],[Month_No]]&lt;=6, "H1","H2")</f>
        <v>H1</v>
      </c>
    </row>
    <row r="460" spans="1:26" x14ac:dyDescent="0.25">
      <c r="A460" s="2">
        <v>45776</v>
      </c>
      <c r="B460" t="s">
        <v>536</v>
      </c>
      <c r="C460" t="s">
        <v>49</v>
      </c>
      <c r="D460" t="s">
        <v>56</v>
      </c>
      <c r="E460" t="s">
        <v>57</v>
      </c>
      <c r="F460" t="s">
        <v>46</v>
      </c>
      <c r="G460" t="s">
        <v>31</v>
      </c>
      <c r="H460" t="s">
        <v>41</v>
      </c>
      <c r="I460">
        <v>46</v>
      </c>
      <c r="J460" s="3">
        <v>3018.83</v>
      </c>
      <c r="K460" s="3">
        <f>Table1[[#This Row],[Quantity]]*Table1[[#This Row],[Unit_Price]]</f>
        <v>138866.18</v>
      </c>
      <c r="L460" s="3">
        <v>9979.2199999999993</v>
      </c>
      <c r="M460" s="3">
        <f>Table1[[#This Row],[Gross_Sales]]-Table1[[#This Row],[Discount]]</f>
        <v>128886.95999999999</v>
      </c>
      <c r="N460" s="3">
        <v>71944.800000000003</v>
      </c>
      <c r="O460" s="3">
        <v>3932.4</v>
      </c>
      <c r="P460" s="3">
        <v>8935.24</v>
      </c>
      <c r="Q460" s="3">
        <v>5262.63</v>
      </c>
      <c r="R460" s="3">
        <v>3832.52</v>
      </c>
      <c r="S460" s="3">
        <f>SUM(Table1[[#This Row],[Product_Cost]:[Other_Cost]])</f>
        <v>93907.590000000011</v>
      </c>
      <c r="T460" s="3">
        <f>Table1[[#This Row],[Net_Sales]]-Table1[[#This Row],[Product_Cost]]</f>
        <v>56942.159999999989</v>
      </c>
      <c r="U460" s="3">
        <f>Table1[[#This Row],[Net_Sales]]-Table1[[#This Row],[Total_Cost]]</f>
        <v>34979.369999999981</v>
      </c>
      <c r="V460" s="4">
        <f>Table1[[#This Row],[Net_Profit]]/Table1[[#This Row],[Net_Sales]]</f>
        <v>0.2713957253705106</v>
      </c>
      <c r="W460" t="s">
        <v>33</v>
      </c>
      <c r="X460" t="s">
        <v>443</v>
      </c>
      <c r="Y460">
        <v>4</v>
      </c>
      <c r="Z460" t="str">
        <f>IF(Table1[[#This Row],[Month_No]]&lt;=6, "H1","H2")</f>
        <v>H1</v>
      </c>
    </row>
    <row r="461" spans="1:26" x14ac:dyDescent="0.25">
      <c r="A461" s="2">
        <v>45776</v>
      </c>
      <c r="B461" t="s">
        <v>537</v>
      </c>
      <c r="C461" t="s">
        <v>43</v>
      </c>
      <c r="D461" t="s">
        <v>50</v>
      </c>
      <c r="E461" t="s">
        <v>51</v>
      </c>
      <c r="F461" t="s">
        <v>30</v>
      </c>
      <c r="G461" t="s">
        <v>58</v>
      </c>
      <c r="H461" t="s">
        <v>41</v>
      </c>
      <c r="I461">
        <v>98</v>
      </c>
      <c r="J461" s="3">
        <v>864.09</v>
      </c>
      <c r="K461" s="3">
        <f>Table1[[#This Row],[Quantity]]*Table1[[#This Row],[Unit_Price]]</f>
        <v>84680.82</v>
      </c>
      <c r="L461" s="3">
        <v>6555.05</v>
      </c>
      <c r="M461" s="3">
        <f>Table1[[#This Row],[Gross_Sales]]-Table1[[#This Row],[Discount]]</f>
        <v>78125.77</v>
      </c>
      <c r="N461" s="3">
        <v>54158.81</v>
      </c>
      <c r="O461" s="3">
        <v>3025.29</v>
      </c>
      <c r="P461" s="3">
        <v>4842.09</v>
      </c>
      <c r="Q461" s="3">
        <v>3744.31</v>
      </c>
      <c r="R461" s="3">
        <v>1606.27</v>
      </c>
      <c r="S461" s="3">
        <f>SUM(Table1[[#This Row],[Product_Cost]:[Other_Cost]])</f>
        <v>67376.77</v>
      </c>
      <c r="T461" s="3">
        <f>Table1[[#This Row],[Net_Sales]]-Table1[[#This Row],[Product_Cost]]</f>
        <v>23966.960000000006</v>
      </c>
      <c r="U461" s="3">
        <f>Table1[[#This Row],[Net_Sales]]-Table1[[#This Row],[Total_Cost]]</f>
        <v>10749</v>
      </c>
      <c r="V461" s="4">
        <f>Table1[[#This Row],[Net_Profit]]/Table1[[#This Row],[Net_Sales]]</f>
        <v>0.13758584395392198</v>
      </c>
      <c r="W461" t="s">
        <v>33</v>
      </c>
      <c r="X461" t="s">
        <v>443</v>
      </c>
      <c r="Y461">
        <v>4</v>
      </c>
      <c r="Z461" t="str">
        <f>IF(Table1[[#This Row],[Month_No]]&lt;=6, "H1","H2")</f>
        <v>H1</v>
      </c>
    </row>
    <row r="462" spans="1:26" x14ac:dyDescent="0.25">
      <c r="A462" s="2">
        <v>45776</v>
      </c>
      <c r="B462" t="s">
        <v>538</v>
      </c>
      <c r="C462" t="s">
        <v>49</v>
      </c>
      <c r="D462" t="s">
        <v>28</v>
      </c>
      <c r="E462" t="s">
        <v>29</v>
      </c>
      <c r="F462" t="s">
        <v>52</v>
      </c>
      <c r="G462" t="s">
        <v>86</v>
      </c>
      <c r="H462" t="s">
        <v>41</v>
      </c>
      <c r="I462">
        <v>65</v>
      </c>
      <c r="J462" s="3">
        <v>1176.76</v>
      </c>
      <c r="K462" s="3">
        <f>Table1[[#This Row],[Quantity]]*Table1[[#This Row],[Unit_Price]]</f>
        <v>76489.399999999994</v>
      </c>
      <c r="L462" s="3">
        <v>5635.94</v>
      </c>
      <c r="M462" s="3">
        <f>Table1[[#This Row],[Gross_Sales]]-Table1[[#This Row],[Discount]]</f>
        <v>70853.459999999992</v>
      </c>
      <c r="N462" s="3">
        <v>41062.97</v>
      </c>
      <c r="O462" s="3">
        <v>1747.8</v>
      </c>
      <c r="P462" s="3">
        <v>4580.24</v>
      </c>
      <c r="Q462" s="3">
        <v>2597.23</v>
      </c>
      <c r="R462" s="3">
        <v>1754.67</v>
      </c>
      <c r="S462" s="3">
        <f>SUM(Table1[[#This Row],[Product_Cost]:[Other_Cost]])</f>
        <v>51742.91</v>
      </c>
      <c r="T462" s="3">
        <f>Table1[[#This Row],[Net_Sales]]-Table1[[#This Row],[Product_Cost]]</f>
        <v>29790.489999999991</v>
      </c>
      <c r="U462" s="3">
        <f>Table1[[#This Row],[Net_Sales]]-Table1[[#This Row],[Total_Cost]]</f>
        <v>19110.549999999988</v>
      </c>
      <c r="V462" s="4">
        <f>Table1[[#This Row],[Net_Profit]]/Table1[[#This Row],[Net_Sales]]</f>
        <v>0.26971936162327131</v>
      </c>
      <c r="W462" t="s">
        <v>33</v>
      </c>
      <c r="X462" t="s">
        <v>443</v>
      </c>
      <c r="Y462">
        <v>4</v>
      </c>
      <c r="Z462" t="str">
        <f>IF(Table1[[#This Row],[Month_No]]&lt;=6, "H1","H2")</f>
        <v>H1</v>
      </c>
    </row>
    <row r="463" spans="1:26" x14ac:dyDescent="0.25">
      <c r="A463" s="2">
        <v>45777</v>
      </c>
      <c r="B463" t="s">
        <v>539</v>
      </c>
      <c r="C463" t="s">
        <v>117</v>
      </c>
      <c r="D463" t="s">
        <v>50</v>
      </c>
      <c r="E463" t="s">
        <v>51</v>
      </c>
      <c r="F463" t="s">
        <v>39</v>
      </c>
      <c r="G463" t="s">
        <v>64</v>
      </c>
      <c r="H463" t="s">
        <v>59</v>
      </c>
      <c r="I463">
        <v>92</v>
      </c>
      <c r="J463" s="3">
        <v>872.54</v>
      </c>
      <c r="K463" s="3">
        <f>Table1[[#This Row],[Quantity]]*Table1[[#This Row],[Unit_Price]]</f>
        <v>80273.679999999993</v>
      </c>
      <c r="L463" s="3">
        <v>5876.81</v>
      </c>
      <c r="M463" s="3">
        <f>Table1[[#This Row],[Gross_Sales]]-Table1[[#This Row],[Discount]]</f>
        <v>74396.87</v>
      </c>
      <c r="N463" s="3">
        <v>48724.01</v>
      </c>
      <c r="O463" s="3">
        <v>3190.7</v>
      </c>
      <c r="P463" s="3">
        <v>4844.5600000000004</v>
      </c>
      <c r="Q463" s="3">
        <v>2723.23</v>
      </c>
      <c r="R463" s="3">
        <v>2058.75</v>
      </c>
      <c r="S463" s="3">
        <f>SUM(Table1[[#This Row],[Product_Cost]:[Other_Cost]])</f>
        <v>61541.25</v>
      </c>
      <c r="T463" s="3">
        <f>Table1[[#This Row],[Net_Sales]]-Table1[[#This Row],[Product_Cost]]</f>
        <v>25672.859999999993</v>
      </c>
      <c r="U463" s="3">
        <f>Table1[[#This Row],[Net_Sales]]-Table1[[#This Row],[Total_Cost]]</f>
        <v>12855.619999999995</v>
      </c>
      <c r="V463" s="4">
        <f>Table1[[#This Row],[Net_Profit]]/Table1[[#This Row],[Net_Sales]]</f>
        <v>0.17279786098528063</v>
      </c>
      <c r="W463" t="s">
        <v>33</v>
      </c>
      <c r="X463" t="s">
        <v>443</v>
      </c>
      <c r="Y463">
        <v>4</v>
      </c>
      <c r="Z463" t="str">
        <f>IF(Table1[[#This Row],[Month_No]]&lt;=6, "H1","H2")</f>
        <v>H1</v>
      </c>
    </row>
    <row r="464" spans="1:26" x14ac:dyDescent="0.25">
      <c r="A464" s="2">
        <v>45777</v>
      </c>
      <c r="B464" t="s">
        <v>540</v>
      </c>
      <c r="C464" t="s">
        <v>70</v>
      </c>
      <c r="D464" t="s">
        <v>74</v>
      </c>
      <c r="E464" t="s">
        <v>75</v>
      </c>
      <c r="F464" t="s">
        <v>46</v>
      </c>
      <c r="G464" t="s">
        <v>58</v>
      </c>
      <c r="H464" t="s">
        <v>41</v>
      </c>
      <c r="I464">
        <v>78</v>
      </c>
      <c r="J464" s="3">
        <v>5478.23</v>
      </c>
      <c r="K464" s="3">
        <f>Table1[[#This Row],[Quantity]]*Table1[[#This Row],[Unit_Price]]</f>
        <v>427301.93999999994</v>
      </c>
      <c r="L464" s="3">
        <v>33100.589999999997</v>
      </c>
      <c r="M464" s="3">
        <f>Table1[[#This Row],[Gross_Sales]]-Table1[[#This Row],[Discount]]</f>
        <v>394201.35</v>
      </c>
      <c r="N464" s="3">
        <v>301399.06</v>
      </c>
      <c r="O464" s="3">
        <v>11931.5</v>
      </c>
      <c r="P464" s="3">
        <v>28172.68</v>
      </c>
      <c r="Q464" s="3">
        <v>16614.87</v>
      </c>
      <c r="R464" s="3">
        <v>8452.68</v>
      </c>
      <c r="S464" s="3">
        <f>SUM(Table1[[#This Row],[Product_Cost]:[Other_Cost]])</f>
        <v>366570.79</v>
      </c>
      <c r="T464" s="3">
        <f>Table1[[#This Row],[Net_Sales]]-Table1[[#This Row],[Product_Cost]]</f>
        <v>92802.289999999979</v>
      </c>
      <c r="U464" s="3">
        <f>Table1[[#This Row],[Net_Sales]]-Table1[[#This Row],[Total_Cost]]</f>
        <v>27630.559999999998</v>
      </c>
      <c r="V464" s="4">
        <f>Table1[[#This Row],[Net_Profit]]/Table1[[#This Row],[Net_Sales]]</f>
        <v>7.0092504756769605E-2</v>
      </c>
      <c r="W464" t="s">
        <v>33</v>
      </c>
      <c r="X464" t="s">
        <v>443</v>
      </c>
      <c r="Y464">
        <v>4</v>
      </c>
      <c r="Z464" t="str">
        <f>IF(Table1[[#This Row],[Month_No]]&lt;=6, "H1","H2")</f>
        <v>H1</v>
      </c>
    </row>
    <row r="465" spans="1:26" x14ac:dyDescent="0.25">
      <c r="A465" s="2">
        <v>45777</v>
      </c>
      <c r="B465" t="s">
        <v>541</v>
      </c>
      <c r="C465" t="s">
        <v>117</v>
      </c>
      <c r="D465" t="s">
        <v>68</v>
      </c>
      <c r="E465" t="s">
        <v>29</v>
      </c>
      <c r="F465" t="s">
        <v>39</v>
      </c>
      <c r="G465" t="s">
        <v>64</v>
      </c>
      <c r="H465" t="s">
        <v>47</v>
      </c>
      <c r="I465">
        <v>91</v>
      </c>
      <c r="J465" s="3">
        <v>358.65</v>
      </c>
      <c r="K465" s="3">
        <f>Table1[[#This Row],[Quantity]]*Table1[[#This Row],[Unit_Price]]</f>
        <v>32637.149999999998</v>
      </c>
      <c r="L465" s="3">
        <v>2474.42</v>
      </c>
      <c r="M465" s="3">
        <f>Table1[[#This Row],[Gross_Sales]]-Table1[[#This Row],[Discount]]</f>
        <v>30162.729999999996</v>
      </c>
      <c r="N465" s="3">
        <v>22653.5</v>
      </c>
      <c r="O465" s="3">
        <v>1210.6300000000001</v>
      </c>
      <c r="P465" s="3">
        <v>1676.51</v>
      </c>
      <c r="Q465" s="3">
        <v>1062.8499999999999</v>
      </c>
      <c r="R465" s="3">
        <v>713.34</v>
      </c>
      <c r="S465" s="3">
        <f>SUM(Table1[[#This Row],[Product_Cost]:[Other_Cost]])</f>
        <v>27316.829999999998</v>
      </c>
      <c r="T465" s="3">
        <f>Table1[[#This Row],[Net_Sales]]-Table1[[#This Row],[Product_Cost]]</f>
        <v>7509.2299999999959</v>
      </c>
      <c r="U465" s="3">
        <f>Table1[[#This Row],[Net_Sales]]-Table1[[#This Row],[Total_Cost]]</f>
        <v>2845.8999999999978</v>
      </c>
      <c r="V465" s="4">
        <f>Table1[[#This Row],[Net_Profit]]/Table1[[#This Row],[Net_Sales]]</f>
        <v>9.4351539134554407E-2</v>
      </c>
      <c r="W465" t="s">
        <v>33</v>
      </c>
      <c r="X465" t="s">
        <v>443</v>
      </c>
      <c r="Y465">
        <v>4</v>
      </c>
      <c r="Z465" t="str">
        <f>IF(Table1[[#This Row],[Month_No]]&lt;=6, "H1","H2")</f>
        <v>H1</v>
      </c>
    </row>
    <row r="466" spans="1:26" x14ac:dyDescent="0.25">
      <c r="A466" s="2">
        <v>45777</v>
      </c>
      <c r="B466" t="s">
        <v>542</v>
      </c>
      <c r="C466" t="s">
        <v>107</v>
      </c>
      <c r="D466" t="s">
        <v>44</v>
      </c>
      <c r="E466" t="s">
        <v>45</v>
      </c>
      <c r="F466" t="s">
        <v>39</v>
      </c>
      <c r="G466" t="s">
        <v>58</v>
      </c>
      <c r="H466" t="s">
        <v>41</v>
      </c>
      <c r="I466">
        <v>45</v>
      </c>
      <c r="J466" s="3">
        <v>4250.42</v>
      </c>
      <c r="K466" s="3">
        <f>Table1[[#This Row],[Quantity]]*Table1[[#This Row],[Unit_Price]]</f>
        <v>191268.9</v>
      </c>
      <c r="L466" s="3">
        <v>14810.59</v>
      </c>
      <c r="M466" s="3">
        <f>Table1[[#This Row],[Gross_Sales]]-Table1[[#This Row],[Discount]]</f>
        <v>176458.31</v>
      </c>
      <c r="N466" s="3">
        <v>125133.18</v>
      </c>
      <c r="O466" s="3">
        <v>6710.01</v>
      </c>
      <c r="P466" s="3">
        <v>12250.71</v>
      </c>
      <c r="Q466" s="3">
        <v>6197.83</v>
      </c>
      <c r="R466" s="3">
        <v>5046.74</v>
      </c>
      <c r="S466" s="3">
        <f>SUM(Table1[[#This Row],[Product_Cost]:[Other_Cost]])</f>
        <v>155338.46999999997</v>
      </c>
      <c r="T466" s="3">
        <f>Table1[[#This Row],[Net_Sales]]-Table1[[#This Row],[Product_Cost]]</f>
        <v>51325.130000000005</v>
      </c>
      <c r="U466" s="3">
        <f>Table1[[#This Row],[Net_Sales]]-Table1[[#This Row],[Total_Cost]]</f>
        <v>21119.840000000026</v>
      </c>
      <c r="V466" s="4">
        <f>Table1[[#This Row],[Net_Profit]]/Table1[[#This Row],[Net_Sales]]</f>
        <v>0.11968742078511364</v>
      </c>
      <c r="W466" t="s">
        <v>33</v>
      </c>
      <c r="X466" t="s">
        <v>443</v>
      </c>
      <c r="Y466">
        <v>4</v>
      </c>
      <c r="Z466" t="str">
        <f>IF(Table1[[#This Row],[Month_No]]&lt;=6, "H1","H2")</f>
        <v>H1</v>
      </c>
    </row>
    <row r="467" spans="1:26" x14ac:dyDescent="0.25">
      <c r="A467" s="2">
        <v>45777</v>
      </c>
      <c r="B467" t="s">
        <v>543</v>
      </c>
      <c r="C467" t="s">
        <v>55</v>
      </c>
      <c r="D467" t="s">
        <v>37</v>
      </c>
      <c r="E467" t="s">
        <v>38</v>
      </c>
      <c r="F467" t="s">
        <v>52</v>
      </c>
      <c r="G467" t="s">
        <v>61</v>
      </c>
      <c r="H467" t="s">
        <v>59</v>
      </c>
      <c r="I467">
        <v>63</v>
      </c>
      <c r="J467" s="3">
        <v>4364.05</v>
      </c>
      <c r="K467" s="3">
        <f>Table1[[#This Row],[Quantity]]*Table1[[#This Row],[Unit_Price]]</f>
        <v>274935.15000000002</v>
      </c>
      <c r="L467" s="3">
        <v>22345.25</v>
      </c>
      <c r="M467" s="3">
        <f>Table1[[#This Row],[Gross_Sales]]-Table1[[#This Row],[Discount]]</f>
        <v>252589.90000000002</v>
      </c>
      <c r="N467" s="3">
        <v>186769.21</v>
      </c>
      <c r="O467" s="3">
        <v>6982.84</v>
      </c>
      <c r="P467" s="3">
        <v>18774.28</v>
      </c>
      <c r="Q467" s="3">
        <v>9203.8799999999992</v>
      </c>
      <c r="R467" s="3">
        <v>5694.04</v>
      </c>
      <c r="S467" s="3">
        <f>SUM(Table1[[#This Row],[Product_Cost]:[Other_Cost]])</f>
        <v>227424.25</v>
      </c>
      <c r="T467" s="3">
        <f>Table1[[#This Row],[Net_Sales]]-Table1[[#This Row],[Product_Cost]]</f>
        <v>65820.690000000031</v>
      </c>
      <c r="U467" s="3">
        <f>Table1[[#This Row],[Net_Sales]]-Table1[[#This Row],[Total_Cost]]</f>
        <v>25165.650000000023</v>
      </c>
      <c r="V467" s="4">
        <f>Table1[[#This Row],[Net_Profit]]/Table1[[#This Row],[Net_Sales]]</f>
        <v>9.9630468201618597E-2</v>
      </c>
      <c r="W467" t="s">
        <v>33</v>
      </c>
      <c r="X467" t="s">
        <v>443</v>
      </c>
      <c r="Y467">
        <v>4</v>
      </c>
      <c r="Z467" t="str">
        <f>IF(Table1[[#This Row],[Month_No]]&lt;=6, "H1","H2")</f>
        <v>H1</v>
      </c>
    </row>
    <row r="468" spans="1:26" x14ac:dyDescent="0.25">
      <c r="A468" s="2">
        <v>45777</v>
      </c>
      <c r="B468" t="s">
        <v>544</v>
      </c>
      <c r="C468" t="s">
        <v>78</v>
      </c>
      <c r="D468" t="s">
        <v>44</v>
      </c>
      <c r="E468" t="s">
        <v>45</v>
      </c>
      <c r="F468" t="s">
        <v>46</v>
      </c>
      <c r="G468" t="s">
        <v>76</v>
      </c>
      <c r="H468" t="s">
        <v>41</v>
      </c>
      <c r="I468">
        <v>71</v>
      </c>
      <c r="J468" s="3">
        <v>4276.46</v>
      </c>
      <c r="K468" s="3">
        <f>Table1[[#This Row],[Quantity]]*Table1[[#This Row],[Unit_Price]]</f>
        <v>303628.65999999997</v>
      </c>
      <c r="L468" s="3">
        <v>19848.080000000002</v>
      </c>
      <c r="M468" s="3">
        <f>Table1[[#This Row],[Gross_Sales]]-Table1[[#This Row],[Discount]]</f>
        <v>283780.57999999996</v>
      </c>
      <c r="N468" s="3">
        <v>208779.68</v>
      </c>
      <c r="O468" s="3">
        <v>8265.6</v>
      </c>
      <c r="P468" s="3">
        <v>16853.919999999998</v>
      </c>
      <c r="Q468" s="3">
        <v>14057.16</v>
      </c>
      <c r="R468" s="3">
        <v>5746.65</v>
      </c>
      <c r="S468" s="3">
        <f>SUM(Table1[[#This Row],[Product_Cost]:[Other_Cost]])</f>
        <v>253703.01</v>
      </c>
      <c r="T468" s="3">
        <f>Table1[[#This Row],[Net_Sales]]-Table1[[#This Row],[Product_Cost]]</f>
        <v>75000.899999999965</v>
      </c>
      <c r="U468" s="3">
        <f>Table1[[#This Row],[Net_Sales]]-Table1[[#This Row],[Total_Cost]]</f>
        <v>30077.569999999949</v>
      </c>
      <c r="V468" s="4">
        <f>Table1[[#This Row],[Net_Profit]]/Table1[[#This Row],[Net_Sales]]</f>
        <v>0.1059888241824016</v>
      </c>
      <c r="W468" t="s">
        <v>33</v>
      </c>
      <c r="X468" t="s">
        <v>443</v>
      </c>
      <c r="Y468">
        <v>4</v>
      </c>
      <c r="Z468" t="str">
        <f>IF(Table1[[#This Row],[Month_No]]&lt;=6, "H1","H2")</f>
        <v>H1</v>
      </c>
    </row>
    <row r="469" spans="1:26" x14ac:dyDescent="0.25">
      <c r="A469" s="2">
        <v>45778</v>
      </c>
      <c r="B469" t="s">
        <v>545</v>
      </c>
      <c r="C469" t="s">
        <v>43</v>
      </c>
      <c r="D469" t="s">
        <v>68</v>
      </c>
      <c r="E469" t="s">
        <v>29</v>
      </c>
      <c r="F469" t="s">
        <v>30</v>
      </c>
      <c r="G469" t="s">
        <v>61</v>
      </c>
      <c r="H469" t="s">
        <v>32</v>
      </c>
      <c r="I469">
        <v>141</v>
      </c>
      <c r="J469" s="3">
        <v>386.72</v>
      </c>
      <c r="K469" s="3">
        <f>Table1[[#This Row],[Quantity]]*Table1[[#This Row],[Unit_Price]]</f>
        <v>54527.520000000004</v>
      </c>
      <c r="L469" s="3">
        <v>4845.5200000000004</v>
      </c>
      <c r="M469" s="3">
        <f>Table1[[#This Row],[Gross_Sales]]-Table1[[#This Row],[Discount]]</f>
        <v>49682</v>
      </c>
      <c r="N469" s="3">
        <v>37765.71</v>
      </c>
      <c r="O469" s="3">
        <v>1862.95</v>
      </c>
      <c r="P469" s="3">
        <v>3651.09</v>
      </c>
      <c r="Q469" s="3">
        <v>2575.81</v>
      </c>
      <c r="R469" s="3">
        <v>1458.83</v>
      </c>
      <c r="S469" s="3">
        <f>SUM(Table1[[#This Row],[Product_Cost]:[Other_Cost]])</f>
        <v>47314.39</v>
      </c>
      <c r="T469" s="3">
        <f>Table1[[#This Row],[Net_Sales]]-Table1[[#This Row],[Product_Cost]]</f>
        <v>11916.29</v>
      </c>
      <c r="U469" s="3">
        <f>Table1[[#This Row],[Net_Sales]]-Table1[[#This Row],[Total_Cost]]</f>
        <v>2367.6100000000006</v>
      </c>
      <c r="V469" s="4">
        <f>Table1[[#This Row],[Net_Profit]]/Table1[[#This Row],[Net_Sales]]</f>
        <v>4.7655287629322501E-2</v>
      </c>
      <c r="W469" t="s">
        <v>33</v>
      </c>
      <c r="X469" t="s">
        <v>546</v>
      </c>
      <c r="Y469">
        <v>5</v>
      </c>
      <c r="Z469" t="str">
        <f>IF(Table1[[#This Row],[Month_No]]&lt;=6, "H1","H2")</f>
        <v>H1</v>
      </c>
    </row>
    <row r="470" spans="1:26" x14ac:dyDescent="0.25">
      <c r="A470" s="2">
        <v>45778</v>
      </c>
      <c r="B470" t="s">
        <v>547</v>
      </c>
      <c r="C470" t="s">
        <v>117</v>
      </c>
      <c r="D470" t="s">
        <v>37</v>
      </c>
      <c r="E470" t="s">
        <v>38</v>
      </c>
      <c r="F470" t="s">
        <v>52</v>
      </c>
      <c r="G470" t="s">
        <v>61</v>
      </c>
      <c r="H470" t="s">
        <v>32</v>
      </c>
      <c r="I470">
        <v>44</v>
      </c>
      <c r="J470" s="3">
        <v>4292.83</v>
      </c>
      <c r="K470" s="3">
        <f>Table1[[#This Row],[Quantity]]*Table1[[#This Row],[Unit_Price]]</f>
        <v>188884.52</v>
      </c>
      <c r="L470" s="3">
        <v>13446.2</v>
      </c>
      <c r="M470" s="3">
        <f>Table1[[#This Row],[Gross_Sales]]-Table1[[#This Row],[Discount]]</f>
        <v>175438.31999999998</v>
      </c>
      <c r="N470" s="3">
        <v>125300.59</v>
      </c>
      <c r="O470" s="3">
        <v>4255.3999999999996</v>
      </c>
      <c r="P470" s="3">
        <v>10052.48</v>
      </c>
      <c r="Q470" s="3">
        <v>6311.72</v>
      </c>
      <c r="R470" s="3">
        <v>3715.27</v>
      </c>
      <c r="S470" s="3">
        <f>SUM(Table1[[#This Row],[Product_Cost]:[Other_Cost]])</f>
        <v>149635.46</v>
      </c>
      <c r="T470" s="3">
        <f>Table1[[#This Row],[Net_Sales]]-Table1[[#This Row],[Product_Cost]]</f>
        <v>50137.729999999981</v>
      </c>
      <c r="U470" s="3">
        <f>Table1[[#This Row],[Net_Sales]]-Table1[[#This Row],[Total_Cost]]</f>
        <v>25802.859999999986</v>
      </c>
      <c r="V470" s="4">
        <f>Table1[[#This Row],[Net_Profit]]/Table1[[#This Row],[Net_Sales]]</f>
        <v>0.1470765337926172</v>
      </c>
      <c r="W470" t="s">
        <v>72</v>
      </c>
      <c r="X470" t="s">
        <v>546</v>
      </c>
      <c r="Y470">
        <v>5</v>
      </c>
      <c r="Z470" t="str">
        <f>IF(Table1[[#This Row],[Month_No]]&lt;=6, "H1","H2")</f>
        <v>H1</v>
      </c>
    </row>
    <row r="471" spans="1:26" x14ac:dyDescent="0.25">
      <c r="A471" s="2">
        <v>45778</v>
      </c>
      <c r="B471" t="s">
        <v>548</v>
      </c>
      <c r="C471" t="s">
        <v>63</v>
      </c>
      <c r="D471" t="s">
        <v>37</v>
      </c>
      <c r="E471" t="s">
        <v>38</v>
      </c>
      <c r="F471" t="s">
        <v>52</v>
      </c>
      <c r="G471" t="s">
        <v>71</v>
      </c>
      <c r="H471" t="s">
        <v>59</v>
      </c>
      <c r="I471">
        <v>72</v>
      </c>
      <c r="J471" s="3">
        <v>4443</v>
      </c>
      <c r="K471" s="3">
        <f>Table1[[#This Row],[Quantity]]*Table1[[#This Row],[Unit_Price]]</f>
        <v>319896</v>
      </c>
      <c r="L471" s="3">
        <v>18968.099999999999</v>
      </c>
      <c r="M471" s="3">
        <f>Table1[[#This Row],[Gross_Sales]]-Table1[[#This Row],[Discount]]</f>
        <v>300927.90000000002</v>
      </c>
      <c r="N471" s="3">
        <v>216039.87</v>
      </c>
      <c r="O471" s="3">
        <v>8224.75</v>
      </c>
      <c r="P471" s="3">
        <v>21510.55</v>
      </c>
      <c r="Q471" s="3">
        <v>12931.58</v>
      </c>
      <c r="R471" s="3">
        <v>6669.13</v>
      </c>
      <c r="S471" s="3">
        <f>SUM(Table1[[#This Row],[Product_Cost]:[Other_Cost]])</f>
        <v>265375.87999999995</v>
      </c>
      <c r="T471" s="3">
        <f>Table1[[#This Row],[Net_Sales]]-Table1[[#This Row],[Product_Cost]]</f>
        <v>84888.030000000028</v>
      </c>
      <c r="U471" s="3">
        <f>Table1[[#This Row],[Net_Sales]]-Table1[[#This Row],[Total_Cost]]</f>
        <v>35552.020000000077</v>
      </c>
      <c r="V471" s="4">
        <f>Table1[[#This Row],[Net_Profit]]/Table1[[#This Row],[Net_Sales]]</f>
        <v>0.11814132222369569</v>
      </c>
      <c r="W471" t="s">
        <v>33</v>
      </c>
      <c r="X471" t="s">
        <v>546</v>
      </c>
      <c r="Y471">
        <v>5</v>
      </c>
      <c r="Z471" t="str">
        <f>IF(Table1[[#This Row],[Month_No]]&lt;=6, "H1","H2")</f>
        <v>H1</v>
      </c>
    </row>
    <row r="472" spans="1:26" x14ac:dyDescent="0.25">
      <c r="A472" s="2">
        <v>45778</v>
      </c>
      <c r="B472" t="s">
        <v>549</v>
      </c>
      <c r="C472" t="s">
        <v>55</v>
      </c>
      <c r="D472" t="s">
        <v>37</v>
      </c>
      <c r="E472" t="s">
        <v>38</v>
      </c>
      <c r="F472" t="s">
        <v>52</v>
      </c>
      <c r="G472" t="s">
        <v>58</v>
      </c>
      <c r="H472" t="s">
        <v>47</v>
      </c>
      <c r="I472">
        <v>43</v>
      </c>
      <c r="J472" s="3">
        <v>4512.99</v>
      </c>
      <c r="K472" s="3">
        <f>Table1[[#This Row],[Quantity]]*Table1[[#This Row],[Unit_Price]]</f>
        <v>194058.56999999998</v>
      </c>
      <c r="L472" s="3">
        <v>15881.71</v>
      </c>
      <c r="M472" s="3">
        <f>Table1[[#This Row],[Gross_Sales]]-Table1[[#This Row],[Discount]]</f>
        <v>178176.86</v>
      </c>
      <c r="N472" s="3">
        <v>134188.76999999999</v>
      </c>
      <c r="O472" s="3">
        <v>4755.63</v>
      </c>
      <c r="P472" s="3">
        <v>11150.17</v>
      </c>
      <c r="Q472" s="3">
        <v>9474.3700000000008</v>
      </c>
      <c r="R472" s="3">
        <v>3643.08</v>
      </c>
      <c r="S472" s="3">
        <f>SUM(Table1[[#This Row],[Product_Cost]:[Other_Cost]])</f>
        <v>163212.01999999999</v>
      </c>
      <c r="T472" s="3">
        <f>Table1[[#This Row],[Net_Sales]]-Table1[[#This Row],[Product_Cost]]</f>
        <v>43988.09</v>
      </c>
      <c r="U472" s="3">
        <f>Table1[[#This Row],[Net_Sales]]-Table1[[#This Row],[Total_Cost]]</f>
        <v>14964.839999999997</v>
      </c>
      <c r="V472" s="4">
        <f>Table1[[#This Row],[Net_Profit]]/Table1[[#This Row],[Net_Sales]]</f>
        <v>8.3988684052463361E-2</v>
      </c>
      <c r="W472" t="s">
        <v>33</v>
      </c>
      <c r="X472" t="s">
        <v>546</v>
      </c>
      <c r="Y472">
        <v>5</v>
      </c>
      <c r="Z472" t="str">
        <f>IF(Table1[[#This Row],[Month_No]]&lt;=6, "H1","H2")</f>
        <v>H1</v>
      </c>
    </row>
    <row r="473" spans="1:26" x14ac:dyDescent="0.25">
      <c r="A473" s="2">
        <v>45779</v>
      </c>
      <c r="B473" t="s">
        <v>550</v>
      </c>
      <c r="C473" t="s">
        <v>98</v>
      </c>
      <c r="D473" t="s">
        <v>74</v>
      </c>
      <c r="E473" t="s">
        <v>75</v>
      </c>
      <c r="F473" t="s">
        <v>39</v>
      </c>
      <c r="G473" t="s">
        <v>31</v>
      </c>
      <c r="H473" t="s">
        <v>59</v>
      </c>
      <c r="I473">
        <v>76</v>
      </c>
      <c r="J473" s="3">
        <v>5390.39</v>
      </c>
      <c r="K473" s="3">
        <f>Table1[[#This Row],[Quantity]]*Table1[[#This Row],[Unit_Price]]</f>
        <v>409669.64</v>
      </c>
      <c r="L473" s="3">
        <v>34088.79</v>
      </c>
      <c r="M473" s="3">
        <f>Table1[[#This Row],[Gross_Sales]]-Table1[[#This Row],[Discount]]</f>
        <v>375580.85000000003</v>
      </c>
      <c r="N473" s="3">
        <v>276477.23</v>
      </c>
      <c r="O473" s="3">
        <v>17040.509999999998</v>
      </c>
      <c r="P473" s="3">
        <v>23213.13</v>
      </c>
      <c r="Q473" s="3">
        <v>16375.62</v>
      </c>
      <c r="R473" s="3">
        <v>10123.89</v>
      </c>
      <c r="S473" s="3">
        <f>SUM(Table1[[#This Row],[Product_Cost]:[Other_Cost]])</f>
        <v>343230.38</v>
      </c>
      <c r="T473" s="3">
        <f>Table1[[#This Row],[Net_Sales]]-Table1[[#This Row],[Product_Cost]]</f>
        <v>99103.620000000054</v>
      </c>
      <c r="U473" s="3">
        <f>Table1[[#This Row],[Net_Sales]]-Table1[[#This Row],[Total_Cost]]</f>
        <v>32350.47000000003</v>
      </c>
      <c r="V473" s="4">
        <f>Table1[[#This Row],[Net_Profit]]/Table1[[#This Row],[Net_Sales]]</f>
        <v>8.6134503396539067E-2</v>
      </c>
      <c r="W473" t="s">
        <v>72</v>
      </c>
      <c r="X473" t="s">
        <v>546</v>
      </c>
      <c r="Y473">
        <v>5</v>
      </c>
      <c r="Z473" t="str">
        <f>IF(Table1[[#This Row],[Month_No]]&lt;=6, "H1","H2")</f>
        <v>H1</v>
      </c>
    </row>
    <row r="474" spans="1:26" x14ac:dyDescent="0.25">
      <c r="A474" s="2">
        <v>45779</v>
      </c>
      <c r="B474" t="s">
        <v>551</v>
      </c>
      <c r="C474" t="s">
        <v>43</v>
      </c>
      <c r="D474" t="s">
        <v>81</v>
      </c>
      <c r="E474" t="s">
        <v>45</v>
      </c>
      <c r="F474" t="s">
        <v>39</v>
      </c>
      <c r="G474" t="s">
        <v>61</v>
      </c>
      <c r="H474" t="s">
        <v>41</v>
      </c>
      <c r="I474">
        <v>48</v>
      </c>
      <c r="J474" s="3">
        <v>6408.21</v>
      </c>
      <c r="K474" s="3">
        <f>Table1[[#This Row],[Quantity]]*Table1[[#This Row],[Unit_Price]]</f>
        <v>307594.08</v>
      </c>
      <c r="L474" s="3">
        <v>23010.05</v>
      </c>
      <c r="M474" s="3">
        <f>Table1[[#This Row],[Gross_Sales]]-Table1[[#This Row],[Discount]]</f>
        <v>284584.03000000003</v>
      </c>
      <c r="N474" s="3">
        <v>171281.07</v>
      </c>
      <c r="O474" s="3">
        <v>11117.09</v>
      </c>
      <c r="P474" s="3">
        <v>18858.54</v>
      </c>
      <c r="Q474" s="3">
        <v>10240.01</v>
      </c>
      <c r="R474" s="3">
        <v>6655.82</v>
      </c>
      <c r="S474" s="3">
        <f>SUM(Table1[[#This Row],[Product_Cost]:[Other_Cost]])</f>
        <v>218152.53000000003</v>
      </c>
      <c r="T474" s="3">
        <f>Table1[[#This Row],[Net_Sales]]-Table1[[#This Row],[Product_Cost]]</f>
        <v>113302.96000000002</v>
      </c>
      <c r="U474" s="3">
        <f>Table1[[#This Row],[Net_Sales]]-Table1[[#This Row],[Total_Cost]]</f>
        <v>66431.5</v>
      </c>
      <c r="V474" s="4">
        <f>Table1[[#This Row],[Net_Profit]]/Table1[[#This Row],[Net_Sales]]</f>
        <v>0.23343368916379459</v>
      </c>
      <c r="W474" t="s">
        <v>33</v>
      </c>
      <c r="X474" t="s">
        <v>546</v>
      </c>
      <c r="Y474">
        <v>5</v>
      </c>
      <c r="Z474" t="str">
        <f>IF(Table1[[#This Row],[Month_No]]&lt;=6, "H1","H2")</f>
        <v>H1</v>
      </c>
    </row>
    <row r="475" spans="1:26" x14ac:dyDescent="0.25">
      <c r="A475" s="2">
        <v>45780</v>
      </c>
      <c r="B475" t="s">
        <v>552</v>
      </c>
      <c r="C475" t="s">
        <v>49</v>
      </c>
      <c r="D475" t="s">
        <v>28</v>
      </c>
      <c r="E475" t="s">
        <v>29</v>
      </c>
      <c r="F475" t="s">
        <v>52</v>
      </c>
      <c r="G475" t="s">
        <v>64</v>
      </c>
      <c r="H475" t="s">
        <v>41</v>
      </c>
      <c r="I475">
        <v>121</v>
      </c>
      <c r="J475" s="3">
        <v>1146.33</v>
      </c>
      <c r="K475" s="3">
        <f>Table1[[#This Row],[Quantity]]*Table1[[#This Row],[Unit_Price]]</f>
        <v>138705.93</v>
      </c>
      <c r="L475" s="3">
        <v>10108.68</v>
      </c>
      <c r="M475" s="3">
        <f>Table1[[#This Row],[Gross_Sales]]-Table1[[#This Row],[Discount]]</f>
        <v>128597.25</v>
      </c>
      <c r="N475" s="3">
        <v>77823.95</v>
      </c>
      <c r="O475" s="3">
        <v>3084.12</v>
      </c>
      <c r="P475" s="3">
        <v>8622.61</v>
      </c>
      <c r="Q475" s="3">
        <v>5443.21</v>
      </c>
      <c r="R475" s="3">
        <v>3221.81</v>
      </c>
      <c r="S475" s="3">
        <f>SUM(Table1[[#This Row],[Product_Cost]:[Other_Cost]])</f>
        <v>98195.7</v>
      </c>
      <c r="T475" s="3">
        <f>Table1[[#This Row],[Net_Sales]]-Table1[[#This Row],[Product_Cost]]</f>
        <v>50773.3</v>
      </c>
      <c r="U475" s="3">
        <f>Table1[[#This Row],[Net_Sales]]-Table1[[#This Row],[Total_Cost]]</f>
        <v>30401.550000000003</v>
      </c>
      <c r="V475" s="4">
        <f>Table1[[#This Row],[Net_Profit]]/Table1[[#This Row],[Net_Sales]]</f>
        <v>0.23640902118824472</v>
      </c>
      <c r="W475" t="s">
        <v>72</v>
      </c>
      <c r="X475" t="s">
        <v>546</v>
      </c>
      <c r="Y475">
        <v>5</v>
      </c>
      <c r="Z475" t="str">
        <f>IF(Table1[[#This Row],[Month_No]]&lt;=6, "H1","H2")</f>
        <v>H1</v>
      </c>
    </row>
    <row r="476" spans="1:26" x14ac:dyDescent="0.25">
      <c r="A476" s="2">
        <v>45780</v>
      </c>
      <c r="B476" t="s">
        <v>553</v>
      </c>
      <c r="C476" t="s">
        <v>55</v>
      </c>
      <c r="D476" t="s">
        <v>37</v>
      </c>
      <c r="E476" t="s">
        <v>38</v>
      </c>
      <c r="F476" t="s">
        <v>52</v>
      </c>
      <c r="G476" t="s">
        <v>31</v>
      </c>
      <c r="H476" t="s">
        <v>47</v>
      </c>
      <c r="I476">
        <v>58</v>
      </c>
      <c r="J476" s="3">
        <v>4638.71</v>
      </c>
      <c r="K476" s="3">
        <f>Table1[[#This Row],[Quantity]]*Table1[[#This Row],[Unit_Price]]</f>
        <v>269045.18</v>
      </c>
      <c r="L476" s="3">
        <v>21436.080000000002</v>
      </c>
      <c r="M476" s="3">
        <f>Table1[[#This Row],[Gross_Sales]]-Table1[[#This Row],[Discount]]</f>
        <v>247609.09999999998</v>
      </c>
      <c r="N476" s="3">
        <v>174121.07</v>
      </c>
      <c r="O476" s="3">
        <v>6243.32</v>
      </c>
      <c r="P476" s="3">
        <v>15989.36</v>
      </c>
      <c r="Q476" s="3">
        <v>10998.18</v>
      </c>
      <c r="R476" s="3">
        <v>5068.6400000000003</v>
      </c>
      <c r="S476" s="3">
        <f>SUM(Table1[[#This Row],[Product_Cost]:[Other_Cost]])</f>
        <v>212420.57</v>
      </c>
      <c r="T476" s="3">
        <f>Table1[[#This Row],[Net_Sales]]-Table1[[#This Row],[Product_Cost]]</f>
        <v>73488.02999999997</v>
      </c>
      <c r="U476" s="3">
        <f>Table1[[#This Row],[Net_Sales]]-Table1[[#This Row],[Total_Cost]]</f>
        <v>35188.52999999997</v>
      </c>
      <c r="V476" s="4">
        <f>Table1[[#This Row],[Net_Profit]]/Table1[[#This Row],[Net_Sales]]</f>
        <v>0.14211323412588622</v>
      </c>
      <c r="W476" t="s">
        <v>72</v>
      </c>
      <c r="X476" t="s">
        <v>546</v>
      </c>
      <c r="Y476">
        <v>5</v>
      </c>
      <c r="Z476" t="str">
        <f>IF(Table1[[#This Row],[Month_No]]&lt;=6, "H1","H2")</f>
        <v>H1</v>
      </c>
    </row>
    <row r="477" spans="1:26" x14ac:dyDescent="0.25">
      <c r="A477" s="2">
        <v>45780</v>
      </c>
      <c r="B477" t="s">
        <v>554</v>
      </c>
      <c r="C477" t="s">
        <v>107</v>
      </c>
      <c r="D477" t="s">
        <v>66</v>
      </c>
      <c r="E477" t="s">
        <v>51</v>
      </c>
      <c r="F477" t="s">
        <v>39</v>
      </c>
      <c r="G477" t="s">
        <v>71</v>
      </c>
      <c r="H477" t="s">
        <v>41</v>
      </c>
      <c r="I477">
        <v>47</v>
      </c>
      <c r="J477" s="3">
        <v>1529.14</v>
      </c>
      <c r="K477" s="3">
        <f>Table1[[#This Row],[Quantity]]*Table1[[#This Row],[Unit_Price]]</f>
        <v>71869.58</v>
      </c>
      <c r="L477" s="3">
        <v>4904.59</v>
      </c>
      <c r="M477" s="3">
        <f>Table1[[#This Row],[Gross_Sales]]-Table1[[#This Row],[Discount]]</f>
        <v>66964.990000000005</v>
      </c>
      <c r="N477" s="3">
        <v>36233.39</v>
      </c>
      <c r="O477" s="3">
        <v>2698.58</v>
      </c>
      <c r="P477" s="3">
        <v>4152.18</v>
      </c>
      <c r="Q477" s="3">
        <v>2418.91</v>
      </c>
      <c r="R477" s="3">
        <v>2017.25</v>
      </c>
      <c r="S477" s="3">
        <f>SUM(Table1[[#This Row],[Product_Cost]:[Other_Cost]])</f>
        <v>47520.31</v>
      </c>
      <c r="T477" s="3">
        <f>Table1[[#This Row],[Net_Sales]]-Table1[[#This Row],[Product_Cost]]</f>
        <v>30731.600000000006</v>
      </c>
      <c r="U477" s="3">
        <f>Table1[[#This Row],[Net_Sales]]-Table1[[#This Row],[Total_Cost]]</f>
        <v>19444.680000000008</v>
      </c>
      <c r="V477" s="4">
        <f>Table1[[#This Row],[Net_Profit]]/Table1[[#This Row],[Net_Sales]]</f>
        <v>0.29037083407314784</v>
      </c>
      <c r="W477" t="s">
        <v>33</v>
      </c>
      <c r="X477" t="s">
        <v>546</v>
      </c>
      <c r="Y477">
        <v>5</v>
      </c>
      <c r="Z477" t="str">
        <f>IF(Table1[[#This Row],[Month_No]]&lt;=6, "H1","H2")</f>
        <v>H1</v>
      </c>
    </row>
    <row r="478" spans="1:26" x14ac:dyDescent="0.25">
      <c r="A478" s="2">
        <v>45782</v>
      </c>
      <c r="B478" t="s">
        <v>555</v>
      </c>
      <c r="C478" t="s">
        <v>78</v>
      </c>
      <c r="D478" t="s">
        <v>68</v>
      </c>
      <c r="E478" t="s">
        <v>29</v>
      </c>
      <c r="F478" t="s">
        <v>52</v>
      </c>
      <c r="G478" t="s">
        <v>40</v>
      </c>
      <c r="H478" t="s">
        <v>41</v>
      </c>
      <c r="I478">
        <v>128</v>
      </c>
      <c r="J478" s="3">
        <v>359.32</v>
      </c>
      <c r="K478" s="3">
        <f>Table1[[#This Row],[Quantity]]*Table1[[#This Row],[Unit_Price]]</f>
        <v>45992.959999999999</v>
      </c>
      <c r="L478" s="3">
        <v>3862.08</v>
      </c>
      <c r="M478" s="3">
        <f>Table1[[#This Row],[Gross_Sales]]-Table1[[#This Row],[Discount]]</f>
        <v>42130.879999999997</v>
      </c>
      <c r="N478" s="3">
        <v>33810.29</v>
      </c>
      <c r="O478" s="3">
        <v>1162.44</v>
      </c>
      <c r="P478" s="3">
        <v>2556.04</v>
      </c>
      <c r="Q478" s="3">
        <v>2065.86</v>
      </c>
      <c r="R478" s="3">
        <v>1203.8800000000001</v>
      </c>
      <c r="S478" s="3">
        <f>SUM(Table1[[#This Row],[Product_Cost]:[Other_Cost]])</f>
        <v>40798.51</v>
      </c>
      <c r="T478" s="3">
        <f>Table1[[#This Row],[Net_Sales]]-Table1[[#This Row],[Product_Cost]]</f>
        <v>8320.5899999999965</v>
      </c>
      <c r="U478" s="3">
        <f>Table1[[#This Row],[Net_Sales]]-Table1[[#This Row],[Total_Cost]]</f>
        <v>1332.3699999999953</v>
      </c>
      <c r="V478" s="4">
        <f>Table1[[#This Row],[Net_Profit]]/Table1[[#This Row],[Net_Sales]]</f>
        <v>3.1624547125528722E-2</v>
      </c>
      <c r="W478" t="s">
        <v>33</v>
      </c>
      <c r="X478" t="s">
        <v>546</v>
      </c>
      <c r="Y478">
        <v>5</v>
      </c>
      <c r="Z478" t="str">
        <f>IF(Table1[[#This Row],[Month_No]]&lt;=6, "H1","H2")</f>
        <v>H1</v>
      </c>
    </row>
    <row r="479" spans="1:26" x14ac:dyDescent="0.25">
      <c r="A479" s="2">
        <v>45782</v>
      </c>
      <c r="B479" t="s">
        <v>556</v>
      </c>
      <c r="C479" t="s">
        <v>107</v>
      </c>
      <c r="D479" t="s">
        <v>81</v>
      </c>
      <c r="E479" t="s">
        <v>45</v>
      </c>
      <c r="F479" t="s">
        <v>52</v>
      </c>
      <c r="G479" t="s">
        <v>58</v>
      </c>
      <c r="H479" t="s">
        <v>41</v>
      </c>
      <c r="I479">
        <v>59</v>
      </c>
      <c r="J479" s="3">
        <v>6749.27</v>
      </c>
      <c r="K479" s="3">
        <f>Table1[[#This Row],[Quantity]]*Table1[[#This Row],[Unit_Price]]</f>
        <v>398206.93000000005</v>
      </c>
      <c r="L479" s="3">
        <v>26513.85</v>
      </c>
      <c r="M479" s="3">
        <f>Table1[[#This Row],[Gross_Sales]]-Table1[[#This Row],[Discount]]</f>
        <v>371693.08000000007</v>
      </c>
      <c r="N479" s="3">
        <v>217643.56</v>
      </c>
      <c r="O479" s="3">
        <v>10190.4</v>
      </c>
      <c r="P479" s="3">
        <v>22971.84</v>
      </c>
      <c r="Q479" s="3">
        <v>15402.93</v>
      </c>
      <c r="R479" s="3">
        <v>9478.6200000000008</v>
      </c>
      <c r="S479" s="3">
        <f>SUM(Table1[[#This Row],[Product_Cost]:[Other_Cost]])</f>
        <v>275687.34999999998</v>
      </c>
      <c r="T479" s="3">
        <f>Table1[[#This Row],[Net_Sales]]-Table1[[#This Row],[Product_Cost]]</f>
        <v>154049.52000000008</v>
      </c>
      <c r="U479" s="3">
        <f>Table1[[#This Row],[Net_Sales]]-Table1[[#This Row],[Total_Cost]]</f>
        <v>96005.730000000098</v>
      </c>
      <c r="V479" s="4">
        <f>Table1[[#This Row],[Net_Profit]]/Table1[[#This Row],[Net_Sales]]</f>
        <v>0.2582930249871751</v>
      </c>
      <c r="W479" t="s">
        <v>33</v>
      </c>
      <c r="X479" t="s">
        <v>546</v>
      </c>
      <c r="Y479">
        <v>5</v>
      </c>
      <c r="Z479" t="str">
        <f>IF(Table1[[#This Row],[Month_No]]&lt;=6, "H1","H2")</f>
        <v>H1</v>
      </c>
    </row>
    <row r="480" spans="1:26" x14ac:dyDescent="0.25">
      <c r="A480" s="2">
        <v>45782</v>
      </c>
      <c r="B480" t="s">
        <v>557</v>
      </c>
      <c r="C480" t="s">
        <v>55</v>
      </c>
      <c r="D480" t="s">
        <v>74</v>
      </c>
      <c r="E480" t="s">
        <v>75</v>
      </c>
      <c r="F480" t="s">
        <v>30</v>
      </c>
      <c r="G480" t="s">
        <v>71</v>
      </c>
      <c r="H480" t="s">
        <v>59</v>
      </c>
      <c r="I480">
        <v>51</v>
      </c>
      <c r="J480" s="3">
        <v>5554.91</v>
      </c>
      <c r="K480" s="3">
        <f>Table1[[#This Row],[Quantity]]*Table1[[#This Row],[Unit_Price]]</f>
        <v>283300.40999999997</v>
      </c>
      <c r="L480" s="3">
        <v>21671.87</v>
      </c>
      <c r="M480" s="3">
        <f>Table1[[#This Row],[Gross_Sales]]-Table1[[#This Row],[Discount]]</f>
        <v>261628.53999999998</v>
      </c>
      <c r="N480" s="3">
        <v>202603.39</v>
      </c>
      <c r="O480" s="3">
        <v>8717.86</v>
      </c>
      <c r="P480" s="3">
        <v>18291.560000000001</v>
      </c>
      <c r="Q480" s="3">
        <v>10357.530000000001</v>
      </c>
      <c r="R480" s="3">
        <v>7980.9</v>
      </c>
      <c r="S480" s="3">
        <f>SUM(Table1[[#This Row],[Product_Cost]:[Other_Cost]])</f>
        <v>247951.24</v>
      </c>
      <c r="T480" s="3">
        <f>Table1[[#This Row],[Net_Sales]]-Table1[[#This Row],[Product_Cost]]</f>
        <v>59025.149999999965</v>
      </c>
      <c r="U480" s="3">
        <f>Table1[[#This Row],[Net_Sales]]-Table1[[#This Row],[Total_Cost]]</f>
        <v>13677.299999999988</v>
      </c>
      <c r="V480" s="4">
        <f>Table1[[#This Row],[Net_Profit]]/Table1[[#This Row],[Net_Sales]]</f>
        <v>5.2277553511554928E-2</v>
      </c>
      <c r="W480" t="s">
        <v>72</v>
      </c>
      <c r="X480" t="s">
        <v>546</v>
      </c>
      <c r="Y480">
        <v>5</v>
      </c>
      <c r="Z480" t="str">
        <f>IF(Table1[[#This Row],[Month_No]]&lt;=6, "H1","H2")</f>
        <v>H1</v>
      </c>
    </row>
    <row r="481" spans="1:26" x14ac:dyDescent="0.25">
      <c r="A481" s="2">
        <v>45783</v>
      </c>
      <c r="B481" t="s">
        <v>558</v>
      </c>
      <c r="C481" t="s">
        <v>55</v>
      </c>
      <c r="D481" t="s">
        <v>85</v>
      </c>
      <c r="E481" t="s">
        <v>57</v>
      </c>
      <c r="F481" t="s">
        <v>52</v>
      </c>
      <c r="G481" t="s">
        <v>61</v>
      </c>
      <c r="H481" t="s">
        <v>59</v>
      </c>
      <c r="I481">
        <v>107</v>
      </c>
      <c r="J481" s="3">
        <v>1869.8</v>
      </c>
      <c r="K481" s="3">
        <f>Table1[[#This Row],[Quantity]]*Table1[[#This Row],[Unit_Price]]</f>
        <v>200068.6</v>
      </c>
      <c r="L481" s="3">
        <v>16460.43</v>
      </c>
      <c r="M481" s="3">
        <f>Table1[[#This Row],[Gross_Sales]]-Table1[[#This Row],[Discount]]</f>
        <v>183608.17</v>
      </c>
      <c r="N481" s="3">
        <v>124449.66</v>
      </c>
      <c r="O481" s="3">
        <v>5171.99</v>
      </c>
      <c r="P481" s="3">
        <v>11487.21</v>
      </c>
      <c r="Q481" s="3">
        <v>7254.63</v>
      </c>
      <c r="R481" s="3">
        <v>4830.7</v>
      </c>
      <c r="S481" s="3">
        <f>SUM(Table1[[#This Row],[Product_Cost]:[Other_Cost]])</f>
        <v>153194.19000000003</v>
      </c>
      <c r="T481" s="3">
        <f>Table1[[#This Row],[Net_Sales]]-Table1[[#This Row],[Product_Cost]]</f>
        <v>59158.510000000009</v>
      </c>
      <c r="U481" s="3">
        <f>Table1[[#This Row],[Net_Sales]]-Table1[[#This Row],[Total_Cost]]</f>
        <v>30413.979999999981</v>
      </c>
      <c r="V481" s="4">
        <f>Table1[[#This Row],[Net_Profit]]/Table1[[#This Row],[Net_Sales]]</f>
        <v>0.1656461147671151</v>
      </c>
      <c r="W481" t="s">
        <v>33</v>
      </c>
      <c r="X481" t="s">
        <v>546</v>
      </c>
      <c r="Y481">
        <v>5</v>
      </c>
      <c r="Z481" t="str">
        <f>IF(Table1[[#This Row],[Month_No]]&lt;=6, "H1","H2")</f>
        <v>H1</v>
      </c>
    </row>
    <row r="482" spans="1:26" x14ac:dyDescent="0.25">
      <c r="A482" s="2">
        <v>45783</v>
      </c>
      <c r="B482" t="s">
        <v>559</v>
      </c>
      <c r="C482" t="s">
        <v>98</v>
      </c>
      <c r="D482" t="s">
        <v>68</v>
      </c>
      <c r="E482" t="s">
        <v>29</v>
      </c>
      <c r="F482" t="s">
        <v>52</v>
      </c>
      <c r="G482" t="s">
        <v>61</v>
      </c>
      <c r="H482" t="s">
        <v>59</v>
      </c>
      <c r="I482">
        <v>113</v>
      </c>
      <c r="J482" s="3">
        <v>385.98</v>
      </c>
      <c r="K482" s="3">
        <f>Table1[[#This Row],[Quantity]]*Table1[[#This Row],[Unit_Price]]</f>
        <v>43615.740000000005</v>
      </c>
      <c r="L482" s="3">
        <v>2536.54</v>
      </c>
      <c r="M482" s="3">
        <f>Table1[[#This Row],[Gross_Sales]]-Table1[[#This Row],[Discount]]</f>
        <v>41079.200000000004</v>
      </c>
      <c r="N482" s="3">
        <v>31775.24</v>
      </c>
      <c r="O482" s="3">
        <v>1161.17</v>
      </c>
      <c r="P482" s="3">
        <v>3074.72</v>
      </c>
      <c r="Q482" s="3">
        <v>1963.19</v>
      </c>
      <c r="R482" s="3">
        <v>914.21</v>
      </c>
      <c r="S482" s="3">
        <f>SUM(Table1[[#This Row],[Product_Cost]:[Other_Cost]])</f>
        <v>38888.530000000006</v>
      </c>
      <c r="T482" s="3">
        <f>Table1[[#This Row],[Net_Sales]]-Table1[[#This Row],[Product_Cost]]</f>
        <v>9303.9600000000028</v>
      </c>
      <c r="U482" s="3">
        <f>Table1[[#This Row],[Net_Sales]]-Table1[[#This Row],[Total_Cost]]</f>
        <v>2190.6699999999983</v>
      </c>
      <c r="V482" s="4">
        <f>Table1[[#This Row],[Net_Profit]]/Table1[[#This Row],[Net_Sales]]</f>
        <v>5.3327961596136196E-2</v>
      </c>
      <c r="W482" t="s">
        <v>33</v>
      </c>
      <c r="X482" t="s">
        <v>546</v>
      </c>
      <c r="Y482">
        <v>5</v>
      </c>
      <c r="Z482" t="str">
        <f>IF(Table1[[#This Row],[Month_No]]&lt;=6, "H1","H2")</f>
        <v>H1</v>
      </c>
    </row>
    <row r="483" spans="1:26" x14ac:dyDescent="0.25">
      <c r="A483" s="2">
        <v>45783</v>
      </c>
      <c r="B483" t="s">
        <v>560</v>
      </c>
      <c r="C483" t="s">
        <v>36</v>
      </c>
      <c r="D483" t="s">
        <v>37</v>
      </c>
      <c r="E483" t="s">
        <v>38</v>
      </c>
      <c r="F483" t="s">
        <v>52</v>
      </c>
      <c r="G483" t="s">
        <v>58</v>
      </c>
      <c r="H483" t="s">
        <v>41</v>
      </c>
      <c r="I483">
        <v>61</v>
      </c>
      <c r="J483" s="3">
        <v>4433.6899999999996</v>
      </c>
      <c r="K483" s="3">
        <f>Table1[[#This Row],[Quantity]]*Table1[[#This Row],[Unit_Price]]</f>
        <v>270455.08999999997</v>
      </c>
      <c r="L483" s="3">
        <v>21965.43</v>
      </c>
      <c r="M483" s="3">
        <f>Table1[[#This Row],[Gross_Sales]]-Table1[[#This Row],[Discount]]</f>
        <v>248489.65999999997</v>
      </c>
      <c r="N483" s="3">
        <v>185820.88</v>
      </c>
      <c r="O483" s="3">
        <v>6642.87</v>
      </c>
      <c r="P483" s="3">
        <v>16303.06</v>
      </c>
      <c r="Q483" s="3">
        <v>8981.75</v>
      </c>
      <c r="R483" s="3">
        <v>5038.47</v>
      </c>
      <c r="S483" s="3">
        <f>SUM(Table1[[#This Row],[Product_Cost]:[Other_Cost]])</f>
        <v>222787.03</v>
      </c>
      <c r="T483" s="3">
        <f>Table1[[#This Row],[Net_Sales]]-Table1[[#This Row],[Product_Cost]]</f>
        <v>62668.77999999997</v>
      </c>
      <c r="U483" s="3">
        <f>Table1[[#This Row],[Net_Sales]]-Table1[[#This Row],[Total_Cost]]</f>
        <v>25702.629999999976</v>
      </c>
      <c r="V483" s="4">
        <f>Table1[[#This Row],[Net_Profit]]/Table1[[#This Row],[Net_Sales]]</f>
        <v>0.10343541055189169</v>
      </c>
      <c r="W483" t="s">
        <v>33</v>
      </c>
      <c r="X483" t="s">
        <v>546</v>
      </c>
      <c r="Y483">
        <v>5</v>
      </c>
      <c r="Z483" t="str">
        <f>IF(Table1[[#This Row],[Month_No]]&lt;=6, "H1","H2")</f>
        <v>H1</v>
      </c>
    </row>
    <row r="484" spans="1:26" x14ac:dyDescent="0.25">
      <c r="A484" s="2">
        <v>45783</v>
      </c>
      <c r="B484" t="s">
        <v>561</v>
      </c>
      <c r="C484" t="s">
        <v>117</v>
      </c>
      <c r="D484" t="s">
        <v>37</v>
      </c>
      <c r="E484" t="s">
        <v>38</v>
      </c>
      <c r="F484" t="s">
        <v>52</v>
      </c>
      <c r="G484" t="s">
        <v>58</v>
      </c>
      <c r="H484" t="s">
        <v>47</v>
      </c>
      <c r="I484">
        <v>84</v>
      </c>
      <c r="J484" s="3">
        <v>4629.92</v>
      </c>
      <c r="K484" s="3">
        <f>Table1[[#This Row],[Quantity]]*Table1[[#This Row],[Unit_Price]]</f>
        <v>388913.28</v>
      </c>
      <c r="L484" s="3">
        <v>24933.95</v>
      </c>
      <c r="M484" s="3">
        <f>Table1[[#This Row],[Gross_Sales]]-Table1[[#This Row],[Discount]]</f>
        <v>363979.33</v>
      </c>
      <c r="N484" s="3">
        <v>259112.74</v>
      </c>
      <c r="O484" s="3">
        <v>9687.9599999999991</v>
      </c>
      <c r="P484" s="3">
        <v>24476.38</v>
      </c>
      <c r="Q484" s="3">
        <v>16038.3</v>
      </c>
      <c r="R484" s="3">
        <v>8261.25</v>
      </c>
      <c r="S484" s="3">
        <f>SUM(Table1[[#This Row],[Product_Cost]:[Other_Cost]])</f>
        <v>317576.63</v>
      </c>
      <c r="T484" s="3">
        <f>Table1[[#This Row],[Net_Sales]]-Table1[[#This Row],[Product_Cost]]</f>
        <v>104866.59000000003</v>
      </c>
      <c r="U484" s="3">
        <f>Table1[[#This Row],[Net_Sales]]-Table1[[#This Row],[Total_Cost]]</f>
        <v>46402.700000000012</v>
      </c>
      <c r="V484" s="4">
        <f>Table1[[#This Row],[Net_Profit]]/Table1[[#This Row],[Net_Sales]]</f>
        <v>0.12748718450577951</v>
      </c>
      <c r="W484" t="s">
        <v>33</v>
      </c>
      <c r="X484" t="s">
        <v>546</v>
      </c>
      <c r="Y484">
        <v>5</v>
      </c>
      <c r="Z484" t="str">
        <f>IF(Table1[[#This Row],[Month_No]]&lt;=6, "H1","H2")</f>
        <v>H1</v>
      </c>
    </row>
    <row r="485" spans="1:26" x14ac:dyDescent="0.25">
      <c r="A485" s="2">
        <v>45783</v>
      </c>
      <c r="B485" t="s">
        <v>562</v>
      </c>
      <c r="C485" t="s">
        <v>107</v>
      </c>
      <c r="D485" t="s">
        <v>28</v>
      </c>
      <c r="E485" t="s">
        <v>29</v>
      </c>
      <c r="F485" t="s">
        <v>52</v>
      </c>
      <c r="G485" t="s">
        <v>76</v>
      </c>
      <c r="H485" t="s">
        <v>41</v>
      </c>
      <c r="I485">
        <v>105</v>
      </c>
      <c r="J485" s="3">
        <v>1211.92</v>
      </c>
      <c r="K485" s="3">
        <f>Table1[[#This Row],[Quantity]]*Table1[[#This Row],[Unit_Price]]</f>
        <v>127251.6</v>
      </c>
      <c r="L485" s="3">
        <v>10265.870000000001</v>
      </c>
      <c r="M485" s="3">
        <f>Table1[[#This Row],[Gross_Sales]]-Table1[[#This Row],[Discount]]</f>
        <v>116985.73000000001</v>
      </c>
      <c r="N485" s="3">
        <v>68607.350000000006</v>
      </c>
      <c r="O485" s="3">
        <v>3087.55</v>
      </c>
      <c r="P485" s="3">
        <v>7596.82</v>
      </c>
      <c r="Q485" s="3">
        <v>6265.84</v>
      </c>
      <c r="R485" s="3">
        <v>3383.27</v>
      </c>
      <c r="S485" s="3">
        <f>SUM(Table1[[#This Row],[Product_Cost]:[Other_Cost]])</f>
        <v>88940.83</v>
      </c>
      <c r="T485" s="3">
        <f>Table1[[#This Row],[Net_Sales]]-Table1[[#This Row],[Product_Cost]]</f>
        <v>48378.380000000005</v>
      </c>
      <c r="U485" s="3">
        <f>Table1[[#This Row],[Net_Sales]]-Table1[[#This Row],[Total_Cost]]</f>
        <v>28044.900000000009</v>
      </c>
      <c r="V485" s="4">
        <f>Table1[[#This Row],[Net_Profit]]/Table1[[#This Row],[Net_Sales]]</f>
        <v>0.23972923877125873</v>
      </c>
      <c r="W485" t="s">
        <v>33</v>
      </c>
      <c r="X485" t="s">
        <v>546</v>
      </c>
      <c r="Y485">
        <v>5</v>
      </c>
      <c r="Z485" t="str">
        <f>IF(Table1[[#This Row],[Month_No]]&lt;=6, "H1","H2")</f>
        <v>H1</v>
      </c>
    </row>
    <row r="486" spans="1:26" x14ac:dyDescent="0.25">
      <c r="A486" s="2">
        <v>45783</v>
      </c>
      <c r="B486" t="s">
        <v>563</v>
      </c>
      <c r="C486" t="s">
        <v>70</v>
      </c>
      <c r="D486" t="s">
        <v>74</v>
      </c>
      <c r="E486" t="s">
        <v>75</v>
      </c>
      <c r="F486" t="s">
        <v>52</v>
      </c>
      <c r="G486" t="s">
        <v>40</v>
      </c>
      <c r="H486" t="s">
        <v>47</v>
      </c>
      <c r="I486">
        <v>94</v>
      </c>
      <c r="J486" s="3">
        <v>5647.82</v>
      </c>
      <c r="K486" s="3">
        <f>Table1[[#This Row],[Quantity]]*Table1[[#This Row],[Unit_Price]]</f>
        <v>530895.07999999996</v>
      </c>
      <c r="L486" s="3">
        <v>42436.65</v>
      </c>
      <c r="M486" s="3">
        <f>Table1[[#This Row],[Gross_Sales]]-Table1[[#This Row],[Discount]]</f>
        <v>488458.42999999993</v>
      </c>
      <c r="N486" s="3">
        <v>375549</v>
      </c>
      <c r="O486" s="3">
        <v>12670.98</v>
      </c>
      <c r="P486" s="3">
        <v>28063.78</v>
      </c>
      <c r="Q486" s="3">
        <v>25546.12</v>
      </c>
      <c r="R486" s="3">
        <v>13177.33</v>
      </c>
      <c r="S486" s="3">
        <f>SUM(Table1[[#This Row],[Product_Cost]:[Other_Cost]])</f>
        <v>455007.21</v>
      </c>
      <c r="T486" s="3">
        <f>Table1[[#This Row],[Net_Sales]]-Table1[[#This Row],[Product_Cost]]</f>
        <v>112909.42999999993</v>
      </c>
      <c r="U486" s="3">
        <f>Table1[[#This Row],[Net_Sales]]-Table1[[#This Row],[Total_Cost]]</f>
        <v>33451.219999999914</v>
      </c>
      <c r="V486" s="4">
        <f>Table1[[#This Row],[Net_Profit]]/Table1[[#This Row],[Net_Sales]]</f>
        <v>6.8483248410719247E-2</v>
      </c>
      <c r="W486" t="s">
        <v>33</v>
      </c>
      <c r="X486" t="s">
        <v>546</v>
      </c>
      <c r="Y486">
        <v>5</v>
      </c>
      <c r="Z486" t="str">
        <f>IF(Table1[[#This Row],[Month_No]]&lt;=6, "H1","H2")</f>
        <v>H1</v>
      </c>
    </row>
    <row r="487" spans="1:26" x14ac:dyDescent="0.25">
      <c r="A487" s="2">
        <v>45783</v>
      </c>
      <c r="B487" t="s">
        <v>564</v>
      </c>
      <c r="C487" t="s">
        <v>63</v>
      </c>
      <c r="D487" t="s">
        <v>28</v>
      </c>
      <c r="E487" t="s">
        <v>29</v>
      </c>
      <c r="F487" t="s">
        <v>52</v>
      </c>
      <c r="G487" t="s">
        <v>86</v>
      </c>
      <c r="H487" t="s">
        <v>41</v>
      </c>
      <c r="I487">
        <v>94</v>
      </c>
      <c r="J487" s="3">
        <v>1198.3699999999999</v>
      </c>
      <c r="K487" s="3">
        <f>Table1[[#This Row],[Quantity]]*Table1[[#This Row],[Unit_Price]]</f>
        <v>112646.77999999998</v>
      </c>
      <c r="L487" s="3">
        <v>8611.2800000000007</v>
      </c>
      <c r="M487" s="3">
        <f>Table1[[#This Row],[Gross_Sales]]-Table1[[#This Row],[Discount]]</f>
        <v>104035.49999999999</v>
      </c>
      <c r="N487" s="3">
        <v>62299.25</v>
      </c>
      <c r="O487" s="3">
        <v>2961.51</v>
      </c>
      <c r="P487" s="3">
        <v>5940.67</v>
      </c>
      <c r="Q487" s="3">
        <v>5679.82</v>
      </c>
      <c r="R487" s="3">
        <v>3287.15</v>
      </c>
      <c r="S487" s="3">
        <f>SUM(Table1[[#This Row],[Product_Cost]:[Other_Cost]])</f>
        <v>80168.399999999994</v>
      </c>
      <c r="T487" s="3">
        <f>Table1[[#This Row],[Net_Sales]]-Table1[[#This Row],[Product_Cost]]</f>
        <v>41736.249999999985</v>
      </c>
      <c r="U487" s="3">
        <f>Table1[[#This Row],[Net_Sales]]-Table1[[#This Row],[Total_Cost]]</f>
        <v>23867.099999999991</v>
      </c>
      <c r="V487" s="4">
        <f>Table1[[#This Row],[Net_Profit]]/Table1[[#This Row],[Net_Sales]]</f>
        <v>0.22941303689605946</v>
      </c>
      <c r="W487" t="s">
        <v>72</v>
      </c>
      <c r="X487" t="s">
        <v>546</v>
      </c>
      <c r="Y487">
        <v>5</v>
      </c>
      <c r="Z487" t="str">
        <f>IF(Table1[[#This Row],[Month_No]]&lt;=6, "H1","H2")</f>
        <v>H1</v>
      </c>
    </row>
    <row r="488" spans="1:26" x14ac:dyDescent="0.25">
      <c r="A488" s="2">
        <v>45784</v>
      </c>
      <c r="B488" t="s">
        <v>565</v>
      </c>
      <c r="C488" t="s">
        <v>83</v>
      </c>
      <c r="D488" t="s">
        <v>44</v>
      </c>
      <c r="E488" t="s">
        <v>45</v>
      </c>
      <c r="F488" t="s">
        <v>30</v>
      </c>
      <c r="G488" t="s">
        <v>58</v>
      </c>
      <c r="H488" t="s">
        <v>41</v>
      </c>
      <c r="I488">
        <v>31</v>
      </c>
      <c r="J488" s="3">
        <v>4366.8500000000004</v>
      </c>
      <c r="K488" s="3">
        <f>Table1[[#This Row],[Quantity]]*Table1[[#This Row],[Unit_Price]]</f>
        <v>135372.35</v>
      </c>
      <c r="L488" s="3">
        <v>11420.64</v>
      </c>
      <c r="M488" s="3">
        <f>Table1[[#This Row],[Gross_Sales]]-Table1[[#This Row],[Discount]]</f>
        <v>123951.71</v>
      </c>
      <c r="N488" s="3">
        <v>91256.15</v>
      </c>
      <c r="O488" s="3">
        <v>4122.9399999999996</v>
      </c>
      <c r="P488" s="3">
        <v>7144.56</v>
      </c>
      <c r="Q488" s="3">
        <v>5056.8</v>
      </c>
      <c r="R488" s="3">
        <v>3404.12</v>
      </c>
      <c r="S488" s="3">
        <f>SUM(Table1[[#This Row],[Product_Cost]:[Other_Cost]])</f>
        <v>110984.56999999999</v>
      </c>
      <c r="T488" s="3">
        <f>Table1[[#This Row],[Net_Sales]]-Table1[[#This Row],[Product_Cost]]</f>
        <v>32695.560000000012</v>
      </c>
      <c r="U488" s="3">
        <f>Table1[[#This Row],[Net_Sales]]-Table1[[#This Row],[Total_Cost]]</f>
        <v>12967.140000000014</v>
      </c>
      <c r="V488" s="4">
        <f>Table1[[#This Row],[Net_Profit]]/Table1[[#This Row],[Net_Sales]]</f>
        <v>0.10461445025647499</v>
      </c>
      <c r="W488" t="s">
        <v>33</v>
      </c>
      <c r="X488" t="s">
        <v>546</v>
      </c>
      <c r="Y488">
        <v>5</v>
      </c>
      <c r="Z488" t="str">
        <f>IF(Table1[[#This Row],[Month_No]]&lt;=6, "H1","H2")</f>
        <v>H1</v>
      </c>
    </row>
    <row r="489" spans="1:26" x14ac:dyDescent="0.25">
      <c r="A489" s="2">
        <v>45784</v>
      </c>
      <c r="B489" t="s">
        <v>566</v>
      </c>
      <c r="C489" t="s">
        <v>63</v>
      </c>
      <c r="D489" t="s">
        <v>74</v>
      </c>
      <c r="E489" t="s">
        <v>75</v>
      </c>
      <c r="F489" t="s">
        <v>52</v>
      </c>
      <c r="G489" t="s">
        <v>31</v>
      </c>
      <c r="H489" t="s">
        <v>47</v>
      </c>
      <c r="I489">
        <v>49</v>
      </c>
      <c r="J489" s="3">
        <v>5485.27</v>
      </c>
      <c r="K489" s="3">
        <f>Table1[[#This Row],[Quantity]]*Table1[[#This Row],[Unit_Price]]</f>
        <v>268778.23000000004</v>
      </c>
      <c r="L489" s="3">
        <v>23570.03</v>
      </c>
      <c r="M489" s="3">
        <f>Table1[[#This Row],[Gross_Sales]]-Table1[[#This Row],[Discount]]</f>
        <v>245208.20000000004</v>
      </c>
      <c r="N489" s="3">
        <v>186079.22</v>
      </c>
      <c r="O489" s="3">
        <v>5751.4</v>
      </c>
      <c r="P489" s="3">
        <v>15220.23</v>
      </c>
      <c r="Q489" s="3">
        <v>10519.7</v>
      </c>
      <c r="R489" s="3">
        <v>6889.32</v>
      </c>
      <c r="S489" s="3">
        <f>SUM(Table1[[#This Row],[Product_Cost]:[Other_Cost]])</f>
        <v>224459.87000000002</v>
      </c>
      <c r="T489" s="3">
        <f>Table1[[#This Row],[Net_Sales]]-Table1[[#This Row],[Product_Cost]]</f>
        <v>59128.98000000004</v>
      </c>
      <c r="U489" s="3">
        <f>Table1[[#This Row],[Net_Sales]]-Table1[[#This Row],[Total_Cost]]</f>
        <v>20748.330000000016</v>
      </c>
      <c r="V489" s="4">
        <f>Table1[[#This Row],[Net_Profit]]/Table1[[#This Row],[Net_Sales]]</f>
        <v>8.4615155610619927E-2</v>
      </c>
      <c r="W489" t="s">
        <v>72</v>
      </c>
      <c r="X489" t="s">
        <v>546</v>
      </c>
      <c r="Y489">
        <v>5</v>
      </c>
      <c r="Z489" t="str">
        <f>IF(Table1[[#This Row],[Month_No]]&lt;=6, "H1","H2")</f>
        <v>H1</v>
      </c>
    </row>
    <row r="490" spans="1:26" x14ac:dyDescent="0.25">
      <c r="A490" s="2">
        <v>45784</v>
      </c>
      <c r="B490" t="s">
        <v>567</v>
      </c>
      <c r="C490" t="s">
        <v>78</v>
      </c>
      <c r="D490" t="s">
        <v>44</v>
      </c>
      <c r="E490" t="s">
        <v>45</v>
      </c>
      <c r="F490" t="s">
        <v>46</v>
      </c>
      <c r="G490" t="s">
        <v>64</v>
      </c>
      <c r="H490" t="s">
        <v>47</v>
      </c>
      <c r="I490">
        <v>84</v>
      </c>
      <c r="J490" s="3">
        <v>4642.0600000000004</v>
      </c>
      <c r="K490" s="3">
        <f>Table1[[#This Row],[Quantity]]*Table1[[#This Row],[Unit_Price]]</f>
        <v>389933.04000000004</v>
      </c>
      <c r="L490" s="3">
        <v>32734.080000000002</v>
      </c>
      <c r="M490" s="3">
        <f>Table1[[#This Row],[Gross_Sales]]-Table1[[#This Row],[Discount]]</f>
        <v>357198.96</v>
      </c>
      <c r="N490" s="3">
        <v>263838.40999999997</v>
      </c>
      <c r="O490" s="3">
        <v>9825.0499999999993</v>
      </c>
      <c r="P490" s="3">
        <v>20895.189999999999</v>
      </c>
      <c r="Q490" s="3">
        <v>14517.82</v>
      </c>
      <c r="R490" s="3">
        <v>9203.93</v>
      </c>
      <c r="S490" s="3">
        <f>SUM(Table1[[#This Row],[Product_Cost]:[Other_Cost]])</f>
        <v>318280.39999999997</v>
      </c>
      <c r="T490" s="3">
        <f>Table1[[#This Row],[Net_Sales]]-Table1[[#This Row],[Product_Cost]]</f>
        <v>93360.550000000047</v>
      </c>
      <c r="U490" s="3">
        <f>Table1[[#This Row],[Net_Sales]]-Table1[[#This Row],[Total_Cost]]</f>
        <v>38918.560000000056</v>
      </c>
      <c r="V490" s="4">
        <f>Table1[[#This Row],[Net_Profit]]/Table1[[#This Row],[Net_Sales]]</f>
        <v>0.10895485250013061</v>
      </c>
      <c r="W490" t="s">
        <v>33</v>
      </c>
      <c r="X490" t="s">
        <v>546</v>
      </c>
      <c r="Y490">
        <v>5</v>
      </c>
      <c r="Z490" t="str">
        <f>IF(Table1[[#This Row],[Month_No]]&lt;=6, "H1","H2")</f>
        <v>H1</v>
      </c>
    </row>
    <row r="491" spans="1:26" x14ac:dyDescent="0.25">
      <c r="A491" s="2">
        <v>45784</v>
      </c>
      <c r="B491" t="s">
        <v>568</v>
      </c>
      <c r="C491" t="s">
        <v>43</v>
      </c>
      <c r="D491" t="s">
        <v>44</v>
      </c>
      <c r="E491" t="s">
        <v>45</v>
      </c>
      <c r="F491" t="s">
        <v>52</v>
      </c>
      <c r="G491" t="s">
        <v>58</v>
      </c>
      <c r="H491" t="s">
        <v>59</v>
      </c>
      <c r="I491">
        <v>29</v>
      </c>
      <c r="J491" s="3">
        <v>4383.51</v>
      </c>
      <c r="K491" s="3">
        <f>Table1[[#This Row],[Quantity]]*Table1[[#This Row],[Unit_Price]]</f>
        <v>127121.79000000001</v>
      </c>
      <c r="L491" s="3">
        <v>7701.06</v>
      </c>
      <c r="M491" s="3">
        <f>Table1[[#This Row],[Gross_Sales]]-Table1[[#This Row],[Discount]]</f>
        <v>119420.73000000001</v>
      </c>
      <c r="N491" s="3">
        <v>82702.06</v>
      </c>
      <c r="O491" s="3">
        <v>3352.9</v>
      </c>
      <c r="P491" s="3">
        <v>8454.4699999999993</v>
      </c>
      <c r="Q491" s="3">
        <v>4932.49</v>
      </c>
      <c r="R491" s="3">
        <v>2782.76</v>
      </c>
      <c r="S491" s="3">
        <f>SUM(Table1[[#This Row],[Product_Cost]:[Other_Cost]])</f>
        <v>102224.68</v>
      </c>
      <c r="T491" s="3">
        <f>Table1[[#This Row],[Net_Sales]]-Table1[[#This Row],[Product_Cost]]</f>
        <v>36718.670000000013</v>
      </c>
      <c r="U491" s="3">
        <f>Table1[[#This Row],[Net_Sales]]-Table1[[#This Row],[Total_Cost]]</f>
        <v>17196.050000000017</v>
      </c>
      <c r="V491" s="4">
        <f>Table1[[#This Row],[Net_Profit]]/Table1[[#This Row],[Net_Sales]]</f>
        <v>0.143995519035933</v>
      </c>
      <c r="W491" t="s">
        <v>72</v>
      </c>
      <c r="X491" t="s">
        <v>546</v>
      </c>
      <c r="Y491">
        <v>5</v>
      </c>
      <c r="Z491" t="str">
        <f>IF(Table1[[#This Row],[Month_No]]&lt;=6, "H1","H2")</f>
        <v>H1</v>
      </c>
    </row>
    <row r="492" spans="1:26" x14ac:dyDescent="0.25">
      <c r="A492" s="2">
        <v>45784</v>
      </c>
      <c r="B492" t="s">
        <v>569</v>
      </c>
      <c r="C492" t="s">
        <v>55</v>
      </c>
      <c r="D492" t="s">
        <v>28</v>
      </c>
      <c r="E492" t="s">
        <v>29</v>
      </c>
      <c r="F492" t="s">
        <v>46</v>
      </c>
      <c r="G492" t="s">
        <v>40</v>
      </c>
      <c r="H492" t="s">
        <v>41</v>
      </c>
      <c r="I492">
        <v>59</v>
      </c>
      <c r="J492" s="3">
        <v>1192.19</v>
      </c>
      <c r="K492" s="3">
        <f>Table1[[#This Row],[Quantity]]*Table1[[#This Row],[Unit_Price]]</f>
        <v>70339.210000000006</v>
      </c>
      <c r="L492" s="3">
        <v>6076.88</v>
      </c>
      <c r="M492" s="3">
        <f>Table1[[#This Row],[Gross_Sales]]-Table1[[#This Row],[Discount]]</f>
        <v>64262.330000000009</v>
      </c>
      <c r="N492" s="3">
        <v>38776.400000000001</v>
      </c>
      <c r="O492" s="3">
        <v>1761.4</v>
      </c>
      <c r="P492" s="3">
        <v>3720.66</v>
      </c>
      <c r="Q492" s="3">
        <v>2811.89</v>
      </c>
      <c r="R492" s="3">
        <v>1552.01</v>
      </c>
      <c r="S492" s="3">
        <f>SUM(Table1[[#This Row],[Product_Cost]:[Other_Cost]])</f>
        <v>48622.360000000008</v>
      </c>
      <c r="T492" s="3">
        <f>Table1[[#This Row],[Net_Sales]]-Table1[[#This Row],[Product_Cost]]</f>
        <v>25485.930000000008</v>
      </c>
      <c r="U492" s="3">
        <f>Table1[[#This Row],[Net_Sales]]-Table1[[#This Row],[Total_Cost]]</f>
        <v>15639.970000000001</v>
      </c>
      <c r="V492" s="4">
        <f>Table1[[#This Row],[Net_Profit]]/Table1[[#This Row],[Net_Sales]]</f>
        <v>0.24337695194058478</v>
      </c>
      <c r="W492" t="s">
        <v>33</v>
      </c>
      <c r="X492" t="s">
        <v>546</v>
      </c>
      <c r="Y492">
        <v>5</v>
      </c>
      <c r="Z492" t="str">
        <f>IF(Table1[[#This Row],[Month_No]]&lt;=6, "H1","H2")</f>
        <v>H1</v>
      </c>
    </row>
    <row r="493" spans="1:26" x14ac:dyDescent="0.25">
      <c r="A493" s="2">
        <v>45784</v>
      </c>
      <c r="B493" t="s">
        <v>570</v>
      </c>
      <c r="C493" t="s">
        <v>70</v>
      </c>
      <c r="D493" t="s">
        <v>68</v>
      </c>
      <c r="E493" t="s">
        <v>29</v>
      </c>
      <c r="F493" t="s">
        <v>30</v>
      </c>
      <c r="G493" t="s">
        <v>31</v>
      </c>
      <c r="H493" t="s">
        <v>47</v>
      </c>
      <c r="I493">
        <v>129</v>
      </c>
      <c r="J493" s="3">
        <v>371.34</v>
      </c>
      <c r="K493" s="3">
        <f>Table1[[#This Row],[Quantity]]*Table1[[#This Row],[Unit_Price]]</f>
        <v>47902.859999999993</v>
      </c>
      <c r="L493" s="3">
        <v>3026.86</v>
      </c>
      <c r="M493" s="3">
        <f>Table1[[#This Row],[Gross_Sales]]-Table1[[#This Row],[Discount]]</f>
        <v>44875.999999999993</v>
      </c>
      <c r="N493" s="3">
        <v>34095.31</v>
      </c>
      <c r="O493" s="3">
        <v>1712.67</v>
      </c>
      <c r="P493" s="3">
        <v>2690.03</v>
      </c>
      <c r="Q493" s="3">
        <v>1877.78</v>
      </c>
      <c r="R493" s="3">
        <v>908.53</v>
      </c>
      <c r="S493" s="3">
        <f>SUM(Table1[[#This Row],[Product_Cost]:[Other_Cost]])</f>
        <v>41284.319999999992</v>
      </c>
      <c r="T493" s="3">
        <f>Table1[[#This Row],[Net_Sales]]-Table1[[#This Row],[Product_Cost]]</f>
        <v>10780.689999999995</v>
      </c>
      <c r="U493" s="3">
        <f>Table1[[#This Row],[Net_Sales]]-Table1[[#This Row],[Total_Cost]]</f>
        <v>3591.6800000000003</v>
      </c>
      <c r="V493" s="4">
        <f>Table1[[#This Row],[Net_Profit]]/Table1[[#This Row],[Net_Sales]]</f>
        <v>8.0035653801586615E-2</v>
      </c>
      <c r="W493" t="s">
        <v>33</v>
      </c>
      <c r="X493" t="s">
        <v>546</v>
      </c>
      <c r="Y493">
        <v>5</v>
      </c>
      <c r="Z493" t="str">
        <f>IF(Table1[[#This Row],[Month_No]]&lt;=6, "H1","H2")</f>
        <v>H1</v>
      </c>
    </row>
    <row r="494" spans="1:26" x14ac:dyDescent="0.25">
      <c r="A494" s="2">
        <v>45785</v>
      </c>
      <c r="B494" t="s">
        <v>571</v>
      </c>
      <c r="C494" t="s">
        <v>27</v>
      </c>
      <c r="D494" t="s">
        <v>56</v>
      </c>
      <c r="E494" t="s">
        <v>57</v>
      </c>
      <c r="F494" t="s">
        <v>39</v>
      </c>
      <c r="G494" t="s">
        <v>86</v>
      </c>
      <c r="H494" t="s">
        <v>32</v>
      </c>
      <c r="I494">
        <v>67</v>
      </c>
      <c r="J494" s="3">
        <v>3115.33</v>
      </c>
      <c r="K494" s="3">
        <f>Table1[[#This Row],[Quantity]]*Table1[[#This Row],[Unit_Price]]</f>
        <v>208727.11</v>
      </c>
      <c r="L494" s="3">
        <v>17826.59</v>
      </c>
      <c r="M494" s="3">
        <f>Table1[[#This Row],[Gross_Sales]]-Table1[[#This Row],[Discount]]</f>
        <v>190900.52</v>
      </c>
      <c r="N494" s="3">
        <v>112180.17</v>
      </c>
      <c r="O494" s="3">
        <v>8073.24</v>
      </c>
      <c r="P494" s="3">
        <v>11841.51</v>
      </c>
      <c r="Q494" s="3">
        <v>7059.74</v>
      </c>
      <c r="R494" s="3">
        <v>4297.09</v>
      </c>
      <c r="S494" s="3">
        <f>SUM(Table1[[#This Row],[Product_Cost]:[Other_Cost]])</f>
        <v>143451.75</v>
      </c>
      <c r="T494" s="3">
        <f>Table1[[#This Row],[Net_Sales]]-Table1[[#This Row],[Product_Cost]]</f>
        <v>78720.349999999991</v>
      </c>
      <c r="U494" s="3">
        <f>Table1[[#This Row],[Net_Sales]]-Table1[[#This Row],[Total_Cost]]</f>
        <v>47448.76999999999</v>
      </c>
      <c r="V494" s="4">
        <f>Table1[[#This Row],[Net_Profit]]/Table1[[#This Row],[Net_Sales]]</f>
        <v>0.2485523350067354</v>
      </c>
      <c r="W494" t="s">
        <v>72</v>
      </c>
      <c r="X494" t="s">
        <v>546</v>
      </c>
      <c r="Y494">
        <v>5</v>
      </c>
      <c r="Z494" t="str">
        <f>IF(Table1[[#This Row],[Month_No]]&lt;=6, "H1","H2")</f>
        <v>H1</v>
      </c>
    </row>
    <row r="495" spans="1:26" x14ac:dyDescent="0.25">
      <c r="A495" s="2">
        <v>45786</v>
      </c>
      <c r="B495" t="s">
        <v>572</v>
      </c>
      <c r="C495" t="s">
        <v>43</v>
      </c>
      <c r="D495" t="s">
        <v>37</v>
      </c>
      <c r="E495" t="s">
        <v>38</v>
      </c>
      <c r="F495" t="s">
        <v>46</v>
      </c>
      <c r="G495" t="s">
        <v>86</v>
      </c>
      <c r="H495" t="s">
        <v>59</v>
      </c>
      <c r="I495">
        <v>76</v>
      </c>
      <c r="J495" s="3">
        <v>4365.45</v>
      </c>
      <c r="K495" s="3">
        <f>Table1[[#This Row],[Quantity]]*Table1[[#This Row],[Unit_Price]]</f>
        <v>331774.2</v>
      </c>
      <c r="L495" s="3">
        <v>25678.33</v>
      </c>
      <c r="M495" s="3">
        <f>Table1[[#This Row],[Gross_Sales]]-Table1[[#This Row],[Discount]]</f>
        <v>306095.87</v>
      </c>
      <c r="N495" s="3">
        <v>216162.91</v>
      </c>
      <c r="O495" s="3">
        <v>8360.74</v>
      </c>
      <c r="P495" s="3">
        <v>21698.42</v>
      </c>
      <c r="Q495" s="3">
        <v>10748.59</v>
      </c>
      <c r="R495" s="3">
        <v>6861.03</v>
      </c>
      <c r="S495" s="3">
        <f>SUM(Table1[[#This Row],[Product_Cost]:[Other_Cost]])</f>
        <v>263831.69</v>
      </c>
      <c r="T495" s="3">
        <f>Table1[[#This Row],[Net_Sales]]-Table1[[#This Row],[Product_Cost]]</f>
        <v>89932.959999999992</v>
      </c>
      <c r="U495" s="3">
        <f>Table1[[#This Row],[Net_Sales]]-Table1[[#This Row],[Total_Cost]]</f>
        <v>42264.179999999993</v>
      </c>
      <c r="V495" s="4">
        <f>Table1[[#This Row],[Net_Profit]]/Table1[[#This Row],[Net_Sales]]</f>
        <v>0.13807497631379342</v>
      </c>
      <c r="W495" t="s">
        <v>33</v>
      </c>
      <c r="X495" t="s">
        <v>546</v>
      </c>
      <c r="Y495">
        <v>5</v>
      </c>
      <c r="Z495" t="str">
        <f>IF(Table1[[#This Row],[Month_No]]&lt;=6, "H1","H2")</f>
        <v>H1</v>
      </c>
    </row>
    <row r="496" spans="1:26" x14ac:dyDescent="0.25">
      <c r="A496" s="2">
        <v>45787</v>
      </c>
      <c r="B496" t="s">
        <v>573</v>
      </c>
      <c r="C496" t="s">
        <v>36</v>
      </c>
      <c r="D496" t="s">
        <v>28</v>
      </c>
      <c r="E496" t="s">
        <v>29</v>
      </c>
      <c r="F496" t="s">
        <v>30</v>
      </c>
      <c r="G496" t="s">
        <v>76</v>
      </c>
      <c r="H496" t="s">
        <v>41</v>
      </c>
      <c r="I496">
        <v>91</v>
      </c>
      <c r="J496" s="3">
        <v>1173.08</v>
      </c>
      <c r="K496" s="3">
        <f>Table1[[#This Row],[Quantity]]*Table1[[#This Row],[Unit_Price]]</f>
        <v>106750.28</v>
      </c>
      <c r="L496" s="3">
        <v>8114.54</v>
      </c>
      <c r="M496" s="3">
        <f>Table1[[#This Row],[Gross_Sales]]-Table1[[#This Row],[Discount]]</f>
        <v>98635.74</v>
      </c>
      <c r="N496" s="3">
        <v>59284.57</v>
      </c>
      <c r="O496" s="3">
        <v>3538.83</v>
      </c>
      <c r="P496" s="3">
        <v>6902.06</v>
      </c>
      <c r="Q496" s="3">
        <v>4146.18</v>
      </c>
      <c r="R496" s="3">
        <v>2257.96</v>
      </c>
      <c r="S496" s="3">
        <f>SUM(Table1[[#This Row],[Product_Cost]:[Other_Cost]])</f>
        <v>76129.60000000002</v>
      </c>
      <c r="T496" s="3">
        <f>Table1[[#This Row],[Net_Sales]]-Table1[[#This Row],[Product_Cost]]</f>
        <v>39351.170000000006</v>
      </c>
      <c r="U496" s="3">
        <f>Table1[[#This Row],[Net_Sales]]-Table1[[#This Row],[Total_Cost]]</f>
        <v>22506.139999999985</v>
      </c>
      <c r="V496" s="4">
        <f>Table1[[#This Row],[Net_Profit]]/Table1[[#This Row],[Net_Sales]]</f>
        <v>0.22817429057662045</v>
      </c>
      <c r="W496" t="s">
        <v>72</v>
      </c>
      <c r="X496" t="s">
        <v>546</v>
      </c>
      <c r="Y496">
        <v>5</v>
      </c>
      <c r="Z496" t="str">
        <f>IF(Table1[[#This Row],[Month_No]]&lt;=6, "H1","H2")</f>
        <v>H1</v>
      </c>
    </row>
    <row r="497" spans="1:26" x14ac:dyDescent="0.25">
      <c r="A497" s="2">
        <v>45787</v>
      </c>
      <c r="B497" t="s">
        <v>574</v>
      </c>
      <c r="C497" t="s">
        <v>43</v>
      </c>
      <c r="D497" t="s">
        <v>81</v>
      </c>
      <c r="E497" t="s">
        <v>45</v>
      </c>
      <c r="F497" t="s">
        <v>30</v>
      </c>
      <c r="G497" t="s">
        <v>76</v>
      </c>
      <c r="H497" t="s">
        <v>41</v>
      </c>
      <c r="I497">
        <v>57</v>
      </c>
      <c r="J497" s="3">
        <v>6550.69</v>
      </c>
      <c r="K497" s="3">
        <f>Table1[[#This Row],[Quantity]]*Table1[[#This Row],[Unit_Price]]</f>
        <v>373389.32999999996</v>
      </c>
      <c r="L497" s="3">
        <v>27940.82</v>
      </c>
      <c r="M497" s="3">
        <f>Table1[[#This Row],[Gross_Sales]]-Table1[[#This Row],[Discount]]</f>
        <v>345448.50999999995</v>
      </c>
      <c r="N497" s="3">
        <v>194305.77</v>
      </c>
      <c r="O497" s="3">
        <v>11747.82</v>
      </c>
      <c r="P497" s="3">
        <v>20865.61</v>
      </c>
      <c r="Q497" s="3">
        <v>14322.14</v>
      </c>
      <c r="R497" s="3">
        <v>9286.5400000000009</v>
      </c>
      <c r="S497" s="3">
        <f>SUM(Table1[[#This Row],[Product_Cost]:[Other_Cost]])</f>
        <v>250527.88000000003</v>
      </c>
      <c r="T497" s="3">
        <f>Table1[[#This Row],[Net_Sales]]-Table1[[#This Row],[Product_Cost]]</f>
        <v>151142.73999999996</v>
      </c>
      <c r="U497" s="3">
        <f>Table1[[#This Row],[Net_Sales]]-Table1[[#This Row],[Total_Cost]]</f>
        <v>94920.629999999917</v>
      </c>
      <c r="V497" s="4">
        <f>Table1[[#This Row],[Net_Profit]]/Table1[[#This Row],[Net_Sales]]</f>
        <v>0.27477504534612102</v>
      </c>
      <c r="W497" t="s">
        <v>33</v>
      </c>
      <c r="X497" t="s">
        <v>546</v>
      </c>
      <c r="Y497">
        <v>5</v>
      </c>
      <c r="Z497" t="str">
        <f>IF(Table1[[#This Row],[Month_No]]&lt;=6, "H1","H2")</f>
        <v>H1</v>
      </c>
    </row>
    <row r="498" spans="1:26" x14ac:dyDescent="0.25">
      <c r="A498" s="2">
        <v>45787</v>
      </c>
      <c r="B498" t="s">
        <v>575</v>
      </c>
      <c r="C498" t="s">
        <v>83</v>
      </c>
      <c r="D498" t="s">
        <v>68</v>
      </c>
      <c r="E498" t="s">
        <v>29</v>
      </c>
      <c r="F498" t="s">
        <v>52</v>
      </c>
      <c r="G498" t="s">
        <v>58</v>
      </c>
      <c r="H498" t="s">
        <v>47</v>
      </c>
      <c r="I498">
        <v>121</v>
      </c>
      <c r="J498" s="3">
        <v>364.48</v>
      </c>
      <c r="K498" s="3">
        <f>Table1[[#This Row],[Quantity]]*Table1[[#This Row],[Unit_Price]]</f>
        <v>44102.080000000002</v>
      </c>
      <c r="L498" s="3">
        <v>3131.42</v>
      </c>
      <c r="M498" s="3">
        <f>Table1[[#This Row],[Gross_Sales]]-Table1[[#This Row],[Discount]]</f>
        <v>40970.660000000003</v>
      </c>
      <c r="N498" s="3">
        <v>31590.05</v>
      </c>
      <c r="O498" s="3">
        <v>970.52</v>
      </c>
      <c r="P498" s="3">
        <v>2804.22</v>
      </c>
      <c r="Q498" s="3">
        <v>1711.46</v>
      </c>
      <c r="R498" s="3">
        <v>984.11</v>
      </c>
      <c r="S498" s="3">
        <f>SUM(Table1[[#This Row],[Product_Cost]:[Other_Cost]])</f>
        <v>38060.36</v>
      </c>
      <c r="T498" s="3">
        <f>Table1[[#This Row],[Net_Sales]]-Table1[[#This Row],[Product_Cost]]</f>
        <v>9380.6100000000042</v>
      </c>
      <c r="U498" s="3">
        <f>Table1[[#This Row],[Net_Sales]]-Table1[[#This Row],[Total_Cost]]</f>
        <v>2910.3000000000029</v>
      </c>
      <c r="V498" s="4">
        <f>Table1[[#This Row],[Net_Profit]]/Table1[[#This Row],[Net_Sales]]</f>
        <v>7.1033759280421715E-2</v>
      </c>
      <c r="W498" t="s">
        <v>33</v>
      </c>
      <c r="X498" t="s">
        <v>546</v>
      </c>
      <c r="Y498">
        <v>5</v>
      </c>
      <c r="Z498" t="str">
        <f>IF(Table1[[#This Row],[Month_No]]&lt;=6, "H1","H2")</f>
        <v>H1</v>
      </c>
    </row>
    <row r="499" spans="1:26" x14ac:dyDescent="0.25">
      <c r="A499" s="2">
        <v>45788</v>
      </c>
      <c r="B499" t="s">
        <v>576</v>
      </c>
      <c r="C499" t="s">
        <v>107</v>
      </c>
      <c r="D499" t="s">
        <v>68</v>
      </c>
      <c r="E499" t="s">
        <v>29</v>
      </c>
      <c r="F499" t="s">
        <v>39</v>
      </c>
      <c r="G499" t="s">
        <v>31</v>
      </c>
      <c r="H499" t="s">
        <v>59</v>
      </c>
      <c r="I499">
        <v>145</v>
      </c>
      <c r="J499" s="3">
        <v>373.7</v>
      </c>
      <c r="K499" s="3">
        <f>Table1[[#This Row],[Quantity]]*Table1[[#This Row],[Unit_Price]]</f>
        <v>54186.5</v>
      </c>
      <c r="L499" s="3">
        <v>4511.6099999999997</v>
      </c>
      <c r="M499" s="3">
        <f>Table1[[#This Row],[Gross_Sales]]-Table1[[#This Row],[Discount]]</f>
        <v>49674.89</v>
      </c>
      <c r="N499" s="3">
        <v>39415.43</v>
      </c>
      <c r="O499" s="3">
        <v>2162.61</v>
      </c>
      <c r="P499" s="3">
        <v>3525.8</v>
      </c>
      <c r="Q499" s="3">
        <v>1952.71</v>
      </c>
      <c r="R499" s="3">
        <v>1150.5</v>
      </c>
      <c r="S499" s="3">
        <f>SUM(Table1[[#This Row],[Product_Cost]:[Other_Cost]])</f>
        <v>48207.05</v>
      </c>
      <c r="T499" s="3">
        <f>Table1[[#This Row],[Net_Sales]]-Table1[[#This Row],[Product_Cost]]</f>
        <v>10259.459999999999</v>
      </c>
      <c r="U499" s="3">
        <f>Table1[[#This Row],[Net_Sales]]-Table1[[#This Row],[Total_Cost]]</f>
        <v>1467.8399999999965</v>
      </c>
      <c r="V499" s="4">
        <f>Table1[[#This Row],[Net_Profit]]/Table1[[#This Row],[Net_Sales]]</f>
        <v>2.9548933072624753E-2</v>
      </c>
      <c r="W499" t="s">
        <v>33</v>
      </c>
      <c r="X499" t="s">
        <v>546</v>
      </c>
      <c r="Y499">
        <v>5</v>
      </c>
      <c r="Z499" t="str">
        <f>IF(Table1[[#This Row],[Month_No]]&lt;=6, "H1","H2")</f>
        <v>H1</v>
      </c>
    </row>
    <row r="500" spans="1:26" x14ac:dyDescent="0.25">
      <c r="A500" s="2">
        <v>45788</v>
      </c>
      <c r="B500" t="s">
        <v>577</v>
      </c>
      <c r="C500" t="s">
        <v>70</v>
      </c>
      <c r="D500" t="s">
        <v>56</v>
      </c>
      <c r="E500" t="s">
        <v>57</v>
      </c>
      <c r="F500" t="s">
        <v>39</v>
      </c>
      <c r="G500" t="s">
        <v>64</v>
      </c>
      <c r="H500" t="s">
        <v>47</v>
      </c>
      <c r="I500">
        <v>60</v>
      </c>
      <c r="J500" s="3">
        <v>3143.39</v>
      </c>
      <c r="K500" s="3">
        <f>Table1[[#This Row],[Quantity]]*Table1[[#This Row],[Unit_Price]]</f>
        <v>188603.4</v>
      </c>
      <c r="L500" s="3">
        <v>12435.62</v>
      </c>
      <c r="M500" s="3">
        <f>Table1[[#This Row],[Gross_Sales]]-Table1[[#This Row],[Discount]]</f>
        <v>176167.78</v>
      </c>
      <c r="N500" s="3">
        <v>102361.08</v>
      </c>
      <c r="O500" s="3">
        <v>7648.03</v>
      </c>
      <c r="P500" s="3">
        <v>9975.0499999999993</v>
      </c>
      <c r="Q500" s="3">
        <v>7813.12</v>
      </c>
      <c r="R500" s="3">
        <v>4625.9799999999996</v>
      </c>
      <c r="S500" s="3">
        <f>SUM(Table1[[#This Row],[Product_Cost]:[Other_Cost]])</f>
        <v>132423.26</v>
      </c>
      <c r="T500" s="3">
        <f>Table1[[#This Row],[Net_Sales]]-Table1[[#This Row],[Product_Cost]]</f>
        <v>73806.7</v>
      </c>
      <c r="U500" s="3">
        <f>Table1[[#This Row],[Net_Sales]]-Table1[[#This Row],[Total_Cost]]</f>
        <v>43744.51999999999</v>
      </c>
      <c r="V500" s="4">
        <f>Table1[[#This Row],[Net_Profit]]/Table1[[#This Row],[Net_Sales]]</f>
        <v>0.2483116946810591</v>
      </c>
      <c r="W500" t="s">
        <v>33</v>
      </c>
      <c r="X500" t="s">
        <v>546</v>
      </c>
      <c r="Y500">
        <v>5</v>
      </c>
      <c r="Z500" t="str">
        <f>IF(Table1[[#This Row],[Month_No]]&lt;=6, "H1","H2")</f>
        <v>H1</v>
      </c>
    </row>
    <row r="501" spans="1:26" x14ac:dyDescent="0.25">
      <c r="A501" s="2">
        <v>45788</v>
      </c>
      <c r="B501" t="s">
        <v>578</v>
      </c>
      <c r="C501" t="s">
        <v>36</v>
      </c>
      <c r="D501" t="s">
        <v>85</v>
      </c>
      <c r="E501" t="s">
        <v>57</v>
      </c>
      <c r="F501" t="s">
        <v>52</v>
      </c>
      <c r="G501" t="s">
        <v>31</v>
      </c>
      <c r="H501" t="s">
        <v>47</v>
      </c>
      <c r="I501">
        <v>60</v>
      </c>
      <c r="J501" s="3">
        <v>1839.71</v>
      </c>
      <c r="K501" s="3">
        <f>Table1[[#This Row],[Quantity]]*Table1[[#This Row],[Unit_Price]]</f>
        <v>110382.6</v>
      </c>
      <c r="L501" s="3">
        <v>9001.48</v>
      </c>
      <c r="M501" s="3">
        <f>Table1[[#This Row],[Gross_Sales]]-Table1[[#This Row],[Discount]]</f>
        <v>101381.12000000001</v>
      </c>
      <c r="N501" s="3">
        <v>73612.429999999993</v>
      </c>
      <c r="O501" s="3">
        <v>2478.91</v>
      </c>
      <c r="P501" s="3">
        <v>6903.76</v>
      </c>
      <c r="Q501" s="3">
        <v>4119.18</v>
      </c>
      <c r="R501" s="3">
        <v>2443.5</v>
      </c>
      <c r="S501" s="3">
        <f>SUM(Table1[[#This Row],[Product_Cost]:[Other_Cost]])</f>
        <v>89557.78</v>
      </c>
      <c r="T501" s="3">
        <f>Table1[[#This Row],[Net_Sales]]-Table1[[#This Row],[Product_Cost]]</f>
        <v>27768.690000000017</v>
      </c>
      <c r="U501" s="3">
        <f>Table1[[#This Row],[Net_Sales]]-Table1[[#This Row],[Total_Cost]]</f>
        <v>11823.340000000011</v>
      </c>
      <c r="V501" s="4">
        <f>Table1[[#This Row],[Net_Profit]]/Table1[[#This Row],[Net_Sales]]</f>
        <v>0.11662270055805272</v>
      </c>
      <c r="W501" t="s">
        <v>33</v>
      </c>
      <c r="X501" t="s">
        <v>546</v>
      </c>
      <c r="Y501">
        <v>5</v>
      </c>
      <c r="Z501" t="str">
        <f>IF(Table1[[#This Row],[Month_No]]&lt;=6, "H1","H2")</f>
        <v>H1</v>
      </c>
    </row>
    <row r="502" spans="1:26" x14ac:dyDescent="0.25">
      <c r="A502" s="2">
        <v>45788</v>
      </c>
      <c r="B502" t="s">
        <v>579</v>
      </c>
      <c r="C502" t="s">
        <v>55</v>
      </c>
      <c r="D502" t="s">
        <v>100</v>
      </c>
      <c r="E502" t="s">
        <v>75</v>
      </c>
      <c r="F502" t="s">
        <v>52</v>
      </c>
      <c r="G502" t="s">
        <v>86</v>
      </c>
      <c r="H502" t="s">
        <v>59</v>
      </c>
      <c r="I502">
        <v>42</v>
      </c>
      <c r="J502" s="3">
        <v>6982.16</v>
      </c>
      <c r="K502" s="3">
        <f>Table1[[#This Row],[Quantity]]*Table1[[#This Row],[Unit_Price]]</f>
        <v>293250.71999999997</v>
      </c>
      <c r="L502" s="3">
        <v>17436.61</v>
      </c>
      <c r="M502" s="3">
        <f>Table1[[#This Row],[Gross_Sales]]-Table1[[#This Row],[Discount]]</f>
        <v>275814.11</v>
      </c>
      <c r="N502" s="3">
        <v>171875.4</v>
      </c>
      <c r="O502" s="3">
        <v>6919.94</v>
      </c>
      <c r="P502" s="3">
        <v>20187.97</v>
      </c>
      <c r="Q502" s="3">
        <v>12133.67</v>
      </c>
      <c r="R502" s="3">
        <v>5684.46</v>
      </c>
      <c r="S502" s="3">
        <f>SUM(Table1[[#This Row],[Product_Cost]:[Other_Cost]])</f>
        <v>216801.44</v>
      </c>
      <c r="T502" s="3">
        <f>Table1[[#This Row],[Net_Sales]]-Table1[[#This Row],[Product_Cost]]</f>
        <v>103938.70999999999</v>
      </c>
      <c r="U502" s="3">
        <f>Table1[[#This Row],[Net_Sales]]-Table1[[#This Row],[Total_Cost]]</f>
        <v>59012.669999999984</v>
      </c>
      <c r="V502" s="4">
        <f>Table1[[#This Row],[Net_Profit]]/Table1[[#This Row],[Net_Sales]]</f>
        <v>0.2139581256375897</v>
      </c>
      <c r="W502" t="s">
        <v>33</v>
      </c>
      <c r="X502" t="s">
        <v>546</v>
      </c>
      <c r="Y502">
        <v>5</v>
      </c>
      <c r="Z502" t="str">
        <f>IF(Table1[[#This Row],[Month_No]]&lt;=6, "H1","H2")</f>
        <v>H1</v>
      </c>
    </row>
    <row r="503" spans="1:26" x14ac:dyDescent="0.25">
      <c r="A503" s="2">
        <v>45789</v>
      </c>
      <c r="B503" t="s">
        <v>580</v>
      </c>
      <c r="C503" t="s">
        <v>49</v>
      </c>
      <c r="D503" t="s">
        <v>50</v>
      </c>
      <c r="E503" t="s">
        <v>51</v>
      </c>
      <c r="F503" t="s">
        <v>39</v>
      </c>
      <c r="G503" t="s">
        <v>76</v>
      </c>
      <c r="H503" t="s">
        <v>32</v>
      </c>
      <c r="I503">
        <v>97</v>
      </c>
      <c r="J503" s="3">
        <v>826.65</v>
      </c>
      <c r="K503" s="3">
        <f>Table1[[#This Row],[Quantity]]*Table1[[#This Row],[Unit_Price]]</f>
        <v>80185.05</v>
      </c>
      <c r="L503" s="3">
        <v>7509.59</v>
      </c>
      <c r="M503" s="3">
        <f>Table1[[#This Row],[Gross_Sales]]-Table1[[#This Row],[Discount]]</f>
        <v>72675.460000000006</v>
      </c>
      <c r="N503" s="3">
        <v>47965.27</v>
      </c>
      <c r="O503" s="3">
        <v>2781</v>
      </c>
      <c r="P503" s="3">
        <v>4786.8500000000004</v>
      </c>
      <c r="Q503" s="3">
        <v>3665.3</v>
      </c>
      <c r="R503" s="3">
        <v>2243.2199999999998</v>
      </c>
      <c r="S503" s="3">
        <f>SUM(Table1[[#This Row],[Product_Cost]:[Other_Cost]])</f>
        <v>61441.64</v>
      </c>
      <c r="T503" s="3">
        <f>Table1[[#This Row],[Net_Sales]]-Table1[[#This Row],[Product_Cost]]</f>
        <v>24710.19000000001</v>
      </c>
      <c r="U503" s="3">
        <f>Table1[[#This Row],[Net_Sales]]-Table1[[#This Row],[Total_Cost]]</f>
        <v>11233.820000000007</v>
      </c>
      <c r="V503" s="4">
        <f>Table1[[#This Row],[Net_Profit]]/Table1[[#This Row],[Net_Sales]]</f>
        <v>0.15457514819995644</v>
      </c>
      <c r="W503" t="s">
        <v>33</v>
      </c>
      <c r="X503" t="s">
        <v>546</v>
      </c>
      <c r="Y503">
        <v>5</v>
      </c>
      <c r="Z503" t="str">
        <f>IF(Table1[[#This Row],[Month_No]]&lt;=6, "H1","H2")</f>
        <v>H1</v>
      </c>
    </row>
    <row r="504" spans="1:26" x14ac:dyDescent="0.25">
      <c r="A504" s="2">
        <v>45789</v>
      </c>
      <c r="B504" t="s">
        <v>581</v>
      </c>
      <c r="C504" t="s">
        <v>36</v>
      </c>
      <c r="D504" t="s">
        <v>81</v>
      </c>
      <c r="E504" t="s">
        <v>45</v>
      </c>
      <c r="F504" t="s">
        <v>52</v>
      </c>
      <c r="G504" t="s">
        <v>86</v>
      </c>
      <c r="H504" t="s">
        <v>47</v>
      </c>
      <c r="I504">
        <v>51</v>
      </c>
      <c r="J504" s="3">
        <v>6567.69</v>
      </c>
      <c r="K504" s="3">
        <f>Table1[[#This Row],[Quantity]]*Table1[[#This Row],[Unit_Price]]</f>
        <v>334952.19</v>
      </c>
      <c r="L504" s="3">
        <v>25680.18</v>
      </c>
      <c r="M504" s="3">
        <f>Table1[[#This Row],[Gross_Sales]]-Table1[[#This Row],[Discount]]</f>
        <v>309272.01</v>
      </c>
      <c r="N504" s="3">
        <v>175559.29</v>
      </c>
      <c r="O504" s="3">
        <v>7807.4</v>
      </c>
      <c r="P504" s="3">
        <v>22207.45</v>
      </c>
      <c r="Q504" s="3">
        <v>13734.99</v>
      </c>
      <c r="R504" s="3">
        <v>7871.56</v>
      </c>
      <c r="S504" s="3">
        <f>SUM(Table1[[#This Row],[Product_Cost]:[Other_Cost]])</f>
        <v>227180.69</v>
      </c>
      <c r="T504" s="3">
        <f>Table1[[#This Row],[Net_Sales]]-Table1[[#This Row],[Product_Cost]]</f>
        <v>133712.72</v>
      </c>
      <c r="U504" s="3">
        <f>Table1[[#This Row],[Net_Sales]]-Table1[[#This Row],[Total_Cost]]</f>
        <v>82091.320000000007</v>
      </c>
      <c r="V504" s="4">
        <f>Table1[[#This Row],[Net_Profit]]/Table1[[#This Row],[Net_Sales]]</f>
        <v>0.2654340429966488</v>
      </c>
      <c r="W504" t="s">
        <v>33</v>
      </c>
      <c r="X504" t="s">
        <v>546</v>
      </c>
      <c r="Y504">
        <v>5</v>
      </c>
      <c r="Z504" t="str">
        <f>IF(Table1[[#This Row],[Month_No]]&lt;=6, "H1","H2")</f>
        <v>H1</v>
      </c>
    </row>
    <row r="505" spans="1:26" x14ac:dyDescent="0.25">
      <c r="A505" s="2">
        <v>45789</v>
      </c>
      <c r="B505" t="s">
        <v>582</v>
      </c>
      <c r="C505" t="s">
        <v>83</v>
      </c>
      <c r="D505" t="s">
        <v>68</v>
      </c>
      <c r="E505" t="s">
        <v>29</v>
      </c>
      <c r="F505" t="s">
        <v>52</v>
      </c>
      <c r="G505" t="s">
        <v>61</v>
      </c>
      <c r="H505" t="s">
        <v>47</v>
      </c>
      <c r="I505">
        <v>119</v>
      </c>
      <c r="J505" s="3">
        <v>371.73</v>
      </c>
      <c r="K505" s="3">
        <f>Table1[[#This Row],[Quantity]]*Table1[[#This Row],[Unit_Price]]</f>
        <v>44235.87</v>
      </c>
      <c r="L505" s="3">
        <v>3277.93</v>
      </c>
      <c r="M505" s="3">
        <f>Table1[[#This Row],[Gross_Sales]]-Table1[[#This Row],[Discount]]</f>
        <v>40957.94</v>
      </c>
      <c r="N505" s="3">
        <v>32343.07</v>
      </c>
      <c r="O505" s="3">
        <v>1026.42</v>
      </c>
      <c r="P505" s="3">
        <v>2515.9899999999998</v>
      </c>
      <c r="Q505" s="3">
        <v>1781.62</v>
      </c>
      <c r="R505" s="3">
        <v>1125.45</v>
      </c>
      <c r="S505" s="3">
        <f>SUM(Table1[[#This Row],[Product_Cost]:[Other_Cost]])</f>
        <v>38792.549999999996</v>
      </c>
      <c r="T505" s="3">
        <f>Table1[[#This Row],[Net_Sales]]-Table1[[#This Row],[Product_Cost]]</f>
        <v>8614.8700000000026</v>
      </c>
      <c r="U505" s="3">
        <f>Table1[[#This Row],[Net_Sales]]-Table1[[#This Row],[Total_Cost]]</f>
        <v>2165.3900000000067</v>
      </c>
      <c r="V505" s="4">
        <f>Table1[[#This Row],[Net_Profit]]/Table1[[#This Row],[Net_Sales]]</f>
        <v>5.2868625717016199E-2</v>
      </c>
      <c r="W505" t="s">
        <v>72</v>
      </c>
      <c r="X505" t="s">
        <v>546</v>
      </c>
      <c r="Y505">
        <v>5</v>
      </c>
      <c r="Z505" t="str">
        <f>IF(Table1[[#This Row],[Month_No]]&lt;=6, "H1","H2")</f>
        <v>H1</v>
      </c>
    </row>
    <row r="506" spans="1:26" x14ac:dyDescent="0.25">
      <c r="A506" s="2">
        <v>45789</v>
      </c>
      <c r="B506" t="s">
        <v>583</v>
      </c>
      <c r="C506" t="s">
        <v>117</v>
      </c>
      <c r="D506" t="s">
        <v>68</v>
      </c>
      <c r="E506" t="s">
        <v>29</v>
      </c>
      <c r="F506" t="s">
        <v>52</v>
      </c>
      <c r="G506" t="s">
        <v>31</v>
      </c>
      <c r="H506" t="s">
        <v>41</v>
      </c>
      <c r="I506">
        <v>173</v>
      </c>
      <c r="J506" s="3">
        <v>371.48</v>
      </c>
      <c r="K506" s="3">
        <f>Table1[[#This Row],[Quantity]]*Table1[[#This Row],[Unit_Price]]</f>
        <v>64266.04</v>
      </c>
      <c r="L506" s="3">
        <v>6098.43</v>
      </c>
      <c r="M506" s="3">
        <f>Table1[[#This Row],[Gross_Sales]]-Table1[[#This Row],[Discount]]</f>
        <v>58167.61</v>
      </c>
      <c r="N506" s="3">
        <v>47079.5</v>
      </c>
      <c r="O506" s="3">
        <v>1533.37</v>
      </c>
      <c r="P506" s="3">
        <v>4063.42</v>
      </c>
      <c r="Q506" s="3">
        <v>2069.54</v>
      </c>
      <c r="R506" s="3">
        <v>1388.49</v>
      </c>
      <c r="S506" s="3">
        <f>SUM(Table1[[#This Row],[Product_Cost]:[Other_Cost]])</f>
        <v>56134.32</v>
      </c>
      <c r="T506" s="3">
        <f>Table1[[#This Row],[Net_Sales]]-Table1[[#This Row],[Product_Cost]]</f>
        <v>11088.11</v>
      </c>
      <c r="U506" s="3">
        <f>Table1[[#This Row],[Net_Sales]]-Table1[[#This Row],[Total_Cost]]</f>
        <v>2033.2900000000009</v>
      </c>
      <c r="V506" s="4">
        <f>Table1[[#This Row],[Net_Profit]]/Table1[[#This Row],[Net_Sales]]</f>
        <v>3.4955708168171271E-2</v>
      </c>
      <c r="W506" t="s">
        <v>33</v>
      </c>
      <c r="X506" t="s">
        <v>546</v>
      </c>
      <c r="Y506">
        <v>5</v>
      </c>
      <c r="Z506" t="str">
        <f>IF(Table1[[#This Row],[Month_No]]&lt;=6, "H1","H2")</f>
        <v>H1</v>
      </c>
    </row>
    <row r="507" spans="1:26" x14ac:dyDescent="0.25">
      <c r="A507" s="2">
        <v>45789</v>
      </c>
      <c r="B507" t="s">
        <v>584</v>
      </c>
      <c r="C507" t="s">
        <v>107</v>
      </c>
      <c r="D507" t="s">
        <v>50</v>
      </c>
      <c r="E507" t="s">
        <v>51</v>
      </c>
      <c r="F507" t="s">
        <v>52</v>
      </c>
      <c r="G507" t="s">
        <v>64</v>
      </c>
      <c r="H507" t="s">
        <v>59</v>
      </c>
      <c r="I507">
        <v>71</v>
      </c>
      <c r="J507" s="3">
        <v>844.34</v>
      </c>
      <c r="K507" s="3">
        <f>Table1[[#This Row],[Quantity]]*Table1[[#This Row],[Unit_Price]]</f>
        <v>59948.14</v>
      </c>
      <c r="L507" s="3">
        <v>4238.08</v>
      </c>
      <c r="M507" s="3">
        <f>Table1[[#This Row],[Gross_Sales]]-Table1[[#This Row],[Discount]]</f>
        <v>55710.06</v>
      </c>
      <c r="N507" s="3">
        <v>35992.370000000003</v>
      </c>
      <c r="O507" s="3">
        <v>1452.36</v>
      </c>
      <c r="P507" s="3">
        <v>3933.95</v>
      </c>
      <c r="Q507" s="3">
        <v>2974.75</v>
      </c>
      <c r="R507" s="3">
        <v>1135.3599999999999</v>
      </c>
      <c r="S507" s="3">
        <f>SUM(Table1[[#This Row],[Product_Cost]:[Other_Cost]])</f>
        <v>45488.79</v>
      </c>
      <c r="T507" s="3">
        <f>Table1[[#This Row],[Net_Sales]]-Table1[[#This Row],[Product_Cost]]</f>
        <v>19717.689999999995</v>
      </c>
      <c r="U507" s="3">
        <f>Table1[[#This Row],[Net_Sales]]-Table1[[#This Row],[Total_Cost]]</f>
        <v>10221.269999999997</v>
      </c>
      <c r="V507" s="4">
        <f>Table1[[#This Row],[Net_Profit]]/Table1[[#This Row],[Net_Sales]]</f>
        <v>0.18347260799934514</v>
      </c>
      <c r="W507" t="s">
        <v>33</v>
      </c>
      <c r="X507" t="s">
        <v>546</v>
      </c>
      <c r="Y507">
        <v>5</v>
      </c>
      <c r="Z507" t="str">
        <f>IF(Table1[[#This Row],[Month_No]]&lt;=6, "H1","H2")</f>
        <v>H1</v>
      </c>
    </row>
    <row r="508" spans="1:26" x14ac:dyDescent="0.25">
      <c r="A508" s="2">
        <v>45789</v>
      </c>
      <c r="B508" t="s">
        <v>585</v>
      </c>
      <c r="C508" t="s">
        <v>55</v>
      </c>
      <c r="D508" t="s">
        <v>74</v>
      </c>
      <c r="E508" t="s">
        <v>75</v>
      </c>
      <c r="F508" t="s">
        <v>46</v>
      </c>
      <c r="G508" t="s">
        <v>40</v>
      </c>
      <c r="H508" t="s">
        <v>32</v>
      </c>
      <c r="I508">
        <v>67</v>
      </c>
      <c r="J508" s="3">
        <v>5682.87</v>
      </c>
      <c r="K508" s="3">
        <f>Table1[[#This Row],[Quantity]]*Table1[[#This Row],[Unit_Price]]</f>
        <v>380752.29</v>
      </c>
      <c r="L508" s="3">
        <v>33853.17</v>
      </c>
      <c r="M508" s="3">
        <f>Table1[[#This Row],[Gross_Sales]]-Table1[[#This Row],[Discount]]</f>
        <v>346899.12</v>
      </c>
      <c r="N508" s="3">
        <v>255464.09</v>
      </c>
      <c r="O508" s="3">
        <v>11349.32</v>
      </c>
      <c r="P508" s="3">
        <v>21268.69</v>
      </c>
      <c r="Q508" s="3">
        <v>15422.53</v>
      </c>
      <c r="R508" s="3">
        <v>10746.84</v>
      </c>
      <c r="S508" s="3">
        <f>SUM(Table1[[#This Row],[Product_Cost]:[Other_Cost]])</f>
        <v>314251.47000000003</v>
      </c>
      <c r="T508" s="3">
        <f>Table1[[#This Row],[Net_Sales]]-Table1[[#This Row],[Product_Cost]]</f>
        <v>91435.03</v>
      </c>
      <c r="U508" s="3">
        <f>Table1[[#This Row],[Net_Sales]]-Table1[[#This Row],[Total_Cost]]</f>
        <v>32647.649999999965</v>
      </c>
      <c r="V508" s="4">
        <f>Table1[[#This Row],[Net_Profit]]/Table1[[#This Row],[Net_Sales]]</f>
        <v>9.4112807204584328E-2</v>
      </c>
      <c r="W508" t="s">
        <v>33</v>
      </c>
      <c r="X508" t="s">
        <v>546</v>
      </c>
      <c r="Y508">
        <v>5</v>
      </c>
      <c r="Z508" t="str">
        <f>IF(Table1[[#This Row],[Month_No]]&lt;=6, "H1","H2")</f>
        <v>H1</v>
      </c>
    </row>
    <row r="509" spans="1:26" x14ac:dyDescent="0.25">
      <c r="A509" s="2">
        <v>45790</v>
      </c>
      <c r="B509" t="s">
        <v>586</v>
      </c>
      <c r="C509" t="s">
        <v>49</v>
      </c>
      <c r="D509" t="s">
        <v>44</v>
      </c>
      <c r="E509" t="s">
        <v>45</v>
      </c>
      <c r="F509" t="s">
        <v>52</v>
      </c>
      <c r="G509" t="s">
        <v>76</v>
      </c>
      <c r="H509" t="s">
        <v>47</v>
      </c>
      <c r="I509">
        <v>101</v>
      </c>
      <c r="J509" s="3">
        <v>4455.6899999999996</v>
      </c>
      <c r="K509" s="3">
        <f>Table1[[#This Row],[Quantity]]*Table1[[#This Row],[Unit_Price]]</f>
        <v>450024.68999999994</v>
      </c>
      <c r="L509" s="3">
        <v>29712.04</v>
      </c>
      <c r="M509" s="3">
        <f>Table1[[#This Row],[Gross_Sales]]-Table1[[#This Row],[Discount]]</f>
        <v>420312.64999999997</v>
      </c>
      <c r="N509" s="3">
        <v>291375.71000000002</v>
      </c>
      <c r="O509" s="3">
        <v>11497.42</v>
      </c>
      <c r="P509" s="3">
        <v>28382.02</v>
      </c>
      <c r="Q509" s="3">
        <v>17432.04</v>
      </c>
      <c r="R509" s="3">
        <v>10137.629999999999</v>
      </c>
      <c r="S509" s="3">
        <f>SUM(Table1[[#This Row],[Product_Cost]:[Other_Cost]])</f>
        <v>358824.82</v>
      </c>
      <c r="T509" s="3">
        <f>Table1[[#This Row],[Net_Sales]]-Table1[[#This Row],[Product_Cost]]</f>
        <v>128936.93999999994</v>
      </c>
      <c r="U509" s="3">
        <f>Table1[[#This Row],[Net_Sales]]-Table1[[#This Row],[Total_Cost]]</f>
        <v>61487.829999999958</v>
      </c>
      <c r="V509" s="4">
        <f>Table1[[#This Row],[Net_Profit]]/Table1[[#This Row],[Net_Sales]]</f>
        <v>0.14629069574755832</v>
      </c>
      <c r="W509" t="s">
        <v>33</v>
      </c>
      <c r="X509" t="s">
        <v>546</v>
      </c>
      <c r="Y509">
        <v>5</v>
      </c>
      <c r="Z509" t="str">
        <f>IF(Table1[[#This Row],[Month_No]]&lt;=6, "H1","H2")</f>
        <v>H1</v>
      </c>
    </row>
    <row r="510" spans="1:26" x14ac:dyDescent="0.25">
      <c r="A510" s="2">
        <v>45790</v>
      </c>
      <c r="B510" t="s">
        <v>587</v>
      </c>
      <c r="C510" t="s">
        <v>27</v>
      </c>
      <c r="D510" t="s">
        <v>81</v>
      </c>
      <c r="E510" t="s">
        <v>45</v>
      </c>
      <c r="F510" t="s">
        <v>30</v>
      </c>
      <c r="G510" t="s">
        <v>64</v>
      </c>
      <c r="H510" t="s">
        <v>59</v>
      </c>
      <c r="I510">
        <v>29</v>
      </c>
      <c r="J510" s="3">
        <v>6816.59</v>
      </c>
      <c r="K510" s="3">
        <f>Table1[[#This Row],[Quantity]]*Table1[[#This Row],[Unit_Price]]</f>
        <v>197681.11000000002</v>
      </c>
      <c r="L510" s="3">
        <v>16315.51</v>
      </c>
      <c r="M510" s="3">
        <f>Table1[[#This Row],[Gross_Sales]]-Table1[[#This Row],[Discount]]</f>
        <v>181365.6</v>
      </c>
      <c r="N510" s="3">
        <v>104161.37</v>
      </c>
      <c r="O510" s="3">
        <v>5943.08</v>
      </c>
      <c r="P510" s="3">
        <v>10554.68</v>
      </c>
      <c r="Q510" s="3">
        <v>9617.16</v>
      </c>
      <c r="R510" s="3">
        <v>4890.6400000000003</v>
      </c>
      <c r="S510" s="3">
        <f>SUM(Table1[[#This Row],[Product_Cost]:[Other_Cost]])</f>
        <v>135166.93000000002</v>
      </c>
      <c r="T510" s="3">
        <f>Table1[[#This Row],[Net_Sales]]-Table1[[#This Row],[Product_Cost]]</f>
        <v>77204.23000000001</v>
      </c>
      <c r="U510" s="3">
        <f>Table1[[#This Row],[Net_Sales]]-Table1[[#This Row],[Total_Cost]]</f>
        <v>46198.669999999984</v>
      </c>
      <c r="V510" s="4">
        <f>Table1[[#This Row],[Net_Profit]]/Table1[[#This Row],[Net_Sales]]</f>
        <v>0.25472675082816137</v>
      </c>
      <c r="W510" t="s">
        <v>72</v>
      </c>
      <c r="X510" t="s">
        <v>546</v>
      </c>
      <c r="Y510">
        <v>5</v>
      </c>
      <c r="Z510" t="str">
        <f>IF(Table1[[#This Row],[Month_No]]&lt;=6, "H1","H2")</f>
        <v>H1</v>
      </c>
    </row>
    <row r="511" spans="1:26" x14ac:dyDescent="0.25">
      <c r="A511" s="2">
        <v>45790</v>
      </c>
      <c r="B511" t="s">
        <v>588</v>
      </c>
      <c r="C511" t="s">
        <v>107</v>
      </c>
      <c r="D511" t="s">
        <v>68</v>
      </c>
      <c r="E511" t="s">
        <v>29</v>
      </c>
      <c r="F511" t="s">
        <v>52</v>
      </c>
      <c r="G511" t="s">
        <v>64</v>
      </c>
      <c r="H511" t="s">
        <v>47</v>
      </c>
      <c r="I511">
        <v>148</v>
      </c>
      <c r="J511" s="3">
        <v>366.72</v>
      </c>
      <c r="K511" s="3">
        <f>Table1[[#This Row],[Quantity]]*Table1[[#This Row],[Unit_Price]]</f>
        <v>54274.560000000005</v>
      </c>
      <c r="L511" s="3">
        <v>4870.6400000000003</v>
      </c>
      <c r="M511" s="3">
        <f>Table1[[#This Row],[Gross_Sales]]-Table1[[#This Row],[Discount]]</f>
        <v>49403.920000000006</v>
      </c>
      <c r="N511" s="3">
        <v>39190.93</v>
      </c>
      <c r="O511" s="3">
        <v>1274.1400000000001</v>
      </c>
      <c r="P511" s="3">
        <v>3536.37</v>
      </c>
      <c r="Q511" s="3">
        <v>2194.94</v>
      </c>
      <c r="R511" s="3">
        <v>1000.27</v>
      </c>
      <c r="S511" s="3">
        <f>SUM(Table1[[#This Row],[Product_Cost]:[Other_Cost]])</f>
        <v>47196.65</v>
      </c>
      <c r="T511" s="3">
        <f>Table1[[#This Row],[Net_Sales]]-Table1[[#This Row],[Product_Cost]]</f>
        <v>10212.990000000005</v>
      </c>
      <c r="U511" s="3">
        <f>Table1[[#This Row],[Net_Sales]]-Table1[[#This Row],[Total_Cost]]</f>
        <v>2207.2700000000041</v>
      </c>
      <c r="V511" s="4">
        <f>Table1[[#This Row],[Net_Profit]]/Table1[[#This Row],[Net_Sales]]</f>
        <v>4.4678033645913197E-2</v>
      </c>
      <c r="W511" t="s">
        <v>33</v>
      </c>
      <c r="X511" t="s">
        <v>546</v>
      </c>
      <c r="Y511">
        <v>5</v>
      </c>
      <c r="Z511" t="str">
        <f>IF(Table1[[#This Row],[Month_No]]&lt;=6, "H1","H2")</f>
        <v>H1</v>
      </c>
    </row>
    <row r="512" spans="1:26" x14ac:dyDescent="0.25">
      <c r="A512" s="2">
        <v>45790</v>
      </c>
      <c r="B512" t="s">
        <v>589</v>
      </c>
      <c r="C512" t="s">
        <v>27</v>
      </c>
      <c r="D512" t="s">
        <v>85</v>
      </c>
      <c r="E512" t="s">
        <v>57</v>
      </c>
      <c r="F512" t="s">
        <v>30</v>
      </c>
      <c r="G512" t="s">
        <v>71</v>
      </c>
      <c r="H512" t="s">
        <v>41</v>
      </c>
      <c r="I512">
        <v>86</v>
      </c>
      <c r="J512" s="3">
        <v>1945.77</v>
      </c>
      <c r="K512" s="3">
        <f>Table1[[#This Row],[Quantity]]*Table1[[#This Row],[Unit_Price]]</f>
        <v>167336.22</v>
      </c>
      <c r="L512" s="3">
        <v>14181.4</v>
      </c>
      <c r="M512" s="3">
        <f>Table1[[#This Row],[Gross_Sales]]-Table1[[#This Row],[Discount]]</f>
        <v>153154.82</v>
      </c>
      <c r="N512" s="3">
        <v>108796.79</v>
      </c>
      <c r="O512" s="3">
        <v>5471.13</v>
      </c>
      <c r="P512" s="3">
        <v>9907.58</v>
      </c>
      <c r="Q512" s="3">
        <v>8334.2999999999993</v>
      </c>
      <c r="R512" s="3">
        <v>4460.12</v>
      </c>
      <c r="S512" s="3">
        <f>SUM(Table1[[#This Row],[Product_Cost]:[Other_Cost]])</f>
        <v>136969.91999999998</v>
      </c>
      <c r="T512" s="3">
        <f>Table1[[#This Row],[Net_Sales]]-Table1[[#This Row],[Product_Cost]]</f>
        <v>44358.030000000013</v>
      </c>
      <c r="U512" s="3">
        <f>Table1[[#This Row],[Net_Sales]]-Table1[[#This Row],[Total_Cost]]</f>
        <v>16184.900000000023</v>
      </c>
      <c r="V512" s="4">
        <f>Table1[[#This Row],[Net_Profit]]/Table1[[#This Row],[Net_Sales]]</f>
        <v>0.10567672633482918</v>
      </c>
      <c r="W512" t="s">
        <v>33</v>
      </c>
      <c r="X512" t="s">
        <v>546</v>
      </c>
      <c r="Y512">
        <v>5</v>
      </c>
      <c r="Z512" t="str">
        <f>IF(Table1[[#This Row],[Month_No]]&lt;=6, "H1","H2")</f>
        <v>H1</v>
      </c>
    </row>
    <row r="513" spans="1:26" x14ac:dyDescent="0.25">
      <c r="A513" s="2">
        <v>45790</v>
      </c>
      <c r="B513" t="s">
        <v>590</v>
      </c>
      <c r="C513" t="s">
        <v>63</v>
      </c>
      <c r="D513" t="s">
        <v>44</v>
      </c>
      <c r="E513" t="s">
        <v>45</v>
      </c>
      <c r="F513" t="s">
        <v>52</v>
      </c>
      <c r="G513" t="s">
        <v>31</v>
      </c>
      <c r="H513" t="s">
        <v>41</v>
      </c>
      <c r="I513">
        <v>60</v>
      </c>
      <c r="J513" s="3">
        <v>4635.01</v>
      </c>
      <c r="K513" s="3">
        <f>Table1[[#This Row],[Quantity]]*Table1[[#This Row],[Unit_Price]]</f>
        <v>278100.60000000003</v>
      </c>
      <c r="L513" s="3">
        <v>22428.33</v>
      </c>
      <c r="M513" s="3">
        <f>Table1[[#This Row],[Gross_Sales]]-Table1[[#This Row],[Discount]]</f>
        <v>255672.27000000002</v>
      </c>
      <c r="N513" s="3">
        <v>186624.18</v>
      </c>
      <c r="O513" s="3">
        <v>6377.54</v>
      </c>
      <c r="P513" s="3">
        <v>14075.4</v>
      </c>
      <c r="Q513" s="3">
        <v>10146.26</v>
      </c>
      <c r="R513" s="3">
        <v>7263.61</v>
      </c>
      <c r="S513" s="3">
        <f>SUM(Table1[[#This Row],[Product_Cost]:[Other_Cost]])</f>
        <v>224486.99</v>
      </c>
      <c r="T513" s="3">
        <f>Table1[[#This Row],[Net_Sales]]-Table1[[#This Row],[Product_Cost]]</f>
        <v>69048.090000000026</v>
      </c>
      <c r="U513" s="3">
        <f>Table1[[#This Row],[Net_Sales]]-Table1[[#This Row],[Total_Cost]]</f>
        <v>31185.280000000028</v>
      </c>
      <c r="V513" s="4">
        <f>Table1[[#This Row],[Net_Profit]]/Table1[[#This Row],[Net_Sales]]</f>
        <v>0.12197365009510036</v>
      </c>
      <c r="W513" t="s">
        <v>33</v>
      </c>
      <c r="X513" t="s">
        <v>546</v>
      </c>
      <c r="Y513">
        <v>5</v>
      </c>
      <c r="Z513" t="str">
        <f>IF(Table1[[#This Row],[Month_No]]&lt;=6, "H1","H2")</f>
        <v>H1</v>
      </c>
    </row>
    <row r="514" spans="1:26" x14ac:dyDescent="0.25">
      <c r="A514" s="2">
        <v>45790</v>
      </c>
      <c r="B514" t="s">
        <v>591</v>
      </c>
      <c r="C514" t="s">
        <v>63</v>
      </c>
      <c r="D514" t="s">
        <v>81</v>
      </c>
      <c r="E514" t="s">
        <v>45</v>
      </c>
      <c r="F514" t="s">
        <v>52</v>
      </c>
      <c r="G514" t="s">
        <v>31</v>
      </c>
      <c r="H514" t="s">
        <v>41</v>
      </c>
      <c r="I514">
        <v>57</v>
      </c>
      <c r="J514" s="3">
        <v>6420.53</v>
      </c>
      <c r="K514" s="3">
        <f>Table1[[#This Row],[Quantity]]*Table1[[#This Row],[Unit_Price]]</f>
        <v>365970.20999999996</v>
      </c>
      <c r="L514" s="3">
        <v>27910.5</v>
      </c>
      <c r="M514" s="3">
        <f>Table1[[#This Row],[Gross_Sales]]-Table1[[#This Row],[Discount]]</f>
        <v>338059.70999999996</v>
      </c>
      <c r="N514" s="3">
        <v>198605.99</v>
      </c>
      <c r="O514" s="3">
        <v>8611.99</v>
      </c>
      <c r="P514" s="3">
        <v>24177.86</v>
      </c>
      <c r="Q514" s="3">
        <v>18047.09</v>
      </c>
      <c r="R514" s="3">
        <v>9206.9500000000007</v>
      </c>
      <c r="S514" s="3">
        <f>SUM(Table1[[#This Row],[Product_Cost]:[Other_Cost]])</f>
        <v>258649.87999999998</v>
      </c>
      <c r="T514" s="3">
        <f>Table1[[#This Row],[Net_Sales]]-Table1[[#This Row],[Product_Cost]]</f>
        <v>139453.71999999997</v>
      </c>
      <c r="U514" s="3">
        <f>Table1[[#This Row],[Net_Sales]]-Table1[[#This Row],[Total_Cost]]</f>
        <v>79409.829999999987</v>
      </c>
      <c r="V514" s="4">
        <f>Table1[[#This Row],[Net_Profit]]/Table1[[#This Row],[Net_Sales]]</f>
        <v>0.23489882896722591</v>
      </c>
      <c r="W514" t="s">
        <v>72</v>
      </c>
      <c r="X514" t="s">
        <v>546</v>
      </c>
      <c r="Y514">
        <v>5</v>
      </c>
      <c r="Z514" t="str">
        <f>IF(Table1[[#This Row],[Month_No]]&lt;=6, "H1","H2")</f>
        <v>H1</v>
      </c>
    </row>
    <row r="515" spans="1:26" x14ac:dyDescent="0.25">
      <c r="A515" s="2">
        <v>45790</v>
      </c>
      <c r="B515" t="s">
        <v>592</v>
      </c>
      <c r="C515" t="s">
        <v>70</v>
      </c>
      <c r="D515" t="s">
        <v>68</v>
      </c>
      <c r="E515" t="s">
        <v>29</v>
      </c>
      <c r="F515" t="s">
        <v>30</v>
      </c>
      <c r="G515" t="s">
        <v>61</v>
      </c>
      <c r="H515" t="s">
        <v>41</v>
      </c>
      <c r="I515">
        <v>52</v>
      </c>
      <c r="J515" s="3">
        <v>386.22</v>
      </c>
      <c r="K515" s="3">
        <f>Table1[[#This Row],[Quantity]]*Table1[[#This Row],[Unit_Price]]</f>
        <v>20083.440000000002</v>
      </c>
      <c r="L515" s="3">
        <v>1742.7</v>
      </c>
      <c r="M515" s="3">
        <f>Table1[[#This Row],[Gross_Sales]]-Table1[[#This Row],[Discount]]</f>
        <v>18340.740000000002</v>
      </c>
      <c r="N515" s="3">
        <v>14552.77</v>
      </c>
      <c r="O515" s="3">
        <v>599.88</v>
      </c>
      <c r="P515" s="3">
        <v>1364.4</v>
      </c>
      <c r="Q515" s="3">
        <v>662.62</v>
      </c>
      <c r="R515" s="3">
        <v>424.09</v>
      </c>
      <c r="S515" s="3">
        <f>SUM(Table1[[#This Row],[Product_Cost]:[Other_Cost]])</f>
        <v>17603.759999999998</v>
      </c>
      <c r="T515" s="3">
        <f>Table1[[#This Row],[Net_Sales]]-Table1[[#This Row],[Product_Cost]]</f>
        <v>3787.9700000000012</v>
      </c>
      <c r="U515" s="3">
        <f>Table1[[#This Row],[Net_Sales]]-Table1[[#This Row],[Total_Cost]]</f>
        <v>736.9800000000032</v>
      </c>
      <c r="V515" s="4">
        <f>Table1[[#This Row],[Net_Profit]]/Table1[[#This Row],[Net_Sales]]</f>
        <v>4.0182675290092063E-2</v>
      </c>
      <c r="W515" t="s">
        <v>33</v>
      </c>
      <c r="X515" t="s">
        <v>546</v>
      </c>
      <c r="Y515">
        <v>5</v>
      </c>
      <c r="Z515" t="str">
        <f>IF(Table1[[#This Row],[Month_No]]&lt;=6, "H1","H2")</f>
        <v>H1</v>
      </c>
    </row>
    <row r="516" spans="1:26" x14ac:dyDescent="0.25">
      <c r="A516" s="2">
        <v>45790</v>
      </c>
      <c r="B516" t="s">
        <v>593</v>
      </c>
      <c r="C516" t="s">
        <v>63</v>
      </c>
      <c r="D516" t="s">
        <v>81</v>
      </c>
      <c r="E516" t="s">
        <v>45</v>
      </c>
      <c r="F516" t="s">
        <v>30</v>
      </c>
      <c r="G516" t="s">
        <v>86</v>
      </c>
      <c r="H516" t="s">
        <v>47</v>
      </c>
      <c r="I516">
        <v>100</v>
      </c>
      <c r="J516" s="3">
        <v>6862.66</v>
      </c>
      <c r="K516" s="3">
        <f>Table1[[#This Row],[Quantity]]*Table1[[#This Row],[Unit_Price]]</f>
        <v>686266</v>
      </c>
      <c r="L516" s="3">
        <v>52406.97</v>
      </c>
      <c r="M516" s="3">
        <f>Table1[[#This Row],[Gross_Sales]]-Table1[[#This Row],[Discount]]</f>
        <v>633859.03</v>
      </c>
      <c r="N516" s="3">
        <v>382342.57</v>
      </c>
      <c r="O516" s="3">
        <v>21606.82</v>
      </c>
      <c r="P516" s="3">
        <v>44505.39</v>
      </c>
      <c r="Q516" s="3">
        <v>27072.240000000002</v>
      </c>
      <c r="R516" s="3">
        <v>19927.080000000002</v>
      </c>
      <c r="S516" s="3">
        <f>SUM(Table1[[#This Row],[Product_Cost]:[Other_Cost]])</f>
        <v>495454.10000000003</v>
      </c>
      <c r="T516" s="3">
        <f>Table1[[#This Row],[Net_Sales]]-Table1[[#This Row],[Product_Cost]]</f>
        <v>251516.46000000002</v>
      </c>
      <c r="U516" s="3">
        <f>Table1[[#This Row],[Net_Sales]]-Table1[[#This Row],[Total_Cost]]</f>
        <v>138404.93</v>
      </c>
      <c r="V516" s="4">
        <f>Table1[[#This Row],[Net_Profit]]/Table1[[#This Row],[Net_Sales]]</f>
        <v>0.21835285678583768</v>
      </c>
      <c r="W516" t="s">
        <v>33</v>
      </c>
      <c r="X516" t="s">
        <v>546</v>
      </c>
      <c r="Y516">
        <v>5</v>
      </c>
      <c r="Z516" t="str">
        <f>IF(Table1[[#This Row],[Month_No]]&lt;=6, "H1","H2")</f>
        <v>H1</v>
      </c>
    </row>
    <row r="517" spans="1:26" x14ac:dyDescent="0.25">
      <c r="A517" s="2">
        <v>45791</v>
      </c>
      <c r="B517" t="s">
        <v>594</v>
      </c>
      <c r="C517" t="s">
        <v>43</v>
      </c>
      <c r="D517" t="s">
        <v>74</v>
      </c>
      <c r="E517" t="s">
        <v>75</v>
      </c>
      <c r="F517" t="s">
        <v>52</v>
      </c>
      <c r="G517" t="s">
        <v>76</v>
      </c>
      <c r="H517" t="s">
        <v>59</v>
      </c>
      <c r="I517">
        <v>39</v>
      </c>
      <c r="J517" s="3">
        <v>5564.97</v>
      </c>
      <c r="K517" s="3">
        <f>Table1[[#This Row],[Quantity]]*Table1[[#This Row],[Unit_Price]]</f>
        <v>217033.83000000002</v>
      </c>
      <c r="L517" s="3">
        <v>12531.31</v>
      </c>
      <c r="M517" s="3">
        <f>Table1[[#This Row],[Gross_Sales]]-Table1[[#This Row],[Discount]]</f>
        <v>204502.52000000002</v>
      </c>
      <c r="N517" s="3">
        <v>155820.75</v>
      </c>
      <c r="O517" s="3">
        <v>5699.67</v>
      </c>
      <c r="P517" s="3">
        <v>14412.71</v>
      </c>
      <c r="Q517" s="3">
        <v>8668.98</v>
      </c>
      <c r="R517" s="3">
        <v>5010.13</v>
      </c>
      <c r="S517" s="3">
        <f>SUM(Table1[[#This Row],[Product_Cost]:[Other_Cost]])</f>
        <v>189612.24000000002</v>
      </c>
      <c r="T517" s="3">
        <f>Table1[[#This Row],[Net_Sales]]-Table1[[#This Row],[Product_Cost]]</f>
        <v>48681.770000000019</v>
      </c>
      <c r="U517" s="3">
        <f>Table1[[#This Row],[Net_Sales]]-Table1[[#This Row],[Total_Cost]]</f>
        <v>14890.279999999999</v>
      </c>
      <c r="V517" s="4">
        <f>Table1[[#This Row],[Net_Profit]]/Table1[[#This Row],[Net_Sales]]</f>
        <v>7.2812207888685171E-2</v>
      </c>
      <c r="W517" t="s">
        <v>33</v>
      </c>
      <c r="X517" t="s">
        <v>546</v>
      </c>
      <c r="Y517">
        <v>5</v>
      </c>
      <c r="Z517" t="str">
        <f>IF(Table1[[#This Row],[Month_No]]&lt;=6, "H1","H2")</f>
        <v>H1</v>
      </c>
    </row>
    <row r="518" spans="1:26" x14ac:dyDescent="0.25">
      <c r="A518" s="2">
        <v>45791</v>
      </c>
      <c r="B518" t="s">
        <v>595</v>
      </c>
      <c r="C518" t="s">
        <v>55</v>
      </c>
      <c r="D518" t="s">
        <v>37</v>
      </c>
      <c r="E518" t="s">
        <v>38</v>
      </c>
      <c r="F518" t="s">
        <v>52</v>
      </c>
      <c r="G518" t="s">
        <v>58</v>
      </c>
      <c r="H518" t="s">
        <v>41</v>
      </c>
      <c r="I518">
        <v>67</v>
      </c>
      <c r="J518" s="3">
        <v>4553.1000000000004</v>
      </c>
      <c r="K518" s="3">
        <f>Table1[[#This Row],[Quantity]]*Table1[[#This Row],[Unit_Price]]</f>
        <v>305057.7</v>
      </c>
      <c r="L518" s="3">
        <v>27722.23</v>
      </c>
      <c r="M518" s="3">
        <f>Table1[[#This Row],[Gross_Sales]]-Table1[[#This Row],[Discount]]</f>
        <v>277335.47000000003</v>
      </c>
      <c r="N518" s="3">
        <v>204965.97</v>
      </c>
      <c r="O518" s="3">
        <v>7695.55</v>
      </c>
      <c r="P518" s="3">
        <v>15887.05</v>
      </c>
      <c r="Q518" s="3">
        <v>10246.620000000001</v>
      </c>
      <c r="R518" s="3">
        <v>8504.06</v>
      </c>
      <c r="S518" s="3">
        <f>SUM(Table1[[#This Row],[Product_Cost]:[Other_Cost]])</f>
        <v>247299.24999999997</v>
      </c>
      <c r="T518" s="3">
        <f>Table1[[#This Row],[Net_Sales]]-Table1[[#This Row],[Product_Cost]]</f>
        <v>72369.500000000029</v>
      </c>
      <c r="U518" s="3">
        <f>Table1[[#This Row],[Net_Sales]]-Table1[[#This Row],[Total_Cost]]</f>
        <v>30036.220000000059</v>
      </c>
      <c r="V518" s="4">
        <f>Table1[[#This Row],[Net_Profit]]/Table1[[#This Row],[Net_Sales]]</f>
        <v>0.10830284348410268</v>
      </c>
      <c r="W518" t="s">
        <v>33</v>
      </c>
      <c r="X518" t="s">
        <v>546</v>
      </c>
      <c r="Y518">
        <v>5</v>
      </c>
      <c r="Z518" t="str">
        <f>IF(Table1[[#This Row],[Month_No]]&lt;=6, "H1","H2")</f>
        <v>H1</v>
      </c>
    </row>
    <row r="519" spans="1:26" x14ac:dyDescent="0.25">
      <c r="A519" s="2">
        <v>45791</v>
      </c>
      <c r="B519" t="s">
        <v>596</v>
      </c>
      <c r="C519" t="s">
        <v>98</v>
      </c>
      <c r="D519" t="s">
        <v>44</v>
      </c>
      <c r="E519" t="s">
        <v>45</v>
      </c>
      <c r="F519" t="s">
        <v>46</v>
      </c>
      <c r="G519" t="s">
        <v>40</v>
      </c>
      <c r="H519" t="s">
        <v>47</v>
      </c>
      <c r="I519">
        <v>71</v>
      </c>
      <c r="J519" s="3">
        <v>4639.55</v>
      </c>
      <c r="K519" s="3">
        <f>Table1[[#This Row],[Quantity]]*Table1[[#This Row],[Unit_Price]]</f>
        <v>329408.05</v>
      </c>
      <c r="L519" s="3">
        <v>27478.3</v>
      </c>
      <c r="M519" s="3">
        <f>Table1[[#This Row],[Gross_Sales]]-Table1[[#This Row],[Discount]]</f>
        <v>301929.75</v>
      </c>
      <c r="N519" s="3">
        <v>223882.43</v>
      </c>
      <c r="O519" s="3">
        <v>9059.58</v>
      </c>
      <c r="P519" s="3">
        <v>21867.78</v>
      </c>
      <c r="Q519" s="3">
        <v>16399.86</v>
      </c>
      <c r="R519" s="3">
        <v>6927.64</v>
      </c>
      <c r="S519" s="3">
        <f>SUM(Table1[[#This Row],[Product_Cost]:[Other_Cost]])</f>
        <v>278137.28999999998</v>
      </c>
      <c r="T519" s="3">
        <f>Table1[[#This Row],[Net_Sales]]-Table1[[#This Row],[Product_Cost]]</f>
        <v>78047.320000000007</v>
      </c>
      <c r="U519" s="3">
        <f>Table1[[#This Row],[Net_Sales]]-Table1[[#This Row],[Total_Cost]]</f>
        <v>23792.460000000021</v>
      </c>
      <c r="V519" s="4">
        <f>Table1[[#This Row],[Net_Profit]]/Table1[[#This Row],[Net_Sales]]</f>
        <v>7.8801310569760086E-2</v>
      </c>
      <c r="W519" t="s">
        <v>72</v>
      </c>
      <c r="X519" t="s">
        <v>546</v>
      </c>
      <c r="Y519">
        <v>5</v>
      </c>
      <c r="Z519" t="str">
        <f>IF(Table1[[#This Row],[Month_No]]&lt;=6, "H1","H2")</f>
        <v>H1</v>
      </c>
    </row>
    <row r="520" spans="1:26" x14ac:dyDescent="0.25">
      <c r="A520" s="2">
        <v>45791</v>
      </c>
      <c r="B520" t="s">
        <v>597</v>
      </c>
      <c r="C520" t="s">
        <v>78</v>
      </c>
      <c r="D520" t="s">
        <v>68</v>
      </c>
      <c r="E520" t="s">
        <v>29</v>
      </c>
      <c r="F520" t="s">
        <v>52</v>
      </c>
      <c r="G520" t="s">
        <v>76</v>
      </c>
      <c r="H520" t="s">
        <v>59</v>
      </c>
      <c r="I520">
        <v>157</v>
      </c>
      <c r="J520" s="3">
        <v>366.36</v>
      </c>
      <c r="K520" s="3">
        <f>Table1[[#This Row],[Quantity]]*Table1[[#This Row],[Unit_Price]]</f>
        <v>57518.520000000004</v>
      </c>
      <c r="L520" s="3">
        <v>3663.21</v>
      </c>
      <c r="M520" s="3">
        <f>Table1[[#This Row],[Gross_Sales]]-Table1[[#This Row],[Discount]]</f>
        <v>53855.310000000005</v>
      </c>
      <c r="N520" s="3">
        <v>42927.95</v>
      </c>
      <c r="O520" s="3">
        <v>1419.83</v>
      </c>
      <c r="P520" s="3">
        <v>3701.28</v>
      </c>
      <c r="Q520" s="3">
        <v>2485.42</v>
      </c>
      <c r="R520" s="3">
        <v>1683.26</v>
      </c>
      <c r="S520" s="3">
        <f>SUM(Table1[[#This Row],[Product_Cost]:[Other_Cost]])</f>
        <v>52217.74</v>
      </c>
      <c r="T520" s="3">
        <f>Table1[[#This Row],[Net_Sales]]-Table1[[#This Row],[Product_Cost]]</f>
        <v>10927.360000000008</v>
      </c>
      <c r="U520" s="3">
        <f>Table1[[#This Row],[Net_Sales]]-Table1[[#This Row],[Total_Cost]]</f>
        <v>1637.570000000007</v>
      </c>
      <c r="V520" s="4">
        <f>Table1[[#This Row],[Net_Profit]]/Table1[[#This Row],[Net_Sales]]</f>
        <v>3.0406843819114713E-2</v>
      </c>
      <c r="W520" t="s">
        <v>33</v>
      </c>
      <c r="X520" t="s">
        <v>546</v>
      </c>
      <c r="Y520">
        <v>5</v>
      </c>
      <c r="Z520" t="str">
        <f>IF(Table1[[#This Row],[Month_No]]&lt;=6, "H1","H2")</f>
        <v>H1</v>
      </c>
    </row>
    <row r="521" spans="1:26" x14ac:dyDescent="0.25">
      <c r="A521" s="2">
        <v>45791</v>
      </c>
      <c r="B521" t="s">
        <v>598</v>
      </c>
      <c r="C521" t="s">
        <v>36</v>
      </c>
      <c r="D521" t="s">
        <v>50</v>
      </c>
      <c r="E521" t="s">
        <v>51</v>
      </c>
      <c r="F521" t="s">
        <v>52</v>
      </c>
      <c r="G521" t="s">
        <v>58</v>
      </c>
      <c r="H521" t="s">
        <v>41</v>
      </c>
      <c r="I521">
        <v>81</v>
      </c>
      <c r="J521" s="3">
        <v>879.93</v>
      </c>
      <c r="K521" s="3">
        <f>Table1[[#This Row],[Quantity]]*Table1[[#This Row],[Unit_Price]]</f>
        <v>71274.33</v>
      </c>
      <c r="L521" s="3">
        <v>6762.35</v>
      </c>
      <c r="M521" s="3">
        <f>Table1[[#This Row],[Gross_Sales]]-Table1[[#This Row],[Discount]]</f>
        <v>64511.98</v>
      </c>
      <c r="N521" s="3">
        <v>42328.98</v>
      </c>
      <c r="O521" s="3">
        <v>1809.25</v>
      </c>
      <c r="P521" s="3">
        <v>4056.96</v>
      </c>
      <c r="Q521" s="3">
        <v>3401.16</v>
      </c>
      <c r="R521" s="3">
        <v>1763.11</v>
      </c>
      <c r="S521" s="3">
        <f>SUM(Table1[[#This Row],[Product_Cost]:[Other_Cost]])</f>
        <v>53359.460000000006</v>
      </c>
      <c r="T521" s="3">
        <f>Table1[[#This Row],[Net_Sales]]-Table1[[#This Row],[Product_Cost]]</f>
        <v>22183</v>
      </c>
      <c r="U521" s="3">
        <f>Table1[[#This Row],[Net_Sales]]-Table1[[#This Row],[Total_Cost]]</f>
        <v>11152.519999999997</v>
      </c>
      <c r="V521" s="4">
        <f>Table1[[#This Row],[Net_Profit]]/Table1[[#This Row],[Net_Sales]]</f>
        <v>0.17287517760267157</v>
      </c>
      <c r="W521" t="s">
        <v>33</v>
      </c>
      <c r="X521" t="s">
        <v>546</v>
      </c>
      <c r="Y521">
        <v>5</v>
      </c>
      <c r="Z521" t="str">
        <f>IF(Table1[[#This Row],[Month_No]]&lt;=6, "H1","H2")</f>
        <v>H1</v>
      </c>
    </row>
    <row r="522" spans="1:26" x14ac:dyDescent="0.25">
      <c r="A522" s="2">
        <v>45791</v>
      </c>
      <c r="B522" t="s">
        <v>599</v>
      </c>
      <c r="C522" t="s">
        <v>70</v>
      </c>
      <c r="D522" t="s">
        <v>28</v>
      </c>
      <c r="E522" t="s">
        <v>29</v>
      </c>
      <c r="F522" t="s">
        <v>46</v>
      </c>
      <c r="G522" t="s">
        <v>76</v>
      </c>
      <c r="H522" t="s">
        <v>32</v>
      </c>
      <c r="I522">
        <v>28</v>
      </c>
      <c r="J522" s="3">
        <v>1182.8599999999999</v>
      </c>
      <c r="K522" s="3">
        <f>Table1[[#This Row],[Quantity]]*Table1[[#This Row],[Unit_Price]]</f>
        <v>33120.079999999994</v>
      </c>
      <c r="L522" s="3">
        <v>2561.2199999999998</v>
      </c>
      <c r="M522" s="3">
        <f>Table1[[#This Row],[Gross_Sales]]-Table1[[#This Row],[Discount]]</f>
        <v>30558.859999999993</v>
      </c>
      <c r="N522" s="3">
        <v>18540.13</v>
      </c>
      <c r="O522" s="3">
        <v>924.98</v>
      </c>
      <c r="P522" s="3">
        <v>1718.56</v>
      </c>
      <c r="Q522" s="3">
        <v>1290.7</v>
      </c>
      <c r="R522" s="3">
        <v>885</v>
      </c>
      <c r="S522" s="3">
        <f>SUM(Table1[[#This Row],[Product_Cost]:[Other_Cost]])</f>
        <v>23359.370000000003</v>
      </c>
      <c r="T522" s="3">
        <f>Table1[[#This Row],[Net_Sales]]-Table1[[#This Row],[Product_Cost]]</f>
        <v>12018.729999999992</v>
      </c>
      <c r="U522" s="3">
        <f>Table1[[#This Row],[Net_Sales]]-Table1[[#This Row],[Total_Cost]]</f>
        <v>7199.4899999999907</v>
      </c>
      <c r="V522" s="4">
        <f>Table1[[#This Row],[Net_Profit]]/Table1[[#This Row],[Net_Sales]]</f>
        <v>0.23559419428604314</v>
      </c>
      <c r="W522" t="s">
        <v>72</v>
      </c>
      <c r="X522" t="s">
        <v>546</v>
      </c>
      <c r="Y522">
        <v>5</v>
      </c>
      <c r="Z522" t="str">
        <f>IF(Table1[[#This Row],[Month_No]]&lt;=6, "H1","H2")</f>
        <v>H1</v>
      </c>
    </row>
    <row r="523" spans="1:26" x14ac:dyDescent="0.25">
      <c r="A523" s="2">
        <v>45792</v>
      </c>
      <c r="B523" t="s">
        <v>600</v>
      </c>
      <c r="C523" t="s">
        <v>83</v>
      </c>
      <c r="D523" t="s">
        <v>44</v>
      </c>
      <c r="E523" t="s">
        <v>45</v>
      </c>
      <c r="F523" t="s">
        <v>52</v>
      </c>
      <c r="G523" t="s">
        <v>86</v>
      </c>
      <c r="H523" t="s">
        <v>41</v>
      </c>
      <c r="I523">
        <v>64</v>
      </c>
      <c r="J523" s="3">
        <v>4363.83</v>
      </c>
      <c r="K523" s="3">
        <f>Table1[[#This Row],[Quantity]]*Table1[[#This Row],[Unit_Price]]</f>
        <v>279285.12</v>
      </c>
      <c r="L523" s="3">
        <v>23424.61</v>
      </c>
      <c r="M523" s="3">
        <f>Table1[[#This Row],[Gross_Sales]]-Table1[[#This Row],[Discount]]</f>
        <v>255860.51</v>
      </c>
      <c r="N523" s="3">
        <v>183981.27</v>
      </c>
      <c r="O523" s="3">
        <v>6392.47</v>
      </c>
      <c r="P523" s="3">
        <v>17106.669999999998</v>
      </c>
      <c r="Q523" s="3">
        <v>11632.69</v>
      </c>
      <c r="R523" s="3">
        <v>5928.55</v>
      </c>
      <c r="S523" s="3">
        <f>SUM(Table1[[#This Row],[Product_Cost]:[Other_Cost]])</f>
        <v>225041.64999999997</v>
      </c>
      <c r="T523" s="3">
        <f>Table1[[#This Row],[Net_Sales]]-Table1[[#This Row],[Product_Cost]]</f>
        <v>71879.24000000002</v>
      </c>
      <c r="U523" s="3">
        <f>Table1[[#This Row],[Net_Sales]]-Table1[[#This Row],[Total_Cost]]</f>
        <v>30818.860000000044</v>
      </c>
      <c r="V523" s="4">
        <f>Table1[[#This Row],[Net_Profit]]/Table1[[#This Row],[Net_Sales]]</f>
        <v>0.12045180399273042</v>
      </c>
      <c r="W523" t="s">
        <v>33</v>
      </c>
      <c r="X523" t="s">
        <v>546</v>
      </c>
      <c r="Y523">
        <v>5</v>
      </c>
      <c r="Z523" t="str">
        <f>IF(Table1[[#This Row],[Month_No]]&lt;=6, "H1","H2")</f>
        <v>H1</v>
      </c>
    </row>
    <row r="524" spans="1:26" x14ac:dyDescent="0.25">
      <c r="A524" s="2">
        <v>45792</v>
      </c>
      <c r="B524" t="s">
        <v>601</v>
      </c>
      <c r="C524" t="s">
        <v>63</v>
      </c>
      <c r="D524" t="s">
        <v>81</v>
      </c>
      <c r="E524" t="s">
        <v>45</v>
      </c>
      <c r="F524" t="s">
        <v>30</v>
      </c>
      <c r="G524" t="s">
        <v>58</v>
      </c>
      <c r="H524" t="s">
        <v>59</v>
      </c>
      <c r="I524">
        <v>67</v>
      </c>
      <c r="J524" s="3">
        <v>6355.31</v>
      </c>
      <c r="K524" s="3">
        <f>Table1[[#This Row],[Quantity]]*Table1[[#This Row],[Unit_Price]]</f>
        <v>425805.77</v>
      </c>
      <c r="L524" s="3">
        <v>30637.58</v>
      </c>
      <c r="M524" s="3">
        <f>Table1[[#This Row],[Gross_Sales]]-Table1[[#This Row],[Discount]]</f>
        <v>395168.19</v>
      </c>
      <c r="N524" s="3">
        <v>228472.12</v>
      </c>
      <c r="O524" s="3">
        <v>13824.37</v>
      </c>
      <c r="P524" s="3">
        <v>24357.360000000001</v>
      </c>
      <c r="Q524" s="3">
        <v>16376.49</v>
      </c>
      <c r="R524" s="3">
        <v>9610.2900000000009</v>
      </c>
      <c r="S524" s="3">
        <f>SUM(Table1[[#This Row],[Product_Cost]:[Other_Cost]])</f>
        <v>292640.62999999995</v>
      </c>
      <c r="T524" s="3">
        <f>Table1[[#This Row],[Net_Sales]]-Table1[[#This Row],[Product_Cost]]</f>
        <v>166696.07</v>
      </c>
      <c r="U524" s="3">
        <f>Table1[[#This Row],[Net_Sales]]-Table1[[#This Row],[Total_Cost]]</f>
        <v>102527.56000000006</v>
      </c>
      <c r="V524" s="4">
        <f>Table1[[#This Row],[Net_Profit]]/Table1[[#This Row],[Net_Sales]]</f>
        <v>0.25945296862077905</v>
      </c>
      <c r="W524" t="s">
        <v>33</v>
      </c>
      <c r="X524" t="s">
        <v>546</v>
      </c>
      <c r="Y524">
        <v>5</v>
      </c>
      <c r="Z524" t="str">
        <f>IF(Table1[[#This Row],[Month_No]]&lt;=6, "H1","H2")</f>
        <v>H1</v>
      </c>
    </row>
    <row r="525" spans="1:26" x14ac:dyDescent="0.25">
      <c r="A525" s="2">
        <v>45792</v>
      </c>
      <c r="B525" t="s">
        <v>602</v>
      </c>
      <c r="C525" t="s">
        <v>117</v>
      </c>
      <c r="D525" t="s">
        <v>50</v>
      </c>
      <c r="E525" t="s">
        <v>51</v>
      </c>
      <c r="F525" t="s">
        <v>30</v>
      </c>
      <c r="G525" t="s">
        <v>64</v>
      </c>
      <c r="H525" t="s">
        <v>41</v>
      </c>
      <c r="I525">
        <v>77</v>
      </c>
      <c r="J525" s="3">
        <v>823.53</v>
      </c>
      <c r="K525" s="3">
        <f>Table1[[#This Row],[Quantity]]*Table1[[#This Row],[Unit_Price]]</f>
        <v>63411.81</v>
      </c>
      <c r="L525" s="3">
        <v>4830.01</v>
      </c>
      <c r="M525" s="3">
        <f>Table1[[#This Row],[Gross_Sales]]-Table1[[#This Row],[Discount]]</f>
        <v>58581.799999999996</v>
      </c>
      <c r="N525" s="3">
        <v>39810.19</v>
      </c>
      <c r="O525" s="3">
        <v>2204.9499999999998</v>
      </c>
      <c r="P525" s="3">
        <v>3402.74</v>
      </c>
      <c r="Q525" s="3">
        <v>2667.08</v>
      </c>
      <c r="R525" s="3">
        <v>1299.94</v>
      </c>
      <c r="S525" s="3">
        <f>SUM(Table1[[#This Row],[Product_Cost]:[Other_Cost]])</f>
        <v>49384.9</v>
      </c>
      <c r="T525" s="3">
        <f>Table1[[#This Row],[Net_Sales]]-Table1[[#This Row],[Product_Cost]]</f>
        <v>18771.609999999993</v>
      </c>
      <c r="U525" s="3">
        <f>Table1[[#This Row],[Net_Sales]]-Table1[[#This Row],[Total_Cost]]</f>
        <v>9196.8999999999942</v>
      </c>
      <c r="V525" s="4">
        <f>Table1[[#This Row],[Net_Profit]]/Table1[[#This Row],[Net_Sales]]</f>
        <v>0.15699244475246568</v>
      </c>
      <c r="W525" t="s">
        <v>33</v>
      </c>
      <c r="X525" t="s">
        <v>546</v>
      </c>
      <c r="Y525">
        <v>5</v>
      </c>
      <c r="Z525" t="str">
        <f>IF(Table1[[#This Row],[Month_No]]&lt;=6, "H1","H2")</f>
        <v>H1</v>
      </c>
    </row>
    <row r="526" spans="1:26" x14ac:dyDescent="0.25">
      <c r="A526" s="2">
        <v>45793</v>
      </c>
      <c r="B526" t="s">
        <v>603</v>
      </c>
      <c r="C526" t="s">
        <v>27</v>
      </c>
      <c r="D526" t="s">
        <v>66</v>
      </c>
      <c r="E526" t="s">
        <v>51</v>
      </c>
      <c r="F526" t="s">
        <v>52</v>
      </c>
      <c r="G526" t="s">
        <v>31</v>
      </c>
      <c r="H526" t="s">
        <v>41</v>
      </c>
      <c r="I526">
        <v>41</v>
      </c>
      <c r="J526" s="3">
        <v>1550.61</v>
      </c>
      <c r="K526" s="3">
        <f>Table1[[#This Row],[Quantity]]*Table1[[#This Row],[Unit_Price]]</f>
        <v>63575.009999999995</v>
      </c>
      <c r="L526" s="3">
        <v>4943.42</v>
      </c>
      <c r="M526" s="3">
        <f>Table1[[#This Row],[Gross_Sales]]-Table1[[#This Row],[Discount]]</f>
        <v>58631.59</v>
      </c>
      <c r="N526" s="3">
        <v>31944.71</v>
      </c>
      <c r="O526" s="3">
        <v>1423.1</v>
      </c>
      <c r="P526" s="3">
        <v>3758.55</v>
      </c>
      <c r="Q526" s="3">
        <v>2543.87</v>
      </c>
      <c r="R526" s="3">
        <v>1715.46</v>
      </c>
      <c r="S526" s="3">
        <f>SUM(Table1[[#This Row],[Product_Cost]:[Other_Cost]])</f>
        <v>41385.69</v>
      </c>
      <c r="T526" s="3">
        <f>Table1[[#This Row],[Net_Sales]]-Table1[[#This Row],[Product_Cost]]</f>
        <v>26686.879999999997</v>
      </c>
      <c r="U526" s="3">
        <f>Table1[[#This Row],[Net_Sales]]-Table1[[#This Row],[Total_Cost]]</f>
        <v>17245.899999999994</v>
      </c>
      <c r="V526" s="4">
        <f>Table1[[#This Row],[Net_Profit]]/Table1[[#This Row],[Net_Sales]]</f>
        <v>0.29414007022494182</v>
      </c>
      <c r="W526" t="s">
        <v>33</v>
      </c>
      <c r="X526" t="s">
        <v>546</v>
      </c>
      <c r="Y526">
        <v>5</v>
      </c>
      <c r="Z526" t="str">
        <f>IF(Table1[[#This Row],[Month_No]]&lt;=6, "H1","H2")</f>
        <v>H1</v>
      </c>
    </row>
    <row r="527" spans="1:26" x14ac:dyDescent="0.25">
      <c r="A527" s="2">
        <v>45793</v>
      </c>
      <c r="B527" t="s">
        <v>604</v>
      </c>
      <c r="C527" t="s">
        <v>36</v>
      </c>
      <c r="D527" t="s">
        <v>68</v>
      </c>
      <c r="E527" t="s">
        <v>29</v>
      </c>
      <c r="F527" t="s">
        <v>52</v>
      </c>
      <c r="G527" t="s">
        <v>86</v>
      </c>
      <c r="H527" t="s">
        <v>59</v>
      </c>
      <c r="I527">
        <v>141</v>
      </c>
      <c r="J527" s="3">
        <v>369.34</v>
      </c>
      <c r="K527" s="3">
        <f>Table1[[#This Row],[Quantity]]*Table1[[#This Row],[Unit_Price]]</f>
        <v>52076.939999999995</v>
      </c>
      <c r="L527" s="3">
        <v>3898.04</v>
      </c>
      <c r="M527" s="3">
        <f>Table1[[#This Row],[Gross_Sales]]-Table1[[#This Row],[Discount]]</f>
        <v>48178.899999999994</v>
      </c>
      <c r="N527" s="3">
        <v>36498.78</v>
      </c>
      <c r="O527" s="3">
        <v>1250.72</v>
      </c>
      <c r="P527" s="3">
        <v>3009.25</v>
      </c>
      <c r="Q527" s="3">
        <v>2318.33</v>
      </c>
      <c r="R527" s="3">
        <v>1229.78</v>
      </c>
      <c r="S527" s="3">
        <f>SUM(Table1[[#This Row],[Product_Cost]:[Other_Cost]])</f>
        <v>44306.86</v>
      </c>
      <c r="T527" s="3">
        <f>Table1[[#This Row],[Net_Sales]]-Table1[[#This Row],[Product_Cost]]</f>
        <v>11680.119999999995</v>
      </c>
      <c r="U527" s="3">
        <f>Table1[[#This Row],[Net_Sales]]-Table1[[#This Row],[Total_Cost]]</f>
        <v>3872.0399999999936</v>
      </c>
      <c r="V527" s="4">
        <f>Table1[[#This Row],[Net_Profit]]/Table1[[#This Row],[Net_Sales]]</f>
        <v>8.0367961908636223E-2</v>
      </c>
      <c r="W527" t="s">
        <v>33</v>
      </c>
      <c r="X527" t="s">
        <v>546</v>
      </c>
      <c r="Y527">
        <v>5</v>
      </c>
      <c r="Z527" t="str">
        <f>IF(Table1[[#This Row],[Month_No]]&lt;=6, "H1","H2")</f>
        <v>H1</v>
      </c>
    </row>
    <row r="528" spans="1:26" x14ac:dyDescent="0.25">
      <c r="A528" s="2">
        <v>45793</v>
      </c>
      <c r="B528" t="s">
        <v>605</v>
      </c>
      <c r="C528" t="s">
        <v>36</v>
      </c>
      <c r="D528" t="s">
        <v>85</v>
      </c>
      <c r="E528" t="s">
        <v>57</v>
      </c>
      <c r="F528" t="s">
        <v>39</v>
      </c>
      <c r="G528" t="s">
        <v>40</v>
      </c>
      <c r="H528" t="s">
        <v>41</v>
      </c>
      <c r="I528">
        <v>69</v>
      </c>
      <c r="J528" s="3">
        <v>1893.63</v>
      </c>
      <c r="K528" s="3">
        <f>Table1[[#This Row],[Quantity]]*Table1[[#This Row],[Unit_Price]]</f>
        <v>130660.47</v>
      </c>
      <c r="L528" s="3">
        <v>10236.879999999999</v>
      </c>
      <c r="M528" s="3">
        <f>Table1[[#This Row],[Gross_Sales]]-Table1[[#This Row],[Discount]]</f>
        <v>120423.59</v>
      </c>
      <c r="N528" s="3">
        <v>81543.14</v>
      </c>
      <c r="O528" s="3">
        <v>5511.55</v>
      </c>
      <c r="P528" s="3">
        <v>7956.18</v>
      </c>
      <c r="Q528" s="3">
        <v>5961.43</v>
      </c>
      <c r="R528" s="3">
        <v>2539.62</v>
      </c>
      <c r="S528" s="3">
        <f>SUM(Table1[[#This Row],[Product_Cost]:[Other_Cost]])</f>
        <v>103511.91999999998</v>
      </c>
      <c r="T528" s="3">
        <f>Table1[[#This Row],[Net_Sales]]-Table1[[#This Row],[Product_Cost]]</f>
        <v>38880.449999999997</v>
      </c>
      <c r="U528" s="3">
        <f>Table1[[#This Row],[Net_Sales]]-Table1[[#This Row],[Total_Cost]]</f>
        <v>16911.670000000013</v>
      </c>
      <c r="V528" s="4">
        <f>Table1[[#This Row],[Net_Profit]]/Table1[[#This Row],[Net_Sales]]</f>
        <v>0.14043485998050725</v>
      </c>
      <c r="W528" t="s">
        <v>33</v>
      </c>
      <c r="X528" t="s">
        <v>546</v>
      </c>
      <c r="Y528">
        <v>5</v>
      </c>
      <c r="Z528" t="str">
        <f>IF(Table1[[#This Row],[Month_No]]&lt;=6, "H1","H2")</f>
        <v>H1</v>
      </c>
    </row>
    <row r="529" spans="1:26" x14ac:dyDescent="0.25">
      <c r="A529" s="2">
        <v>45793</v>
      </c>
      <c r="B529" t="s">
        <v>606</v>
      </c>
      <c r="C529" t="s">
        <v>70</v>
      </c>
      <c r="D529" t="s">
        <v>28</v>
      </c>
      <c r="E529" t="s">
        <v>29</v>
      </c>
      <c r="F529" t="s">
        <v>52</v>
      </c>
      <c r="G529" t="s">
        <v>61</v>
      </c>
      <c r="H529" t="s">
        <v>32</v>
      </c>
      <c r="I529">
        <v>92</v>
      </c>
      <c r="J529" s="3">
        <v>1187.51</v>
      </c>
      <c r="K529" s="3">
        <f>Table1[[#This Row],[Quantity]]*Table1[[#This Row],[Unit_Price]]</f>
        <v>109250.92</v>
      </c>
      <c r="L529" s="3">
        <v>9364.5</v>
      </c>
      <c r="M529" s="3">
        <f>Table1[[#This Row],[Gross_Sales]]-Table1[[#This Row],[Discount]]</f>
        <v>99886.42</v>
      </c>
      <c r="N529" s="3">
        <v>57805.29</v>
      </c>
      <c r="O529" s="3">
        <v>2353.65</v>
      </c>
      <c r="P529" s="3">
        <v>6724.48</v>
      </c>
      <c r="Q529" s="3">
        <v>5089.7299999999996</v>
      </c>
      <c r="R529" s="3">
        <v>2453.0100000000002</v>
      </c>
      <c r="S529" s="3">
        <f>SUM(Table1[[#This Row],[Product_Cost]:[Other_Cost]])</f>
        <v>74426.159999999989</v>
      </c>
      <c r="T529" s="3">
        <f>Table1[[#This Row],[Net_Sales]]-Table1[[#This Row],[Product_Cost]]</f>
        <v>42081.13</v>
      </c>
      <c r="U529" s="3">
        <f>Table1[[#This Row],[Net_Sales]]-Table1[[#This Row],[Total_Cost]]</f>
        <v>25460.260000000009</v>
      </c>
      <c r="V529" s="4">
        <f>Table1[[#This Row],[Net_Profit]]/Table1[[#This Row],[Net_Sales]]</f>
        <v>0.25489210645451116</v>
      </c>
      <c r="W529" t="s">
        <v>33</v>
      </c>
      <c r="X529" t="s">
        <v>546</v>
      </c>
      <c r="Y529">
        <v>5</v>
      </c>
      <c r="Z529" t="str">
        <f>IF(Table1[[#This Row],[Month_No]]&lt;=6, "H1","H2")</f>
        <v>H1</v>
      </c>
    </row>
    <row r="530" spans="1:26" x14ac:dyDescent="0.25">
      <c r="A530" s="2">
        <v>45793</v>
      </c>
      <c r="B530" t="s">
        <v>607</v>
      </c>
      <c r="C530" t="s">
        <v>117</v>
      </c>
      <c r="D530" t="s">
        <v>37</v>
      </c>
      <c r="E530" t="s">
        <v>38</v>
      </c>
      <c r="F530" t="s">
        <v>30</v>
      </c>
      <c r="G530" t="s">
        <v>58</v>
      </c>
      <c r="H530" t="s">
        <v>32</v>
      </c>
      <c r="I530">
        <v>72</v>
      </c>
      <c r="J530" s="3">
        <v>4368.37</v>
      </c>
      <c r="K530" s="3">
        <f>Table1[[#This Row],[Quantity]]*Table1[[#This Row],[Unit_Price]]</f>
        <v>314522.64</v>
      </c>
      <c r="L530" s="3">
        <v>27862.43</v>
      </c>
      <c r="M530" s="3">
        <f>Table1[[#This Row],[Gross_Sales]]-Table1[[#This Row],[Discount]]</f>
        <v>286660.21000000002</v>
      </c>
      <c r="N530" s="3">
        <v>202759.32</v>
      </c>
      <c r="O530" s="3">
        <v>10247.35</v>
      </c>
      <c r="P530" s="3">
        <v>18478.55</v>
      </c>
      <c r="Q530" s="3">
        <v>12407.4</v>
      </c>
      <c r="R530" s="3">
        <v>6901.65</v>
      </c>
      <c r="S530" s="3">
        <f>SUM(Table1[[#This Row],[Product_Cost]:[Other_Cost]])</f>
        <v>250794.27</v>
      </c>
      <c r="T530" s="3">
        <f>Table1[[#This Row],[Net_Sales]]-Table1[[#This Row],[Product_Cost]]</f>
        <v>83900.890000000014</v>
      </c>
      <c r="U530" s="3">
        <f>Table1[[#This Row],[Net_Sales]]-Table1[[#This Row],[Total_Cost]]</f>
        <v>35865.940000000031</v>
      </c>
      <c r="V530" s="4">
        <f>Table1[[#This Row],[Net_Profit]]/Table1[[#This Row],[Net_Sales]]</f>
        <v>0.12511656221838402</v>
      </c>
      <c r="W530" t="s">
        <v>33</v>
      </c>
      <c r="X530" t="s">
        <v>546</v>
      </c>
      <c r="Y530">
        <v>5</v>
      </c>
      <c r="Z530" t="str">
        <f>IF(Table1[[#This Row],[Month_No]]&lt;=6, "H1","H2")</f>
        <v>H1</v>
      </c>
    </row>
    <row r="531" spans="1:26" x14ac:dyDescent="0.25">
      <c r="A531" s="2">
        <v>45794</v>
      </c>
      <c r="B531" t="s">
        <v>608</v>
      </c>
      <c r="C531" t="s">
        <v>43</v>
      </c>
      <c r="D531" t="s">
        <v>66</v>
      </c>
      <c r="E531" t="s">
        <v>51</v>
      </c>
      <c r="F531" t="s">
        <v>52</v>
      </c>
      <c r="G531" t="s">
        <v>71</v>
      </c>
      <c r="H531" t="s">
        <v>32</v>
      </c>
      <c r="I531">
        <v>55</v>
      </c>
      <c r="J531" s="3">
        <v>1453.62</v>
      </c>
      <c r="K531" s="3">
        <f>Table1[[#This Row],[Quantity]]*Table1[[#This Row],[Unit_Price]]</f>
        <v>79949.099999999991</v>
      </c>
      <c r="L531" s="3">
        <v>7798.04</v>
      </c>
      <c r="M531" s="3">
        <f>Table1[[#This Row],[Gross_Sales]]-Table1[[#This Row],[Discount]]</f>
        <v>72151.06</v>
      </c>
      <c r="N531" s="3">
        <v>38948.65</v>
      </c>
      <c r="O531" s="3">
        <v>1970</v>
      </c>
      <c r="P531" s="3">
        <v>5234.51</v>
      </c>
      <c r="Q531" s="3">
        <v>2785.5</v>
      </c>
      <c r="R531" s="3">
        <v>1975.63</v>
      </c>
      <c r="S531" s="3">
        <f>SUM(Table1[[#This Row],[Product_Cost]:[Other_Cost]])</f>
        <v>50914.29</v>
      </c>
      <c r="T531" s="3">
        <f>Table1[[#This Row],[Net_Sales]]-Table1[[#This Row],[Product_Cost]]</f>
        <v>33202.409999999996</v>
      </c>
      <c r="U531" s="3">
        <f>Table1[[#This Row],[Net_Sales]]-Table1[[#This Row],[Total_Cost]]</f>
        <v>21236.769999999997</v>
      </c>
      <c r="V531" s="4">
        <f>Table1[[#This Row],[Net_Profit]]/Table1[[#This Row],[Net_Sales]]</f>
        <v>0.29433760224728506</v>
      </c>
      <c r="W531" t="s">
        <v>33</v>
      </c>
      <c r="X531" t="s">
        <v>546</v>
      </c>
      <c r="Y531">
        <v>5</v>
      </c>
      <c r="Z531" t="str">
        <f>IF(Table1[[#This Row],[Month_No]]&lt;=6, "H1","H2")</f>
        <v>H1</v>
      </c>
    </row>
    <row r="532" spans="1:26" x14ac:dyDescent="0.25">
      <c r="A532" s="2">
        <v>45794</v>
      </c>
      <c r="B532" t="s">
        <v>609</v>
      </c>
      <c r="C532" t="s">
        <v>83</v>
      </c>
      <c r="D532" t="s">
        <v>44</v>
      </c>
      <c r="E532" t="s">
        <v>45</v>
      </c>
      <c r="F532" t="s">
        <v>52</v>
      </c>
      <c r="G532" t="s">
        <v>64</v>
      </c>
      <c r="H532" t="s">
        <v>59</v>
      </c>
      <c r="I532">
        <v>84</v>
      </c>
      <c r="J532" s="3">
        <v>4573.6099999999997</v>
      </c>
      <c r="K532" s="3">
        <f>Table1[[#This Row],[Quantity]]*Table1[[#This Row],[Unit_Price]]</f>
        <v>384183.24</v>
      </c>
      <c r="L532" s="3">
        <v>25853.66</v>
      </c>
      <c r="M532" s="3">
        <f>Table1[[#This Row],[Gross_Sales]]-Table1[[#This Row],[Discount]]</f>
        <v>358329.58</v>
      </c>
      <c r="N532" s="3">
        <v>252846.69</v>
      </c>
      <c r="O532" s="3">
        <v>9389.52</v>
      </c>
      <c r="P532" s="3">
        <v>19875.060000000001</v>
      </c>
      <c r="Q532" s="3">
        <v>18064.419999999998</v>
      </c>
      <c r="R532" s="3">
        <v>10220.85</v>
      </c>
      <c r="S532" s="3">
        <f>SUM(Table1[[#This Row],[Product_Cost]:[Other_Cost]])</f>
        <v>310396.53999999998</v>
      </c>
      <c r="T532" s="3">
        <f>Table1[[#This Row],[Net_Sales]]-Table1[[#This Row],[Product_Cost]]</f>
        <v>105482.89000000001</v>
      </c>
      <c r="U532" s="3">
        <f>Table1[[#This Row],[Net_Sales]]-Table1[[#This Row],[Total_Cost]]</f>
        <v>47933.040000000037</v>
      </c>
      <c r="V532" s="4">
        <f>Table1[[#This Row],[Net_Profit]]/Table1[[#This Row],[Net_Sales]]</f>
        <v>0.13376802439809751</v>
      </c>
      <c r="W532" t="s">
        <v>33</v>
      </c>
      <c r="X532" t="s">
        <v>546</v>
      </c>
      <c r="Y532">
        <v>5</v>
      </c>
      <c r="Z532" t="str">
        <f>IF(Table1[[#This Row],[Month_No]]&lt;=6, "H1","H2")</f>
        <v>H1</v>
      </c>
    </row>
    <row r="533" spans="1:26" x14ac:dyDescent="0.25">
      <c r="A533" s="2">
        <v>45794</v>
      </c>
      <c r="B533" t="s">
        <v>610</v>
      </c>
      <c r="C533" t="s">
        <v>36</v>
      </c>
      <c r="D533" t="s">
        <v>37</v>
      </c>
      <c r="E533" t="s">
        <v>38</v>
      </c>
      <c r="F533" t="s">
        <v>30</v>
      </c>
      <c r="G533" t="s">
        <v>86</v>
      </c>
      <c r="H533" t="s">
        <v>59</v>
      </c>
      <c r="I533">
        <v>93</v>
      </c>
      <c r="J533" s="3">
        <v>4638.3500000000004</v>
      </c>
      <c r="K533" s="3">
        <f>Table1[[#This Row],[Quantity]]*Table1[[#This Row],[Unit_Price]]</f>
        <v>431366.55000000005</v>
      </c>
      <c r="L533" s="3">
        <v>25103.96</v>
      </c>
      <c r="M533" s="3">
        <f>Table1[[#This Row],[Gross_Sales]]-Table1[[#This Row],[Discount]]</f>
        <v>406262.59</v>
      </c>
      <c r="N533" s="3">
        <v>299872.51</v>
      </c>
      <c r="O533" s="3">
        <v>15145.16</v>
      </c>
      <c r="P533" s="3">
        <v>25613.72</v>
      </c>
      <c r="Q533" s="3">
        <v>19975.97</v>
      </c>
      <c r="R533" s="3">
        <v>9934.31</v>
      </c>
      <c r="S533" s="3">
        <f>SUM(Table1[[#This Row],[Product_Cost]:[Other_Cost]])</f>
        <v>370541.67</v>
      </c>
      <c r="T533" s="3">
        <f>Table1[[#This Row],[Net_Sales]]-Table1[[#This Row],[Product_Cost]]</f>
        <v>106390.08000000002</v>
      </c>
      <c r="U533" s="3">
        <f>Table1[[#This Row],[Net_Sales]]-Table1[[#This Row],[Total_Cost]]</f>
        <v>35720.920000000042</v>
      </c>
      <c r="V533" s="4">
        <f>Table1[[#This Row],[Net_Profit]]/Table1[[#This Row],[Net_Sales]]</f>
        <v>8.7925693576659469E-2</v>
      </c>
      <c r="W533" t="s">
        <v>33</v>
      </c>
      <c r="X533" t="s">
        <v>546</v>
      </c>
      <c r="Y533">
        <v>5</v>
      </c>
      <c r="Z533" t="str">
        <f>IF(Table1[[#This Row],[Month_No]]&lt;=6, "H1","H2")</f>
        <v>H1</v>
      </c>
    </row>
    <row r="534" spans="1:26" x14ac:dyDescent="0.25">
      <c r="A534" s="2">
        <v>45795</v>
      </c>
      <c r="B534" t="s">
        <v>611</v>
      </c>
      <c r="C534" t="s">
        <v>36</v>
      </c>
      <c r="D534" t="s">
        <v>44</v>
      </c>
      <c r="E534" t="s">
        <v>45</v>
      </c>
      <c r="F534" t="s">
        <v>52</v>
      </c>
      <c r="G534" t="s">
        <v>31</v>
      </c>
      <c r="H534" t="s">
        <v>41</v>
      </c>
      <c r="I534">
        <v>34</v>
      </c>
      <c r="J534" s="3">
        <v>4609.8999999999996</v>
      </c>
      <c r="K534" s="3">
        <f>Table1[[#This Row],[Quantity]]*Table1[[#This Row],[Unit_Price]]</f>
        <v>156736.59999999998</v>
      </c>
      <c r="L534" s="3">
        <v>13530.8</v>
      </c>
      <c r="M534" s="3">
        <f>Table1[[#This Row],[Gross_Sales]]-Table1[[#This Row],[Discount]]</f>
        <v>143205.79999999999</v>
      </c>
      <c r="N534" s="3">
        <v>105592.93</v>
      </c>
      <c r="O534" s="3">
        <v>3439.18</v>
      </c>
      <c r="P534" s="3">
        <v>9080.48</v>
      </c>
      <c r="Q534" s="3">
        <v>6496.94</v>
      </c>
      <c r="R534" s="3">
        <v>2986.19</v>
      </c>
      <c r="S534" s="3">
        <f>SUM(Table1[[#This Row],[Product_Cost]:[Other_Cost]])</f>
        <v>127595.71999999999</v>
      </c>
      <c r="T534" s="3">
        <f>Table1[[#This Row],[Net_Sales]]-Table1[[#This Row],[Product_Cost]]</f>
        <v>37612.869999999995</v>
      </c>
      <c r="U534" s="3">
        <f>Table1[[#This Row],[Net_Sales]]-Table1[[#This Row],[Total_Cost]]</f>
        <v>15610.080000000002</v>
      </c>
      <c r="V534" s="4">
        <f>Table1[[#This Row],[Net_Profit]]/Table1[[#This Row],[Net_Sales]]</f>
        <v>0.10900452355979998</v>
      </c>
      <c r="W534" t="s">
        <v>33</v>
      </c>
      <c r="X534" t="s">
        <v>546</v>
      </c>
      <c r="Y534">
        <v>5</v>
      </c>
      <c r="Z534" t="str">
        <f>IF(Table1[[#This Row],[Month_No]]&lt;=6, "H1","H2")</f>
        <v>H1</v>
      </c>
    </row>
    <row r="535" spans="1:26" x14ac:dyDescent="0.25">
      <c r="A535" s="2">
        <v>45795</v>
      </c>
      <c r="B535" t="s">
        <v>612</v>
      </c>
      <c r="C535" t="s">
        <v>78</v>
      </c>
      <c r="D535" t="s">
        <v>68</v>
      </c>
      <c r="E535" t="s">
        <v>29</v>
      </c>
      <c r="F535" t="s">
        <v>46</v>
      </c>
      <c r="G535" t="s">
        <v>64</v>
      </c>
      <c r="H535" t="s">
        <v>32</v>
      </c>
      <c r="I535">
        <v>98</v>
      </c>
      <c r="J535" s="3">
        <v>371.7</v>
      </c>
      <c r="K535" s="3">
        <f>Table1[[#This Row],[Quantity]]*Table1[[#This Row],[Unit_Price]]</f>
        <v>36426.6</v>
      </c>
      <c r="L535" s="3">
        <v>3519.76</v>
      </c>
      <c r="M535" s="3">
        <f>Table1[[#This Row],[Gross_Sales]]-Table1[[#This Row],[Discount]]</f>
        <v>32906.839999999997</v>
      </c>
      <c r="N535" s="3">
        <v>26386.16</v>
      </c>
      <c r="O535" s="3">
        <v>896.54</v>
      </c>
      <c r="P535" s="3">
        <v>2034.32</v>
      </c>
      <c r="Q535" s="3">
        <v>1205.5899999999999</v>
      </c>
      <c r="R535" s="3">
        <v>1034.83</v>
      </c>
      <c r="S535" s="3">
        <f>SUM(Table1[[#This Row],[Product_Cost]:[Other_Cost]])</f>
        <v>31557.440000000002</v>
      </c>
      <c r="T535" s="3">
        <f>Table1[[#This Row],[Net_Sales]]-Table1[[#This Row],[Product_Cost]]</f>
        <v>6520.6799999999967</v>
      </c>
      <c r="U535" s="3">
        <f>Table1[[#This Row],[Net_Sales]]-Table1[[#This Row],[Total_Cost]]</f>
        <v>1349.3999999999942</v>
      </c>
      <c r="V535" s="4">
        <f>Table1[[#This Row],[Net_Profit]]/Table1[[#This Row],[Net_Sales]]</f>
        <v>4.1006672169068628E-2</v>
      </c>
      <c r="W535" t="s">
        <v>33</v>
      </c>
      <c r="X535" t="s">
        <v>546</v>
      </c>
      <c r="Y535">
        <v>5</v>
      </c>
      <c r="Z535" t="str">
        <f>IF(Table1[[#This Row],[Month_No]]&lt;=6, "H1","H2")</f>
        <v>H1</v>
      </c>
    </row>
    <row r="536" spans="1:26" x14ac:dyDescent="0.25">
      <c r="A536" s="2">
        <v>45795</v>
      </c>
      <c r="B536" t="s">
        <v>613</v>
      </c>
      <c r="C536" t="s">
        <v>83</v>
      </c>
      <c r="D536" t="s">
        <v>37</v>
      </c>
      <c r="E536" t="s">
        <v>38</v>
      </c>
      <c r="F536" t="s">
        <v>52</v>
      </c>
      <c r="G536" t="s">
        <v>86</v>
      </c>
      <c r="H536" t="s">
        <v>47</v>
      </c>
      <c r="I536">
        <v>69</v>
      </c>
      <c r="J536" s="3">
        <v>4303.37</v>
      </c>
      <c r="K536" s="3">
        <f>Table1[[#This Row],[Quantity]]*Table1[[#This Row],[Unit_Price]]</f>
        <v>296932.52999999997</v>
      </c>
      <c r="L536" s="3">
        <v>20921.759999999998</v>
      </c>
      <c r="M536" s="3">
        <f>Table1[[#This Row],[Gross_Sales]]-Table1[[#This Row],[Discount]]</f>
        <v>276010.76999999996</v>
      </c>
      <c r="N536" s="3">
        <v>207616.35</v>
      </c>
      <c r="O536" s="3">
        <v>7496.22</v>
      </c>
      <c r="P536" s="3">
        <v>19736.39</v>
      </c>
      <c r="Q536" s="3">
        <v>10471.4</v>
      </c>
      <c r="R536" s="3">
        <v>7399.7</v>
      </c>
      <c r="S536" s="3">
        <f>SUM(Table1[[#This Row],[Product_Cost]:[Other_Cost]])</f>
        <v>252720.06000000003</v>
      </c>
      <c r="T536" s="3">
        <f>Table1[[#This Row],[Net_Sales]]-Table1[[#This Row],[Product_Cost]]</f>
        <v>68394.419999999955</v>
      </c>
      <c r="U536" s="3">
        <f>Table1[[#This Row],[Net_Sales]]-Table1[[#This Row],[Total_Cost]]</f>
        <v>23290.709999999934</v>
      </c>
      <c r="V536" s="4">
        <f>Table1[[#This Row],[Net_Profit]]/Table1[[#This Row],[Net_Sales]]</f>
        <v>8.4383337650193638E-2</v>
      </c>
      <c r="W536" t="s">
        <v>33</v>
      </c>
      <c r="X536" t="s">
        <v>546</v>
      </c>
      <c r="Y536">
        <v>5</v>
      </c>
      <c r="Z536" t="str">
        <f>IF(Table1[[#This Row],[Month_No]]&lt;=6, "H1","H2")</f>
        <v>H1</v>
      </c>
    </row>
    <row r="537" spans="1:26" x14ac:dyDescent="0.25">
      <c r="A537" s="2">
        <v>45795</v>
      </c>
      <c r="B537" t="s">
        <v>614</v>
      </c>
      <c r="C537" t="s">
        <v>83</v>
      </c>
      <c r="D537" t="s">
        <v>66</v>
      </c>
      <c r="E537" t="s">
        <v>51</v>
      </c>
      <c r="F537" t="s">
        <v>52</v>
      </c>
      <c r="G537" t="s">
        <v>76</v>
      </c>
      <c r="H537" t="s">
        <v>41</v>
      </c>
      <c r="I537">
        <v>70</v>
      </c>
      <c r="J537" s="3">
        <v>1499.86</v>
      </c>
      <c r="K537" s="3">
        <f>Table1[[#This Row],[Quantity]]*Table1[[#This Row],[Unit_Price]]</f>
        <v>104990.2</v>
      </c>
      <c r="L537" s="3">
        <v>7135.84</v>
      </c>
      <c r="M537" s="3">
        <f>Table1[[#This Row],[Gross_Sales]]-Table1[[#This Row],[Discount]]</f>
        <v>97854.36</v>
      </c>
      <c r="N537" s="3">
        <v>53998.9</v>
      </c>
      <c r="O537" s="3">
        <v>2534.9699999999998</v>
      </c>
      <c r="P537" s="3">
        <v>5467.62</v>
      </c>
      <c r="Q537" s="3">
        <v>4457.3500000000004</v>
      </c>
      <c r="R537" s="3">
        <v>3064.2</v>
      </c>
      <c r="S537" s="3">
        <f>SUM(Table1[[#This Row],[Product_Cost]:[Other_Cost]])</f>
        <v>69523.040000000008</v>
      </c>
      <c r="T537" s="3">
        <f>Table1[[#This Row],[Net_Sales]]-Table1[[#This Row],[Product_Cost]]</f>
        <v>43855.46</v>
      </c>
      <c r="U537" s="3">
        <f>Table1[[#This Row],[Net_Sales]]-Table1[[#This Row],[Total_Cost]]</f>
        <v>28331.319999999992</v>
      </c>
      <c r="V537" s="4">
        <f>Table1[[#This Row],[Net_Profit]]/Table1[[#This Row],[Net_Sales]]</f>
        <v>0.2895253721959859</v>
      </c>
      <c r="W537" t="s">
        <v>33</v>
      </c>
      <c r="X537" t="s">
        <v>546</v>
      </c>
      <c r="Y537">
        <v>5</v>
      </c>
      <c r="Z537" t="str">
        <f>IF(Table1[[#This Row],[Month_No]]&lt;=6, "H1","H2")</f>
        <v>H1</v>
      </c>
    </row>
    <row r="538" spans="1:26" x14ac:dyDescent="0.25">
      <c r="A538" s="2">
        <v>45795</v>
      </c>
      <c r="B538" t="s">
        <v>615</v>
      </c>
      <c r="C538" t="s">
        <v>55</v>
      </c>
      <c r="D538" t="s">
        <v>183</v>
      </c>
      <c r="E538" t="s">
        <v>38</v>
      </c>
      <c r="F538" t="s">
        <v>30</v>
      </c>
      <c r="G538" t="s">
        <v>61</v>
      </c>
      <c r="H538" t="s">
        <v>47</v>
      </c>
      <c r="I538">
        <v>78</v>
      </c>
      <c r="J538" s="3">
        <v>6655.65</v>
      </c>
      <c r="K538" s="3">
        <f>Table1[[#This Row],[Quantity]]*Table1[[#This Row],[Unit_Price]]</f>
        <v>519140.69999999995</v>
      </c>
      <c r="L538" s="3">
        <v>40196.14</v>
      </c>
      <c r="M538" s="3">
        <f>Table1[[#This Row],[Gross_Sales]]-Table1[[#This Row],[Discount]]</f>
        <v>478944.55999999994</v>
      </c>
      <c r="N538" s="3">
        <v>283584.84000000003</v>
      </c>
      <c r="O538" s="3">
        <v>18535.29</v>
      </c>
      <c r="P538" s="3">
        <v>33418.370000000003</v>
      </c>
      <c r="Q538" s="3">
        <v>17320.259999999998</v>
      </c>
      <c r="R538" s="3">
        <v>14645.92</v>
      </c>
      <c r="S538" s="3">
        <f>SUM(Table1[[#This Row],[Product_Cost]:[Other_Cost]])</f>
        <v>367504.68</v>
      </c>
      <c r="T538" s="3">
        <f>Table1[[#This Row],[Net_Sales]]-Table1[[#This Row],[Product_Cost]]</f>
        <v>195359.71999999991</v>
      </c>
      <c r="U538" s="3">
        <f>Table1[[#This Row],[Net_Sales]]-Table1[[#This Row],[Total_Cost]]</f>
        <v>111439.87999999995</v>
      </c>
      <c r="V538" s="4">
        <f>Table1[[#This Row],[Net_Profit]]/Table1[[#This Row],[Net_Sales]]</f>
        <v>0.23267803689011513</v>
      </c>
      <c r="W538" t="s">
        <v>33</v>
      </c>
      <c r="X538" t="s">
        <v>546</v>
      </c>
      <c r="Y538">
        <v>5</v>
      </c>
      <c r="Z538" t="str">
        <f>IF(Table1[[#This Row],[Month_No]]&lt;=6, "H1","H2")</f>
        <v>H1</v>
      </c>
    </row>
    <row r="539" spans="1:26" x14ac:dyDescent="0.25">
      <c r="A539" s="2">
        <v>45795</v>
      </c>
      <c r="B539" t="s">
        <v>616</v>
      </c>
      <c r="C539" t="s">
        <v>98</v>
      </c>
      <c r="D539" t="s">
        <v>44</v>
      </c>
      <c r="E539" t="s">
        <v>45</v>
      </c>
      <c r="F539" t="s">
        <v>52</v>
      </c>
      <c r="G539" t="s">
        <v>71</v>
      </c>
      <c r="H539" t="s">
        <v>32</v>
      </c>
      <c r="I539">
        <v>91</v>
      </c>
      <c r="J539" s="3">
        <v>4533.28</v>
      </c>
      <c r="K539" s="3">
        <f>Table1[[#This Row],[Quantity]]*Table1[[#This Row],[Unit_Price]]</f>
        <v>412528.48</v>
      </c>
      <c r="L539" s="3">
        <v>38543.269999999997</v>
      </c>
      <c r="M539" s="3">
        <f>Table1[[#This Row],[Gross_Sales]]-Table1[[#This Row],[Discount]]</f>
        <v>373985.20999999996</v>
      </c>
      <c r="N539" s="3">
        <v>261775.28</v>
      </c>
      <c r="O539" s="3">
        <v>9377.59</v>
      </c>
      <c r="P539" s="3">
        <v>23013.93</v>
      </c>
      <c r="Q539" s="3">
        <v>16813.150000000001</v>
      </c>
      <c r="R539" s="3">
        <v>8976.09</v>
      </c>
      <c r="S539" s="3">
        <f>SUM(Table1[[#This Row],[Product_Cost]:[Other_Cost]])</f>
        <v>319956.04000000004</v>
      </c>
      <c r="T539" s="3">
        <f>Table1[[#This Row],[Net_Sales]]-Table1[[#This Row],[Product_Cost]]</f>
        <v>112209.92999999996</v>
      </c>
      <c r="U539" s="3">
        <f>Table1[[#This Row],[Net_Sales]]-Table1[[#This Row],[Total_Cost]]</f>
        <v>54029.169999999925</v>
      </c>
      <c r="V539" s="4">
        <f>Table1[[#This Row],[Net_Profit]]/Table1[[#This Row],[Net_Sales]]</f>
        <v>0.14446873447214645</v>
      </c>
      <c r="W539" t="s">
        <v>33</v>
      </c>
      <c r="X539" t="s">
        <v>546</v>
      </c>
      <c r="Y539">
        <v>5</v>
      </c>
      <c r="Z539" t="str">
        <f>IF(Table1[[#This Row],[Month_No]]&lt;=6, "H1","H2")</f>
        <v>H1</v>
      </c>
    </row>
    <row r="540" spans="1:26" x14ac:dyDescent="0.25">
      <c r="A540" s="2">
        <v>45795</v>
      </c>
      <c r="B540" t="s">
        <v>617</v>
      </c>
      <c r="C540" t="s">
        <v>36</v>
      </c>
      <c r="D540" t="s">
        <v>66</v>
      </c>
      <c r="E540" t="s">
        <v>51</v>
      </c>
      <c r="F540" t="s">
        <v>30</v>
      </c>
      <c r="G540" t="s">
        <v>61</v>
      </c>
      <c r="H540" t="s">
        <v>41</v>
      </c>
      <c r="I540">
        <v>42</v>
      </c>
      <c r="J540" s="3">
        <v>1526.25</v>
      </c>
      <c r="K540" s="3">
        <f>Table1[[#This Row],[Quantity]]*Table1[[#This Row],[Unit_Price]]</f>
        <v>64102.5</v>
      </c>
      <c r="L540" s="3">
        <v>4217.34</v>
      </c>
      <c r="M540" s="3">
        <f>Table1[[#This Row],[Gross_Sales]]-Table1[[#This Row],[Discount]]</f>
        <v>59885.16</v>
      </c>
      <c r="N540" s="3">
        <v>32007.72</v>
      </c>
      <c r="O540" s="3">
        <v>2289.4299999999998</v>
      </c>
      <c r="P540" s="3">
        <v>3362.04</v>
      </c>
      <c r="Q540" s="3">
        <v>2298.06</v>
      </c>
      <c r="R540" s="3">
        <v>1254.81</v>
      </c>
      <c r="S540" s="3">
        <f>SUM(Table1[[#This Row],[Product_Cost]:[Other_Cost]])</f>
        <v>41212.06</v>
      </c>
      <c r="T540" s="3">
        <f>Table1[[#This Row],[Net_Sales]]-Table1[[#This Row],[Product_Cost]]</f>
        <v>27877.440000000002</v>
      </c>
      <c r="U540" s="3">
        <f>Table1[[#This Row],[Net_Sales]]-Table1[[#This Row],[Total_Cost]]</f>
        <v>18673.100000000006</v>
      </c>
      <c r="V540" s="4">
        <f>Table1[[#This Row],[Net_Profit]]/Table1[[#This Row],[Net_Sales]]</f>
        <v>0.31181514752569761</v>
      </c>
      <c r="W540" t="s">
        <v>33</v>
      </c>
      <c r="X540" t="s">
        <v>546</v>
      </c>
      <c r="Y540">
        <v>5</v>
      </c>
      <c r="Z540" t="str">
        <f>IF(Table1[[#This Row],[Month_No]]&lt;=6, "H1","H2")</f>
        <v>H1</v>
      </c>
    </row>
    <row r="541" spans="1:26" x14ac:dyDescent="0.25">
      <c r="A541" s="2">
        <v>45796</v>
      </c>
      <c r="B541" t="s">
        <v>618</v>
      </c>
      <c r="C541" t="s">
        <v>83</v>
      </c>
      <c r="D541" t="s">
        <v>44</v>
      </c>
      <c r="E541" t="s">
        <v>45</v>
      </c>
      <c r="F541" t="s">
        <v>39</v>
      </c>
      <c r="G541" t="s">
        <v>40</v>
      </c>
      <c r="H541" t="s">
        <v>41</v>
      </c>
      <c r="I541">
        <v>38</v>
      </c>
      <c r="J541" s="3">
        <v>4344.92</v>
      </c>
      <c r="K541" s="3">
        <f>Table1[[#This Row],[Quantity]]*Table1[[#This Row],[Unit_Price]]</f>
        <v>165106.96</v>
      </c>
      <c r="L541" s="3">
        <v>15171.86</v>
      </c>
      <c r="M541" s="3">
        <f>Table1[[#This Row],[Gross_Sales]]-Table1[[#This Row],[Discount]]</f>
        <v>149935.09999999998</v>
      </c>
      <c r="N541" s="3">
        <v>111149.94</v>
      </c>
      <c r="O541" s="3">
        <v>5904.96</v>
      </c>
      <c r="P541" s="3">
        <v>9888.56</v>
      </c>
      <c r="Q541" s="3">
        <v>6177.82</v>
      </c>
      <c r="R541" s="3">
        <v>4305</v>
      </c>
      <c r="S541" s="3">
        <f>SUM(Table1[[#This Row],[Product_Cost]:[Other_Cost]])</f>
        <v>137426.28</v>
      </c>
      <c r="T541" s="3">
        <f>Table1[[#This Row],[Net_Sales]]-Table1[[#This Row],[Product_Cost]]</f>
        <v>38785.159999999974</v>
      </c>
      <c r="U541" s="3">
        <f>Table1[[#This Row],[Net_Sales]]-Table1[[#This Row],[Total_Cost]]</f>
        <v>12508.819999999978</v>
      </c>
      <c r="V541" s="4">
        <f>Table1[[#This Row],[Net_Profit]]/Table1[[#This Row],[Net_Sales]]</f>
        <v>8.3428229947490481E-2</v>
      </c>
      <c r="W541" t="s">
        <v>33</v>
      </c>
      <c r="X541" t="s">
        <v>546</v>
      </c>
      <c r="Y541">
        <v>5</v>
      </c>
      <c r="Z541" t="str">
        <f>IF(Table1[[#This Row],[Month_No]]&lt;=6, "H1","H2")</f>
        <v>H1</v>
      </c>
    </row>
    <row r="542" spans="1:26" x14ac:dyDescent="0.25">
      <c r="A542" s="2">
        <v>45796</v>
      </c>
      <c r="B542" t="s">
        <v>619</v>
      </c>
      <c r="C542" t="s">
        <v>49</v>
      </c>
      <c r="D542" t="s">
        <v>28</v>
      </c>
      <c r="E542" t="s">
        <v>29</v>
      </c>
      <c r="F542" t="s">
        <v>52</v>
      </c>
      <c r="G542" t="s">
        <v>61</v>
      </c>
      <c r="H542" t="s">
        <v>41</v>
      </c>
      <c r="I542">
        <v>61</v>
      </c>
      <c r="J542" s="3">
        <v>1218.75</v>
      </c>
      <c r="K542" s="3">
        <f>Table1[[#This Row],[Quantity]]*Table1[[#This Row],[Unit_Price]]</f>
        <v>74343.75</v>
      </c>
      <c r="L542" s="3">
        <v>5580.28</v>
      </c>
      <c r="M542" s="3">
        <f>Table1[[#This Row],[Gross_Sales]]-Table1[[#This Row],[Discount]]</f>
        <v>68763.47</v>
      </c>
      <c r="N542" s="3">
        <v>40871.480000000003</v>
      </c>
      <c r="O542" s="3">
        <v>1815.14</v>
      </c>
      <c r="P542" s="3">
        <v>4218.7700000000004</v>
      </c>
      <c r="Q542" s="3">
        <v>3244.67</v>
      </c>
      <c r="R542" s="3">
        <v>2116.1799999999998</v>
      </c>
      <c r="S542" s="3">
        <f>SUM(Table1[[#This Row],[Product_Cost]:[Other_Cost]])</f>
        <v>52266.239999999998</v>
      </c>
      <c r="T542" s="3">
        <f>Table1[[#This Row],[Net_Sales]]-Table1[[#This Row],[Product_Cost]]</f>
        <v>27891.989999999998</v>
      </c>
      <c r="U542" s="3">
        <f>Table1[[#This Row],[Net_Sales]]-Table1[[#This Row],[Total_Cost]]</f>
        <v>16497.230000000003</v>
      </c>
      <c r="V542" s="4">
        <f>Table1[[#This Row],[Net_Profit]]/Table1[[#This Row],[Net_Sales]]</f>
        <v>0.23991270364919051</v>
      </c>
      <c r="W542" t="s">
        <v>33</v>
      </c>
      <c r="X542" t="s">
        <v>546</v>
      </c>
      <c r="Y542">
        <v>5</v>
      </c>
      <c r="Z542" t="str">
        <f>IF(Table1[[#This Row],[Month_No]]&lt;=6, "H1","H2")</f>
        <v>H1</v>
      </c>
    </row>
    <row r="543" spans="1:26" x14ac:dyDescent="0.25">
      <c r="A543" s="2">
        <v>45796</v>
      </c>
      <c r="B543" t="s">
        <v>620</v>
      </c>
      <c r="C543" t="s">
        <v>78</v>
      </c>
      <c r="D543" t="s">
        <v>74</v>
      </c>
      <c r="E543" t="s">
        <v>75</v>
      </c>
      <c r="F543" t="s">
        <v>52</v>
      </c>
      <c r="G543" t="s">
        <v>64</v>
      </c>
      <c r="H543" t="s">
        <v>59</v>
      </c>
      <c r="I543">
        <v>99</v>
      </c>
      <c r="J543" s="3">
        <v>5710.14</v>
      </c>
      <c r="K543" s="3">
        <f>Table1[[#This Row],[Quantity]]*Table1[[#This Row],[Unit_Price]]</f>
        <v>565303.86</v>
      </c>
      <c r="L543" s="3">
        <v>39706.44</v>
      </c>
      <c r="M543" s="3">
        <f>Table1[[#This Row],[Gross_Sales]]-Table1[[#This Row],[Discount]]</f>
        <v>525597.41999999993</v>
      </c>
      <c r="N543" s="3">
        <v>378898.87</v>
      </c>
      <c r="O543" s="3">
        <v>13368.59</v>
      </c>
      <c r="P543" s="3">
        <v>31076.79</v>
      </c>
      <c r="Q543" s="3">
        <v>24941.52</v>
      </c>
      <c r="R543" s="3">
        <v>12960.27</v>
      </c>
      <c r="S543" s="3">
        <f>SUM(Table1[[#This Row],[Product_Cost]:[Other_Cost]])</f>
        <v>461246.04000000004</v>
      </c>
      <c r="T543" s="3">
        <f>Table1[[#This Row],[Net_Sales]]-Table1[[#This Row],[Product_Cost]]</f>
        <v>146698.54999999993</v>
      </c>
      <c r="U543" s="3">
        <f>Table1[[#This Row],[Net_Sales]]-Table1[[#This Row],[Total_Cost]]</f>
        <v>64351.379999999888</v>
      </c>
      <c r="V543" s="4">
        <f>Table1[[#This Row],[Net_Profit]]/Table1[[#This Row],[Net_Sales]]</f>
        <v>0.12243473341250399</v>
      </c>
      <c r="W543" t="s">
        <v>33</v>
      </c>
      <c r="X543" t="s">
        <v>546</v>
      </c>
      <c r="Y543">
        <v>5</v>
      </c>
      <c r="Z543" t="str">
        <f>IF(Table1[[#This Row],[Month_No]]&lt;=6, "H1","H2")</f>
        <v>H1</v>
      </c>
    </row>
    <row r="544" spans="1:26" x14ac:dyDescent="0.25">
      <c r="A544" s="2">
        <v>45796</v>
      </c>
      <c r="B544" t="s">
        <v>621</v>
      </c>
      <c r="C544" t="s">
        <v>107</v>
      </c>
      <c r="D544" t="s">
        <v>44</v>
      </c>
      <c r="E544" t="s">
        <v>45</v>
      </c>
      <c r="F544" t="s">
        <v>52</v>
      </c>
      <c r="G544" t="s">
        <v>86</v>
      </c>
      <c r="H544" t="s">
        <v>59</v>
      </c>
      <c r="I544">
        <v>78</v>
      </c>
      <c r="J544" s="3">
        <v>4379.6000000000004</v>
      </c>
      <c r="K544" s="3">
        <f>Table1[[#This Row],[Quantity]]*Table1[[#This Row],[Unit_Price]]</f>
        <v>341608.80000000005</v>
      </c>
      <c r="L544" s="3">
        <v>21176.07</v>
      </c>
      <c r="M544" s="3">
        <f>Table1[[#This Row],[Gross_Sales]]-Table1[[#This Row],[Discount]]</f>
        <v>320432.73000000004</v>
      </c>
      <c r="N544" s="3">
        <v>224752.53</v>
      </c>
      <c r="O544" s="3">
        <v>8176.22</v>
      </c>
      <c r="P544" s="3">
        <v>20942.759999999998</v>
      </c>
      <c r="Q544" s="3">
        <v>14574.19</v>
      </c>
      <c r="R544" s="3">
        <v>6750.45</v>
      </c>
      <c r="S544" s="3">
        <f>SUM(Table1[[#This Row],[Product_Cost]:[Other_Cost]])</f>
        <v>275196.15000000002</v>
      </c>
      <c r="T544" s="3">
        <f>Table1[[#This Row],[Net_Sales]]-Table1[[#This Row],[Product_Cost]]</f>
        <v>95680.200000000041</v>
      </c>
      <c r="U544" s="3">
        <f>Table1[[#This Row],[Net_Sales]]-Table1[[#This Row],[Total_Cost]]</f>
        <v>45236.580000000016</v>
      </c>
      <c r="V544" s="4">
        <f>Table1[[#This Row],[Net_Profit]]/Table1[[#This Row],[Net_Sales]]</f>
        <v>0.14117340634959485</v>
      </c>
      <c r="W544" t="s">
        <v>33</v>
      </c>
      <c r="X544" t="s">
        <v>546</v>
      </c>
      <c r="Y544">
        <v>5</v>
      </c>
      <c r="Z544" t="str">
        <f>IF(Table1[[#This Row],[Month_No]]&lt;=6, "H1","H2")</f>
        <v>H1</v>
      </c>
    </row>
    <row r="545" spans="1:26" x14ac:dyDescent="0.25">
      <c r="A545" s="2">
        <v>45796</v>
      </c>
      <c r="B545" t="s">
        <v>622</v>
      </c>
      <c r="C545" t="s">
        <v>98</v>
      </c>
      <c r="D545" t="s">
        <v>50</v>
      </c>
      <c r="E545" t="s">
        <v>51</v>
      </c>
      <c r="F545" t="s">
        <v>52</v>
      </c>
      <c r="G545" t="s">
        <v>31</v>
      </c>
      <c r="H545" t="s">
        <v>41</v>
      </c>
      <c r="I545">
        <v>103</v>
      </c>
      <c r="J545" s="3">
        <v>814.6</v>
      </c>
      <c r="K545" s="3">
        <f>Table1[[#This Row],[Quantity]]*Table1[[#This Row],[Unit_Price]]</f>
        <v>83903.8</v>
      </c>
      <c r="L545" s="3">
        <v>7620.82</v>
      </c>
      <c r="M545" s="3">
        <f>Table1[[#This Row],[Gross_Sales]]-Table1[[#This Row],[Discount]]</f>
        <v>76282.98000000001</v>
      </c>
      <c r="N545" s="3">
        <v>51792.78</v>
      </c>
      <c r="O545" s="3">
        <v>2074.5</v>
      </c>
      <c r="P545" s="3">
        <v>4706.07</v>
      </c>
      <c r="Q545" s="3">
        <v>3661</v>
      </c>
      <c r="R545" s="3">
        <v>1676.34</v>
      </c>
      <c r="S545" s="3">
        <f>SUM(Table1[[#This Row],[Product_Cost]:[Other_Cost]])</f>
        <v>63910.689999999995</v>
      </c>
      <c r="T545" s="3">
        <f>Table1[[#This Row],[Net_Sales]]-Table1[[#This Row],[Product_Cost]]</f>
        <v>24490.200000000012</v>
      </c>
      <c r="U545" s="3">
        <f>Table1[[#This Row],[Net_Sales]]-Table1[[#This Row],[Total_Cost]]</f>
        <v>12372.290000000015</v>
      </c>
      <c r="V545" s="4">
        <f>Table1[[#This Row],[Net_Profit]]/Table1[[#This Row],[Net_Sales]]</f>
        <v>0.16218939008413166</v>
      </c>
      <c r="W545" t="s">
        <v>33</v>
      </c>
      <c r="X545" t="s">
        <v>546</v>
      </c>
      <c r="Y545">
        <v>5</v>
      </c>
      <c r="Z545" t="str">
        <f>IF(Table1[[#This Row],[Month_No]]&lt;=6, "H1","H2")</f>
        <v>H1</v>
      </c>
    </row>
    <row r="546" spans="1:26" x14ac:dyDescent="0.25">
      <c r="A546" s="2">
        <v>45796</v>
      </c>
      <c r="B546" t="s">
        <v>623</v>
      </c>
      <c r="C546" t="s">
        <v>36</v>
      </c>
      <c r="D546" t="s">
        <v>28</v>
      </c>
      <c r="E546" t="s">
        <v>29</v>
      </c>
      <c r="F546" t="s">
        <v>52</v>
      </c>
      <c r="G546" t="s">
        <v>71</v>
      </c>
      <c r="H546" t="s">
        <v>41</v>
      </c>
      <c r="I546">
        <v>109</v>
      </c>
      <c r="J546" s="3">
        <v>1164.54</v>
      </c>
      <c r="K546" s="3">
        <f>Table1[[#This Row],[Quantity]]*Table1[[#This Row],[Unit_Price]]</f>
        <v>126934.86</v>
      </c>
      <c r="L546" s="3">
        <v>10100.799999999999</v>
      </c>
      <c r="M546" s="3">
        <f>Table1[[#This Row],[Gross_Sales]]-Table1[[#This Row],[Discount]]</f>
        <v>116834.06</v>
      </c>
      <c r="N546" s="3">
        <v>71938.69</v>
      </c>
      <c r="O546" s="3">
        <v>3078.19</v>
      </c>
      <c r="P546" s="3">
        <v>7821.67</v>
      </c>
      <c r="Q546" s="3">
        <v>6373.37</v>
      </c>
      <c r="R546" s="3">
        <v>3020.5</v>
      </c>
      <c r="S546" s="3">
        <f>SUM(Table1[[#This Row],[Product_Cost]:[Other_Cost]])</f>
        <v>92232.42</v>
      </c>
      <c r="T546" s="3">
        <f>Table1[[#This Row],[Net_Sales]]-Table1[[#This Row],[Product_Cost]]</f>
        <v>44895.369999999995</v>
      </c>
      <c r="U546" s="3">
        <f>Table1[[#This Row],[Net_Sales]]-Table1[[#This Row],[Total_Cost]]</f>
        <v>24601.64</v>
      </c>
      <c r="V546" s="4">
        <f>Table1[[#This Row],[Net_Profit]]/Table1[[#This Row],[Net_Sales]]</f>
        <v>0.21056907549048626</v>
      </c>
      <c r="W546" t="s">
        <v>33</v>
      </c>
      <c r="X546" t="s">
        <v>546</v>
      </c>
      <c r="Y546">
        <v>5</v>
      </c>
      <c r="Z546" t="str">
        <f>IF(Table1[[#This Row],[Month_No]]&lt;=6, "H1","H2")</f>
        <v>H1</v>
      </c>
    </row>
    <row r="547" spans="1:26" x14ac:dyDescent="0.25">
      <c r="A547" s="2">
        <v>45797</v>
      </c>
      <c r="B547" t="s">
        <v>624</v>
      </c>
      <c r="C547" t="s">
        <v>36</v>
      </c>
      <c r="D547" t="s">
        <v>44</v>
      </c>
      <c r="E547" t="s">
        <v>45</v>
      </c>
      <c r="F547" t="s">
        <v>52</v>
      </c>
      <c r="G547" t="s">
        <v>64</v>
      </c>
      <c r="H547" t="s">
        <v>59</v>
      </c>
      <c r="I547">
        <v>103</v>
      </c>
      <c r="J547" s="3">
        <v>4461.71</v>
      </c>
      <c r="K547" s="3">
        <f>Table1[[#This Row],[Quantity]]*Table1[[#This Row],[Unit_Price]]</f>
        <v>459556.13</v>
      </c>
      <c r="L547" s="3">
        <v>28929.13</v>
      </c>
      <c r="M547" s="3">
        <f>Table1[[#This Row],[Gross_Sales]]-Table1[[#This Row],[Discount]]</f>
        <v>430627</v>
      </c>
      <c r="N547" s="3">
        <v>319257.08</v>
      </c>
      <c r="O547" s="3">
        <v>10097.719999999999</v>
      </c>
      <c r="P547" s="3">
        <v>24340.78</v>
      </c>
      <c r="Q547" s="3">
        <v>23333.5</v>
      </c>
      <c r="R547" s="3">
        <v>11357.57</v>
      </c>
      <c r="S547" s="3">
        <f>SUM(Table1[[#This Row],[Product_Cost]:[Other_Cost]])</f>
        <v>388386.64999999997</v>
      </c>
      <c r="T547" s="3">
        <f>Table1[[#This Row],[Net_Sales]]-Table1[[#This Row],[Product_Cost]]</f>
        <v>111369.91999999998</v>
      </c>
      <c r="U547" s="3">
        <f>Table1[[#This Row],[Net_Sales]]-Table1[[#This Row],[Total_Cost]]</f>
        <v>42240.350000000035</v>
      </c>
      <c r="V547" s="4">
        <f>Table1[[#This Row],[Net_Profit]]/Table1[[#This Row],[Net_Sales]]</f>
        <v>9.8090342686362061E-2</v>
      </c>
      <c r="W547" t="s">
        <v>33</v>
      </c>
      <c r="X547" t="s">
        <v>546</v>
      </c>
      <c r="Y547">
        <v>5</v>
      </c>
      <c r="Z547" t="str">
        <f>IF(Table1[[#This Row],[Month_No]]&lt;=6, "H1","H2")</f>
        <v>H1</v>
      </c>
    </row>
    <row r="548" spans="1:26" x14ac:dyDescent="0.25">
      <c r="A548" s="2">
        <v>45797</v>
      </c>
      <c r="B548" t="s">
        <v>625</v>
      </c>
      <c r="C548" t="s">
        <v>55</v>
      </c>
      <c r="D548" t="s">
        <v>56</v>
      </c>
      <c r="E548" t="s">
        <v>57</v>
      </c>
      <c r="F548" t="s">
        <v>39</v>
      </c>
      <c r="G548" t="s">
        <v>64</v>
      </c>
      <c r="H548" t="s">
        <v>59</v>
      </c>
      <c r="I548">
        <v>58</v>
      </c>
      <c r="J548" s="3">
        <v>3129.02</v>
      </c>
      <c r="K548" s="3">
        <f>Table1[[#This Row],[Quantity]]*Table1[[#This Row],[Unit_Price]]</f>
        <v>181483.16</v>
      </c>
      <c r="L548" s="3">
        <v>14280.3</v>
      </c>
      <c r="M548" s="3">
        <f>Table1[[#This Row],[Gross_Sales]]-Table1[[#This Row],[Discount]]</f>
        <v>167202.86000000002</v>
      </c>
      <c r="N548" s="3">
        <v>96550.65</v>
      </c>
      <c r="O548" s="3">
        <v>7577.74</v>
      </c>
      <c r="P548" s="3">
        <v>10872.84</v>
      </c>
      <c r="Q548" s="3">
        <v>7070.27</v>
      </c>
      <c r="R548" s="3">
        <v>5058.05</v>
      </c>
      <c r="S548" s="3">
        <f>SUM(Table1[[#This Row],[Product_Cost]:[Other_Cost]])</f>
        <v>127129.55</v>
      </c>
      <c r="T548" s="3">
        <f>Table1[[#This Row],[Net_Sales]]-Table1[[#This Row],[Product_Cost]]</f>
        <v>70652.210000000021</v>
      </c>
      <c r="U548" s="3">
        <f>Table1[[#This Row],[Net_Sales]]-Table1[[#This Row],[Total_Cost]]</f>
        <v>40073.310000000012</v>
      </c>
      <c r="V548" s="4">
        <f>Table1[[#This Row],[Net_Profit]]/Table1[[#This Row],[Net_Sales]]</f>
        <v>0.23966880710054844</v>
      </c>
      <c r="W548" t="s">
        <v>33</v>
      </c>
      <c r="X548" t="s">
        <v>546</v>
      </c>
      <c r="Y548">
        <v>5</v>
      </c>
      <c r="Z548" t="str">
        <f>IF(Table1[[#This Row],[Month_No]]&lt;=6, "H1","H2")</f>
        <v>H1</v>
      </c>
    </row>
    <row r="549" spans="1:26" x14ac:dyDescent="0.25">
      <c r="A549" s="2">
        <v>45797</v>
      </c>
      <c r="B549" t="s">
        <v>626</v>
      </c>
      <c r="C549" t="s">
        <v>107</v>
      </c>
      <c r="D549" t="s">
        <v>37</v>
      </c>
      <c r="E549" t="s">
        <v>38</v>
      </c>
      <c r="F549" t="s">
        <v>52</v>
      </c>
      <c r="G549" t="s">
        <v>86</v>
      </c>
      <c r="H549" t="s">
        <v>32</v>
      </c>
      <c r="I549">
        <v>58</v>
      </c>
      <c r="J549" s="3">
        <v>4469.2299999999996</v>
      </c>
      <c r="K549" s="3">
        <f>Table1[[#This Row],[Quantity]]*Table1[[#This Row],[Unit_Price]]</f>
        <v>259215.33999999997</v>
      </c>
      <c r="L549" s="3">
        <v>18563.62</v>
      </c>
      <c r="M549" s="3">
        <f>Table1[[#This Row],[Gross_Sales]]-Table1[[#This Row],[Discount]]</f>
        <v>240651.71999999997</v>
      </c>
      <c r="N549" s="3">
        <v>176971.09</v>
      </c>
      <c r="O549" s="3">
        <v>6013.18</v>
      </c>
      <c r="P549" s="3">
        <v>17706.990000000002</v>
      </c>
      <c r="Q549" s="3">
        <v>12132.48</v>
      </c>
      <c r="R549" s="3">
        <v>6745.75</v>
      </c>
      <c r="S549" s="3">
        <f>SUM(Table1[[#This Row],[Product_Cost]:[Other_Cost]])</f>
        <v>219569.49</v>
      </c>
      <c r="T549" s="3">
        <f>Table1[[#This Row],[Net_Sales]]-Table1[[#This Row],[Product_Cost]]</f>
        <v>63680.629999999976</v>
      </c>
      <c r="U549" s="3">
        <f>Table1[[#This Row],[Net_Sales]]-Table1[[#This Row],[Total_Cost]]</f>
        <v>21082.229999999981</v>
      </c>
      <c r="V549" s="4">
        <f>Table1[[#This Row],[Net_Profit]]/Table1[[#This Row],[Net_Sales]]</f>
        <v>8.7604734343889101E-2</v>
      </c>
      <c r="W549" t="s">
        <v>33</v>
      </c>
      <c r="X549" t="s">
        <v>546</v>
      </c>
      <c r="Y549">
        <v>5</v>
      </c>
      <c r="Z549" t="str">
        <f>IF(Table1[[#This Row],[Month_No]]&lt;=6, "H1","H2")</f>
        <v>H1</v>
      </c>
    </row>
    <row r="550" spans="1:26" x14ac:dyDescent="0.25">
      <c r="A550" s="2">
        <v>45797</v>
      </c>
      <c r="B550" t="s">
        <v>627</v>
      </c>
      <c r="C550" t="s">
        <v>98</v>
      </c>
      <c r="D550" t="s">
        <v>28</v>
      </c>
      <c r="E550" t="s">
        <v>29</v>
      </c>
      <c r="F550" t="s">
        <v>52</v>
      </c>
      <c r="G550" t="s">
        <v>31</v>
      </c>
      <c r="H550" t="s">
        <v>41</v>
      </c>
      <c r="I550">
        <v>109</v>
      </c>
      <c r="J550" s="3">
        <v>1144.51</v>
      </c>
      <c r="K550" s="3">
        <f>Table1[[#This Row],[Quantity]]*Table1[[#This Row],[Unit_Price]]</f>
        <v>124751.59</v>
      </c>
      <c r="L550" s="3">
        <v>11625.45</v>
      </c>
      <c r="M550" s="3">
        <f>Table1[[#This Row],[Gross_Sales]]-Table1[[#This Row],[Discount]]</f>
        <v>113126.14</v>
      </c>
      <c r="N550" s="3">
        <v>70076.89</v>
      </c>
      <c r="O550" s="3">
        <v>2711.39</v>
      </c>
      <c r="P550" s="3">
        <v>8299.9699999999993</v>
      </c>
      <c r="Q550" s="3">
        <v>5578.75</v>
      </c>
      <c r="R550" s="3">
        <v>2573.0100000000002</v>
      </c>
      <c r="S550" s="3">
        <f>SUM(Table1[[#This Row],[Product_Cost]:[Other_Cost]])</f>
        <v>89240.01</v>
      </c>
      <c r="T550" s="3">
        <f>Table1[[#This Row],[Net_Sales]]-Table1[[#This Row],[Product_Cost]]</f>
        <v>43049.25</v>
      </c>
      <c r="U550" s="3">
        <f>Table1[[#This Row],[Net_Sales]]-Table1[[#This Row],[Total_Cost]]</f>
        <v>23886.130000000005</v>
      </c>
      <c r="V550" s="4">
        <f>Table1[[#This Row],[Net_Profit]]/Table1[[#This Row],[Net_Sales]]</f>
        <v>0.21114598270567708</v>
      </c>
      <c r="W550" t="s">
        <v>33</v>
      </c>
      <c r="X550" t="s">
        <v>546</v>
      </c>
      <c r="Y550">
        <v>5</v>
      </c>
      <c r="Z550" t="str">
        <f>IF(Table1[[#This Row],[Month_No]]&lt;=6, "H1","H2")</f>
        <v>H1</v>
      </c>
    </row>
    <row r="551" spans="1:26" x14ac:dyDescent="0.25">
      <c r="A551" s="2">
        <v>45797</v>
      </c>
      <c r="B551" t="s">
        <v>628</v>
      </c>
      <c r="C551" t="s">
        <v>78</v>
      </c>
      <c r="D551" t="s">
        <v>68</v>
      </c>
      <c r="E551" t="s">
        <v>29</v>
      </c>
      <c r="F551" t="s">
        <v>52</v>
      </c>
      <c r="G551" t="s">
        <v>71</v>
      </c>
      <c r="H551" t="s">
        <v>47</v>
      </c>
      <c r="I551">
        <v>140</v>
      </c>
      <c r="J551" s="3">
        <v>384.68</v>
      </c>
      <c r="K551" s="3">
        <f>Table1[[#This Row],[Quantity]]*Table1[[#This Row],[Unit_Price]]</f>
        <v>53855.200000000004</v>
      </c>
      <c r="L551" s="3">
        <v>3250.38</v>
      </c>
      <c r="M551" s="3">
        <f>Table1[[#This Row],[Gross_Sales]]-Table1[[#This Row],[Discount]]</f>
        <v>50604.820000000007</v>
      </c>
      <c r="N551" s="3">
        <v>40818.239999999998</v>
      </c>
      <c r="O551" s="3">
        <v>1258.57</v>
      </c>
      <c r="P551" s="3">
        <v>3005.25</v>
      </c>
      <c r="Q551" s="3">
        <v>2624.05</v>
      </c>
      <c r="R551" s="3">
        <v>1334.57</v>
      </c>
      <c r="S551" s="3">
        <f>SUM(Table1[[#This Row],[Product_Cost]:[Other_Cost]])</f>
        <v>49040.68</v>
      </c>
      <c r="T551" s="3">
        <f>Table1[[#This Row],[Net_Sales]]-Table1[[#This Row],[Product_Cost]]</f>
        <v>9786.580000000009</v>
      </c>
      <c r="U551" s="3">
        <f>Table1[[#This Row],[Net_Sales]]-Table1[[#This Row],[Total_Cost]]</f>
        <v>1564.1400000000067</v>
      </c>
      <c r="V551" s="4">
        <f>Table1[[#This Row],[Net_Profit]]/Table1[[#This Row],[Net_Sales]]</f>
        <v>3.090891341970995E-2</v>
      </c>
      <c r="W551" t="s">
        <v>72</v>
      </c>
      <c r="X551" t="s">
        <v>546</v>
      </c>
      <c r="Y551">
        <v>5</v>
      </c>
      <c r="Z551" t="str">
        <f>IF(Table1[[#This Row],[Month_No]]&lt;=6, "H1","H2")</f>
        <v>H1</v>
      </c>
    </row>
    <row r="552" spans="1:26" x14ac:dyDescent="0.25">
      <c r="A552" s="2">
        <v>45797</v>
      </c>
      <c r="B552" t="s">
        <v>629</v>
      </c>
      <c r="C552" t="s">
        <v>78</v>
      </c>
      <c r="D552" t="s">
        <v>66</v>
      </c>
      <c r="E552" t="s">
        <v>51</v>
      </c>
      <c r="F552" t="s">
        <v>52</v>
      </c>
      <c r="G552" t="s">
        <v>64</v>
      </c>
      <c r="H552" t="s">
        <v>59</v>
      </c>
      <c r="I552">
        <v>59</v>
      </c>
      <c r="J552" s="3">
        <v>1520.12</v>
      </c>
      <c r="K552" s="3">
        <f>Table1[[#This Row],[Quantity]]*Table1[[#This Row],[Unit_Price]]</f>
        <v>89687.079999999987</v>
      </c>
      <c r="L552" s="3">
        <v>5437.59</v>
      </c>
      <c r="M552" s="3">
        <f>Table1[[#This Row],[Gross_Sales]]-Table1[[#This Row],[Discount]]</f>
        <v>84249.489999999991</v>
      </c>
      <c r="N552" s="3">
        <v>44816.4</v>
      </c>
      <c r="O552" s="3">
        <v>2140.71</v>
      </c>
      <c r="P552" s="3">
        <v>4945.22</v>
      </c>
      <c r="Q552" s="3">
        <v>3936.27</v>
      </c>
      <c r="R552" s="3">
        <v>2239.56</v>
      </c>
      <c r="S552" s="3">
        <f>SUM(Table1[[#This Row],[Product_Cost]:[Other_Cost]])</f>
        <v>58078.159999999996</v>
      </c>
      <c r="T552" s="3">
        <f>Table1[[#This Row],[Net_Sales]]-Table1[[#This Row],[Product_Cost]]</f>
        <v>39433.089999999989</v>
      </c>
      <c r="U552" s="3">
        <f>Table1[[#This Row],[Net_Sales]]-Table1[[#This Row],[Total_Cost]]</f>
        <v>26171.329999999994</v>
      </c>
      <c r="V552" s="4">
        <f>Table1[[#This Row],[Net_Profit]]/Table1[[#This Row],[Net_Sales]]</f>
        <v>0.31064081218770578</v>
      </c>
      <c r="W552" t="s">
        <v>33</v>
      </c>
      <c r="X552" t="s">
        <v>546</v>
      </c>
      <c r="Y552">
        <v>5</v>
      </c>
      <c r="Z552" t="str">
        <f>IF(Table1[[#This Row],[Month_No]]&lt;=6, "H1","H2")</f>
        <v>H1</v>
      </c>
    </row>
    <row r="553" spans="1:26" x14ac:dyDescent="0.25">
      <c r="A553" s="2">
        <v>45797</v>
      </c>
      <c r="B553" t="s">
        <v>630</v>
      </c>
      <c r="C553" t="s">
        <v>27</v>
      </c>
      <c r="D553" t="s">
        <v>37</v>
      </c>
      <c r="E553" t="s">
        <v>38</v>
      </c>
      <c r="F553" t="s">
        <v>52</v>
      </c>
      <c r="G553" t="s">
        <v>31</v>
      </c>
      <c r="H553" t="s">
        <v>41</v>
      </c>
      <c r="I553">
        <v>46</v>
      </c>
      <c r="J553" s="3">
        <v>4324.53</v>
      </c>
      <c r="K553" s="3">
        <f>Table1[[#This Row],[Quantity]]*Table1[[#This Row],[Unit_Price]]</f>
        <v>198928.37999999998</v>
      </c>
      <c r="L553" s="3">
        <v>13745.1</v>
      </c>
      <c r="M553" s="3">
        <f>Table1[[#This Row],[Gross_Sales]]-Table1[[#This Row],[Discount]]</f>
        <v>185183.27999999997</v>
      </c>
      <c r="N553" s="3">
        <v>136898.32999999999</v>
      </c>
      <c r="O553" s="3">
        <v>5111.78</v>
      </c>
      <c r="P553" s="3">
        <v>11250.56</v>
      </c>
      <c r="Q553" s="3">
        <v>6589.48</v>
      </c>
      <c r="R553" s="3">
        <v>5381.61</v>
      </c>
      <c r="S553" s="3">
        <f>SUM(Table1[[#This Row],[Product_Cost]:[Other_Cost]])</f>
        <v>165231.75999999998</v>
      </c>
      <c r="T553" s="3">
        <f>Table1[[#This Row],[Net_Sales]]-Table1[[#This Row],[Product_Cost]]</f>
        <v>48284.949999999983</v>
      </c>
      <c r="U553" s="3">
        <f>Table1[[#This Row],[Net_Sales]]-Table1[[#This Row],[Total_Cost]]</f>
        <v>19951.51999999999</v>
      </c>
      <c r="V553" s="4">
        <f>Table1[[#This Row],[Net_Profit]]/Table1[[#This Row],[Net_Sales]]</f>
        <v>0.10773931642208731</v>
      </c>
      <c r="W553" t="s">
        <v>33</v>
      </c>
      <c r="X553" t="s">
        <v>546</v>
      </c>
      <c r="Y553">
        <v>5</v>
      </c>
      <c r="Z553" t="str">
        <f>IF(Table1[[#This Row],[Month_No]]&lt;=6, "H1","H2")</f>
        <v>H1</v>
      </c>
    </row>
    <row r="554" spans="1:26" x14ac:dyDescent="0.25">
      <c r="A554" s="2">
        <v>45798</v>
      </c>
      <c r="B554" t="s">
        <v>631</v>
      </c>
      <c r="C554" t="s">
        <v>83</v>
      </c>
      <c r="D554" t="s">
        <v>74</v>
      </c>
      <c r="E554" t="s">
        <v>75</v>
      </c>
      <c r="F554" t="s">
        <v>46</v>
      </c>
      <c r="G554" t="s">
        <v>40</v>
      </c>
      <c r="H554" t="s">
        <v>47</v>
      </c>
      <c r="I554">
        <v>69</v>
      </c>
      <c r="J554" s="3">
        <v>5625.53</v>
      </c>
      <c r="K554" s="3">
        <f>Table1[[#This Row],[Quantity]]*Table1[[#This Row],[Unit_Price]]</f>
        <v>388161.57</v>
      </c>
      <c r="L554" s="3">
        <v>29523.79</v>
      </c>
      <c r="M554" s="3">
        <f>Table1[[#This Row],[Gross_Sales]]-Table1[[#This Row],[Discount]]</f>
        <v>358637.78</v>
      </c>
      <c r="N554" s="3">
        <v>267477.65000000002</v>
      </c>
      <c r="O554" s="3">
        <v>11098.6</v>
      </c>
      <c r="P554" s="3">
        <v>21330.71</v>
      </c>
      <c r="Q554" s="3">
        <v>16198.74</v>
      </c>
      <c r="R554" s="3">
        <v>9499.56</v>
      </c>
      <c r="S554" s="3">
        <f>SUM(Table1[[#This Row],[Product_Cost]:[Other_Cost]])</f>
        <v>325605.26</v>
      </c>
      <c r="T554" s="3">
        <f>Table1[[#This Row],[Net_Sales]]-Table1[[#This Row],[Product_Cost]]</f>
        <v>91160.13</v>
      </c>
      <c r="U554" s="3">
        <f>Table1[[#This Row],[Net_Sales]]-Table1[[#This Row],[Total_Cost]]</f>
        <v>33032.520000000019</v>
      </c>
      <c r="V554" s="4">
        <f>Table1[[#This Row],[Net_Profit]]/Table1[[#This Row],[Net_Sales]]</f>
        <v>9.2105522178951738E-2</v>
      </c>
      <c r="W554" t="s">
        <v>33</v>
      </c>
      <c r="X554" t="s">
        <v>546</v>
      </c>
      <c r="Y554">
        <v>5</v>
      </c>
      <c r="Z554" t="str">
        <f>IF(Table1[[#This Row],[Month_No]]&lt;=6, "H1","H2")</f>
        <v>H1</v>
      </c>
    </row>
    <row r="555" spans="1:26" x14ac:dyDescent="0.25">
      <c r="A555" s="2">
        <v>45798</v>
      </c>
      <c r="B555" t="s">
        <v>632</v>
      </c>
      <c r="C555" t="s">
        <v>55</v>
      </c>
      <c r="D555" t="s">
        <v>100</v>
      </c>
      <c r="E555" t="s">
        <v>75</v>
      </c>
      <c r="F555" t="s">
        <v>46</v>
      </c>
      <c r="G555" t="s">
        <v>61</v>
      </c>
      <c r="H555" t="s">
        <v>41</v>
      </c>
      <c r="I555">
        <v>70</v>
      </c>
      <c r="J555" s="3">
        <v>7048.16</v>
      </c>
      <c r="K555" s="3">
        <f>Table1[[#This Row],[Quantity]]*Table1[[#This Row],[Unit_Price]]</f>
        <v>493371.2</v>
      </c>
      <c r="L555" s="3">
        <v>41688.83</v>
      </c>
      <c r="M555" s="3">
        <f>Table1[[#This Row],[Gross_Sales]]-Table1[[#This Row],[Discount]]</f>
        <v>451682.37</v>
      </c>
      <c r="N555" s="3">
        <v>271240.08</v>
      </c>
      <c r="O555" s="3">
        <v>12501.37</v>
      </c>
      <c r="P555" s="3">
        <v>28822.59</v>
      </c>
      <c r="Q555" s="3">
        <v>23272.01</v>
      </c>
      <c r="R555" s="3">
        <v>11653.27</v>
      </c>
      <c r="S555" s="3">
        <f>SUM(Table1[[#This Row],[Product_Cost]:[Other_Cost]])</f>
        <v>347489.32000000007</v>
      </c>
      <c r="T555" s="3">
        <f>Table1[[#This Row],[Net_Sales]]-Table1[[#This Row],[Product_Cost]]</f>
        <v>180442.28999999998</v>
      </c>
      <c r="U555" s="3">
        <f>Table1[[#This Row],[Net_Sales]]-Table1[[#This Row],[Total_Cost]]</f>
        <v>104193.04999999993</v>
      </c>
      <c r="V555" s="4">
        <f>Table1[[#This Row],[Net_Profit]]/Table1[[#This Row],[Net_Sales]]</f>
        <v>0.23067769946389524</v>
      </c>
      <c r="W555" t="s">
        <v>33</v>
      </c>
      <c r="X555" t="s">
        <v>546</v>
      </c>
      <c r="Y555">
        <v>5</v>
      </c>
      <c r="Z555" t="str">
        <f>IF(Table1[[#This Row],[Month_No]]&lt;=6, "H1","H2")</f>
        <v>H1</v>
      </c>
    </row>
    <row r="556" spans="1:26" x14ac:dyDescent="0.25">
      <c r="A556" s="2">
        <v>45798</v>
      </c>
      <c r="B556" t="s">
        <v>633</v>
      </c>
      <c r="C556" t="s">
        <v>107</v>
      </c>
      <c r="D556" t="s">
        <v>44</v>
      </c>
      <c r="E556" t="s">
        <v>45</v>
      </c>
      <c r="F556" t="s">
        <v>39</v>
      </c>
      <c r="G556" t="s">
        <v>31</v>
      </c>
      <c r="H556" t="s">
        <v>59</v>
      </c>
      <c r="I556">
        <v>45</v>
      </c>
      <c r="J556" s="3">
        <v>4448.08</v>
      </c>
      <c r="K556" s="3">
        <f>Table1[[#This Row],[Quantity]]*Table1[[#This Row],[Unit_Price]]</f>
        <v>200163.6</v>
      </c>
      <c r="L556" s="3">
        <v>12027.64</v>
      </c>
      <c r="M556" s="3">
        <f>Table1[[#This Row],[Gross_Sales]]-Table1[[#This Row],[Discount]]</f>
        <v>188135.96000000002</v>
      </c>
      <c r="N556" s="3">
        <v>140359.17000000001</v>
      </c>
      <c r="O556" s="3">
        <v>7414.44</v>
      </c>
      <c r="P556" s="3">
        <v>10925.28</v>
      </c>
      <c r="Q556" s="3">
        <v>9569.83</v>
      </c>
      <c r="R556" s="3">
        <v>5706.69</v>
      </c>
      <c r="S556" s="3">
        <f>SUM(Table1[[#This Row],[Product_Cost]:[Other_Cost]])</f>
        <v>173975.41</v>
      </c>
      <c r="T556" s="3">
        <f>Table1[[#This Row],[Net_Sales]]-Table1[[#This Row],[Product_Cost]]</f>
        <v>47776.790000000008</v>
      </c>
      <c r="U556" s="3">
        <f>Table1[[#This Row],[Net_Sales]]-Table1[[#This Row],[Total_Cost]]</f>
        <v>14160.550000000017</v>
      </c>
      <c r="V556" s="4">
        <f>Table1[[#This Row],[Net_Profit]]/Table1[[#This Row],[Net_Sales]]</f>
        <v>7.5267641550291697E-2</v>
      </c>
      <c r="W556" t="s">
        <v>33</v>
      </c>
      <c r="X556" t="s">
        <v>546</v>
      </c>
      <c r="Y556">
        <v>5</v>
      </c>
      <c r="Z556" t="str">
        <f>IF(Table1[[#This Row],[Month_No]]&lt;=6, "H1","H2")</f>
        <v>H1</v>
      </c>
    </row>
    <row r="557" spans="1:26" x14ac:dyDescent="0.25">
      <c r="A557" s="2">
        <v>45798</v>
      </c>
      <c r="B557" t="s">
        <v>634</v>
      </c>
      <c r="C557" t="s">
        <v>63</v>
      </c>
      <c r="D557" t="s">
        <v>68</v>
      </c>
      <c r="E557" t="s">
        <v>29</v>
      </c>
      <c r="F557" t="s">
        <v>46</v>
      </c>
      <c r="G557" t="s">
        <v>86</v>
      </c>
      <c r="H557" t="s">
        <v>41</v>
      </c>
      <c r="I557">
        <v>106</v>
      </c>
      <c r="J557" s="3">
        <v>365.93</v>
      </c>
      <c r="K557" s="3">
        <f>Table1[[#This Row],[Quantity]]*Table1[[#This Row],[Unit_Price]]</f>
        <v>38788.58</v>
      </c>
      <c r="L557" s="3">
        <v>3141.44</v>
      </c>
      <c r="M557" s="3">
        <f>Table1[[#This Row],[Gross_Sales]]-Table1[[#This Row],[Discount]]</f>
        <v>35647.14</v>
      </c>
      <c r="N557" s="3">
        <v>27262.51</v>
      </c>
      <c r="O557" s="3">
        <v>1153.6500000000001</v>
      </c>
      <c r="P557" s="3">
        <v>2643.64</v>
      </c>
      <c r="Q557" s="3">
        <v>1896.86</v>
      </c>
      <c r="R557" s="3">
        <v>932.39</v>
      </c>
      <c r="S557" s="3">
        <f>SUM(Table1[[#This Row],[Product_Cost]:[Other_Cost]])</f>
        <v>33889.049999999996</v>
      </c>
      <c r="T557" s="3">
        <f>Table1[[#This Row],[Net_Sales]]-Table1[[#This Row],[Product_Cost]]</f>
        <v>8384.630000000001</v>
      </c>
      <c r="U557" s="3">
        <f>Table1[[#This Row],[Net_Sales]]-Table1[[#This Row],[Total_Cost]]</f>
        <v>1758.0900000000038</v>
      </c>
      <c r="V557" s="4">
        <f>Table1[[#This Row],[Net_Profit]]/Table1[[#This Row],[Net_Sales]]</f>
        <v>4.9319244124493684E-2</v>
      </c>
      <c r="W557" t="s">
        <v>33</v>
      </c>
      <c r="X557" t="s">
        <v>546</v>
      </c>
      <c r="Y557">
        <v>5</v>
      </c>
      <c r="Z557" t="str">
        <f>IF(Table1[[#This Row],[Month_No]]&lt;=6, "H1","H2")</f>
        <v>H1</v>
      </c>
    </row>
    <row r="558" spans="1:26" x14ac:dyDescent="0.25">
      <c r="A558" s="2">
        <v>45799</v>
      </c>
      <c r="B558" t="s">
        <v>635</v>
      </c>
      <c r="C558" t="s">
        <v>70</v>
      </c>
      <c r="D558" t="s">
        <v>68</v>
      </c>
      <c r="E558" t="s">
        <v>29</v>
      </c>
      <c r="F558" t="s">
        <v>52</v>
      </c>
      <c r="G558" t="s">
        <v>61</v>
      </c>
      <c r="H558" t="s">
        <v>41</v>
      </c>
      <c r="I558">
        <v>136</v>
      </c>
      <c r="J558" s="3">
        <v>357.41</v>
      </c>
      <c r="K558" s="3">
        <f>Table1[[#This Row],[Quantity]]*Table1[[#This Row],[Unit_Price]]</f>
        <v>48607.76</v>
      </c>
      <c r="L558" s="3">
        <v>3178.35</v>
      </c>
      <c r="M558" s="3">
        <f>Table1[[#This Row],[Gross_Sales]]-Table1[[#This Row],[Discount]]</f>
        <v>45429.41</v>
      </c>
      <c r="N558" s="3">
        <v>35762.1</v>
      </c>
      <c r="O558" s="3">
        <v>1192.49</v>
      </c>
      <c r="P558" s="3">
        <v>3073.9</v>
      </c>
      <c r="Q558" s="3">
        <v>1760.76</v>
      </c>
      <c r="R558" s="3">
        <v>968.48</v>
      </c>
      <c r="S558" s="3">
        <f>SUM(Table1[[#This Row],[Product_Cost]:[Other_Cost]])</f>
        <v>42757.73</v>
      </c>
      <c r="T558" s="3">
        <f>Table1[[#This Row],[Net_Sales]]-Table1[[#This Row],[Product_Cost]]</f>
        <v>9667.3100000000049</v>
      </c>
      <c r="U558" s="3">
        <f>Table1[[#This Row],[Net_Sales]]-Table1[[#This Row],[Total_Cost]]</f>
        <v>2671.6800000000003</v>
      </c>
      <c r="V558" s="4">
        <f>Table1[[#This Row],[Net_Profit]]/Table1[[#This Row],[Net_Sales]]</f>
        <v>5.8809480466508371E-2</v>
      </c>
      <c r="W558" t="s">
        <v>33</v>
      </c>
      <c r="X558" t="s">
        <v>546</v>
      </c>
      <c r="Y558">
        <v>5</v>
      </c>
      <c r="Z558" t="str">
        <f>IF(Table1[[#This Row],[Month_No]]&lt;=6, "H1","H2")</f>
        <v>H1</v>
      </c>
    </row>
    <row r="559" spans="1:26" x14ac:dyDescent="0.25">
      <c r="A559" s="2">
        <v>45799</v>
      </c>
      <c r="B559" t="s">
        <v>636</v>
      </c>
      <c r="C559" t="s">
        <v>55</v>
      </c>
      <c r="D559" t="s">
        <v>44</v>
      </c>
      <c r="E559" t="s">
        <v>45</v>
      </c>
      <c r="F559" t="s">
        <v>52</v>
      </c>
      <c r="G559" t="s">
        <v>61</v>
      </c>
      <c r="H559" t="s">
        <v>59</v>
      </c>
      <c r="I559">
        <v>80</v>
      </c>
      <c r="J559" s="3">
        <v>4354.04</v>
      </c>
      <c r="K559" s="3">
        <f>Table1[[#This Row],[Quantity]]*Table1[[#This Row],[Unit_Price]]</f>
        <v>348323.2</v>
      </c>
      <c r="L559" s="3">
        <v>19818.04</v>
      </c>
      <c r="M559" s="3">
        <f>Table1[[#This Row],[Gross_Sales]]-Table1[[#This Row],[Discount]]</f>
        <v>328505.16000000003</v>
      </c>
      <c r="N559" s="3">
        <v>227521.42</v>
      </c>
      <c r="O559" s="3">
        <v>9026.51</v>
      </c>
      <c r="P559" s="3">
        <v>24097.46</v>
      </c>
      <c r="Q559" s="3">
        <v>13050.16</v>
      </c>
      <c r="R559" s="3">
        <v>7389.83</v>
      </c>
      <c r="S559" s="3">
        <f>SUM(Table1[[#This Row],[Product_Cost]:[Other_Cost]])</f>
        <v>281085.38</v>
      </c>
      <c r="T559" s="3">
        <f>Table1[[#This Row],[Net_Sales]]-Table1[[#This Row],[Product_Cost]]</f>
        <v>100983.74000000002</v>
      </c>
      <c r="U559" s="3">
        <f>Table1[[#This Row],[Net_Sales]]-Table1[[#This Row],[Total_Cost]]</f>
        <v>47419.780000000028</v>
      </c>
      <c r="V559" s="4">
        <f>Table1[[#This Row],[Net_Profit]]/Table1[[#This Row],[Net_Sales]]</f>
        <v>0.14435018311432316</v>
      </c>
      <c r="W559" t="s">
        <v>33</v>
      </c>
      <c r="X559" t="s">
        <v>546</v>
      </c>
      <c r="Y559">
        <v>5</v>
      </c>
      <c r="Z559" t="str">
        <f>IF(Table1[[#This Row],[Month_No]]&lt;=6, "H1","H2")</f>
        <v>H1</v>
      </c>
    </row>
    <row r="560" spans="1:26" x14ac:dyDescent="0.25">
      <c r="A560" s="2">
        <v>45799</v>
      </c>
      <c r="B560" t="s">
        <v>637</v>
      </c>
      <c r="C560" t="s">
        <v>49</v>
      </c>
      <c r="D560" t="s">
        <v>28</v>
      </c>
      <c r="E560" t="s">
        <v>29</v>
      </c>
      <c r="F560" t="s">
        <v>52</v>
      </c>
      <c r="G560" t="s">
        <v>58</v>
      </c>
      <c r="H560" t="s">
        <v>41</v>
      </c>
      <c r="I560">
        <v>71</v>
      </c>
      <c r="J560" s="3">
        <v>1163.97</v>
      </c>
      <c r="K560" s="3">
        <f>Table1[[#This Row],[Quantity]]*Table1[[#This Row],[Unit_Price]]</f>
        <v>82641.87</v>
      </c>
      <c r="L560" s="3">
        <v>6502.52</v>
      </c>
      <c r="M560" s="3">
        <f>Table1[[#This Row],[Gross_Sales]]-Table1[[#This Row],[Discount]]</f>
        <v>76139.349999999991</v>
      </c>
      <c r="N560" s="3">
        <v>45854.27</v>
      </c>
      <c r="O560" s="3">
        <v>2083.29</v>
      </c>
      <c r="P560" s="3">
        <v>4835.6099999999997</v>
      </c>
      <c r="Q560" s="3">
        <v>2781.96</v>
      </c>
      <c r="R560" s="3">
        <v>1849.6</v>
      </c>
      <c r="S560" s="3">
        <f>SUM(Table1[[#This Row],[Product_Cost]:[Other_Cost]])</f>
        <v>57404.729999999996</v>
      </c>
      <c r="T560" s="3">
        <f>Table1[[#This Row],[Net_Sales]]-Table1[[#This Row],[Product_Cost]]</f>
        <v>30285.079999999994</v>
      </c>
      <c r="U560" s="3">
        <f>Table1[[#This Row],[Net_Sales]]-Table1[[#This Row],[Total_Cost]]</f>
        <v>18734.619999999995</v>
      </c>
      <c r="V560" s="4">
        <f>Table1[[#This Row],[Net_Profit]]/Table1[[#This Row],[Net_Sales]]</f>
        <v>0.2460569994359027</v>
      </c>
      <c r="W560" t="s">
        <v>33</v>
      </c>
      <c r="X560" t="s">
        <v>546</v>
      </c>
      <c r="Y560">
        <v>5</v>
      </c>
      <c r="Z560" t="str">
        <f>IF(Table1[[#This Row],[Month_No]]&lt;=6, "H1","H2")</f>
        <v>H1</v>
      </c>
    </row>
    <row r="561" spans="1:26" x14ac:dyDescent="0.25">
      <c r="A561" s="2">
        <v>45799</v>
      </c>
      <c r="B561" t="s">
        <v>638</v>
      </c>
      <c r="C561" t="s">
        <v>70</v>
      </c>
      <c r="D561" t="s">
        <v>74</v>
      </c>
      <c r="E561" t="s">
        <v>75</v>
      </c>
      <c r="F561" t="s">
        <v>30</v>
      </c>
      <c r="G561" t="s">
        <v>64</v>
      </c>
      <c r="H561" t="s">
        <v>47</v>
      </c>
      <c r="I561">
        <v>67</v>
      </c>
      <c r="J561" s="3">
        <v>5464.02</v>
      </c>
      <c r="K561" s="3">
        <f>Table1[[#This Row],[Quantity]]*Table1[[#This Row],[Unit_Price]]</f>
        <v>366089.34</v>
      </c>
      <c r="L561" s="3">
        <v>24816.04</v>
      </c>
      <c r="M561" s="3">
        <f>Table1[[#This Row],[Gross_Sales]]-Table1[[#This Row],[Discount]]</f>
        <v>341273.30000000005</v>
      </c>
      <c r="N561" s="3">
        <v>264135.09999999998</v>
      </c>
      <c r="O561" s="3">
        <v>11416.17</v>
      </c>
      <c r="P561" s="3">
        <v>20198.36</v>
      </c>
      <c r="Q561" s="3">
        <v>13676.24</v>
      </c>
      <c r="R561" s="3">
        <v>10873.23</v>
      </c>
      <c r="S561" s="3">
        <f>SUM(Table1[[#This Row],[Product_Cost]:[Other_Cost]])</f>
        <v>320299.09999999992</v>
      </c>
      <c r="T561" s="3">
        <f>Table1[[#This Row],[Net_Sales]]-Table1[[#This Row],[Product_Cost]]</f>
        <v>77138.20000000007</v>
      </c>
      <c r="U561" s="3">
        <f>Table1[[#This Row],[Net_Sales]]-Table1[[#This Row],[Total_Cost]]</f>
        <v>20974.200000000128</v>
      </c>
      <c r="V561" s="4">
        <f>Table1[[#This Row],[Net_Profit]]/Table1[[#This Row],[Net_Sales]]</f>
        <v>6.1458660844549297E-2</v>
      </c>
      <c r="W561" t="s">
        <v>33</v>
      </c>
      <c r="X561" t="s">
        <v>546</v>
      </c>
      <c r="Y561">
        <v>5</v>
      </c>
      <c r="Z561" t="str">
        <f>IF(Table1[[#This Row],[Month_No]]&lt;=6, "H1","H2")</f>
        <v>H1</v>
      </c>
    </row>
    <row r="562" spans="1:26" x14ac:dyDescent="0.25">
      <c r="A562" s="2">
        <v>45799</v>
      </c>
      <c r="B562" t="s">
        <v>639</v>
      </c>
      <c r="C562" t="s">
        <v>49</v>
      </c>
      <c r="D562" t="s">
        <v>74</v>
      </c>
      <c r="E562" t="s">
        <v>75</v>
      </c>
      <c r="F562" t="s">
        <v>30</v>
      </c>
      <c r="G562" t="s">
        <v>64</v>
      </c>
      <c r="H562" t="s">
        <v>41</v>
      </c>
      <c r="I562">
        <v>73</v>
      </c>
      <c r="J562" s="3">
        <v>5594.85</v>
      </c>
      <c r="K562" s="3">
        <f>Table1[[#This Row],[Quantity]]*Table1[[#This Row],[Unit_Price]]</f>
        <v>408424.05000000005</v>
      </c>
      <c r="L562" s="3">
        <v>38636.639999999999</v>
      </c>
      <c r="M562" s="3">
        <f>Table1[[#This Row],[Gross_Sales]]-Table1[[#This Row],[Discount]]</f>
        <v>369787.41000000003</v>
      </c>
      <c r="N562" s="3">
        <v>286088.8</v>
      </c>
      <c r="O562" s="3">
        <v>12456.38</v>
      </c>
      <c r="P562" s="3">
        <v>25286.55</v>
      </c>
      <c r="Q562" s="3">
        <v>20085.02</v>
      </c>
      <c r="R562" s="3">
        <v>9262.9500000000007</v>
      </c>
      <c r="S562" s="3">
        <f>SUM(Table1[[#This Row],[Product_Cost]:[Other_Cost]])</f>
        <v>353179.7</v>
      </c>
      <c r="T562" s="3">
        <f>Table1[[#This Row],[Net_Sales]]-Table1[[#This Row],[Product_Cost]]</f>
        <v>83698.610000000044</v>
      </c>
      <c r="U562" s="3">
        <f>Table1[[#This Row],[Net_Sales]]-Table1[[#This Row],[Total_Cost]]</f>
        <v>16607.710000000021</v>
      </c>
      <c r="V562" s="4">
        <f>Table1[[#This Row],[Net_Profit]]/Table1[[#This Row],[Net_Sales]]</f>
        <v>4.4911507398264369E-2</v>
      </c>
      <c r="W562" t="s">
        <v>33</v>
      </c>
      <c r="X562" t="s">
        <v>546</v>
      </c>
      <c r="Y562">
        <v>5</v>
      </c>
      <c r="Z562" t="str">
        <f>IF(Table1[[#This Row],[Month_No]]&lt;=6, "H1","H2")</f>
        <v>H1</v>
      </c>
    </row>
    <row r="563" spans="1:26" x14ac:dyDescent="0.25">
      <c r="A563" s="2">
        <v>45799</v>
      </c>
      <c r="B563" t="s">
        <v>640</v>
      </c>
      <c r="C563" t="s">
        <v>55</v>
      </c>
      <c r="D563" t="s">
        <v>74</v>
      </c>
      <c r="E563" t="s">
        <v>75</v>
      </c>
      <c r="F563" t="s">
        <v>46</v>
      </c>
      <c r="G563" t="s">
        <v>86</v>
      </c>
      <c r="H563" t="s">
        <v>47</v>
      </c>
      <c r="I563">
        <v>81</v>
      </c>
      <c r="J563" s="3">
        <v>5496.81</v>
      </c>
      <c r="K563" s="3">
        <f>Table1[[#This Row],[Quantity]]*Table1[[#This Row],[Unit_Price]]</f>
        <v>445241.61000000004</v>
      </c>
      <c r="L563" s="3">
        <v>38255.81</v>
      </c>
      <c r="M563" s="3">
        <f>Table1[[#This Row],[Gross_Sales]]-Table1[[#This Row],[Discount]]</f>
        <v>406985.80000000005</v>
      </c>
      <c r="N563" s="3">
        <v>300978.05</v>
      </c>
      <c r="O563" s="3">
        <v>12975.6</v>
      </c>
      <c r="P563" s="3">
        <v>25464.29</v>
      </c>
      <c r="Q563" s="3">
        <v>16615.38</v>
      </c>
      <c r="R563" s="3">
        <v>11802.89</v>
      </c>
      <c r="S563" s="3">
        <f>SUM(Table1[[#This Row],[Product_Cost]:[Other_Cost]])</f>
        <v>367836.20999999996</v>
      </c>
      <c r="T563" s="3">
        <f>Table1[[#This Row],[Net_Sales]]-Table1[[#This Row],[Product_Cost]]</f>
        <v>106007.75000000006</v>
      </c>
      <c r="U563" s="3">
        <f>Table1[[#This Row],[Net_Sales]]-Table1[[#This Row],[Total_Cost]]</f>
        <v>39149.590000000084</v>
      </c>
      <c r="V563" s="4">
        <f>Table1[[#This Row],[Net_Profit]]/Table1[[#This Row],[Net_Sales]]</f>
        <v>9.6193994974763442E-2</v>
      </c>
      <c r="W563" t="s">
        <v>72</v>
      </c>
      <c r="X563" t="s">
        <v>546</v>
      </c>
      <c r="Y563">
        <v>5</v>
      </c>
      <c r="Z563" t="str">
        <f>IF(Table1[[#This Row],[Month_No]]&lt;=6, "H1","H2")</f>
        <v>H1</v>
      </c>
    </row>
    <row r="564" spans="1:26" x14ac:dyDescent="0.25">
      <c r="A564" s="2">
        <v>45800</v>
      </c>
      <c r="B564" t="s">
        <v>641</v>
      </c>
      <c r="C564" t="s">
        <v>83</v>
      </c>
      <c r="D564" t="s">
        <v>28</v>
      </c>
      <c r="E564" t="s">
        <v>29</v>
      </c>
      <c r="F564" t="s">
        <v>30</v>
      </c>
      <c r="G564" t="s">
        <v>76</v>
      </c>
      <c r="H564" t="s">
        <v>47</v>
      </c>
      <c r="I564">
        <v>71</v>
      </c>
      <c r="J564" s="3">
        <v>1148.46</v>
      </c>
      <c r="K564" s="3">
        <f>Table1[[#This Row],[Quantity]]*Table1[[#This Row],[Unit_Price]]</f>
        <v>81540.66</v>
      </c>
      <c r="L564" s="3">
        <v>5108.25</v>
      </c>
      <c r="M564" s="3">
        <f>Table1[[#This Row],[Gross_Sales]]-Table1[[#This Row],[Discount]]</f>
        <v>76432.41</v>
      </c>
      <c r="N564" s="3">
        <v>44362.76</v>
      </c>
      <c r="O564" s="3">
        <v>2478.61</v>
      </c>
      <c r="P564" s="3">
        <v>5419.94</v>
      </c>
      <c r="Q564" s="3">
        <v>3358.63</v>
      </c>
      <c r="R564" s="3">
        <v>2006.95</v>
      </c>
      <c r="S564" s="3">
        <f>SUM(Table1[[#This Row],[Product_Cost]:[Other_Cost]])</f>
        <v>57626.89</v>
      </c>
      <c r="T564" s="3">
        <f>Table1[[#This Row],[Net_Sales]]-Table1[[#This Row],[Product_Cost]]</f>
        <v>32069.65</v>
      </c>
      <c r="U564" s="3">
        <f>Table1[[#This Row],[Net_Sales]]-Table1[[#This Row],[Total_Cost]]</f>
        <v>18805.520000000004</v>
      </c>
      <c r="V564" s="4">
        <f>Table1[[#This Row],[Net_Profit]]/Table1[[#This Row],[Net_Sales]]</f>
        <v>0.24604117546470147</v>
      </c>
      <c r="W564" t="s">
        <v>72</v>
      </c>
      <c r="X564" t="s">
        <v>546</v>
      </c>
      <c r="Y564">
        <v>5</v>
      </c>
      <c r="Z564" t="str">
        <f>IF(Table1[[#This Row],[Month_No]]&lt;=6, "H1","H2")</f>
        <v>H1</v>
      </c>
    </row>
    <row r="565" spans="1:26" x14ac:dyDescent="0.25">
      <c r="A565" s="2">
        <v>45800</v>
      </c>
      <c r="B565" t="s">
        <v>642</v>
      </c>
      <c r="C565" t="s">
        <v>43</v>
      </c>
      <c r="D565" t="s">
        <v>81</v>
      </c>
      <c r="E565" t="s">
        <v>45</v>
      </c>
      <c r="F565" t="s">
        <v>52</v>
      </c>
      <c r="G565" t="s">
        <v>76</v>
      </c>
      <c r="H565" t="s">
        <v>47</v>
      </c>
      <c r="I565">
        <v>31</v>
      </c>
      <c r="J565" s="3">
        <v>6353.18</v>
      </c>
      <c r="K565" s="3">
        <f>Table1[[#This Row],[Quantity]]*Table1[[#This Row],[Unit_Price]]</f>
        <v>196948.58000000002</v>
      </c>
      <c r="L565" s="3">
        <v>14574.01</v>
      </c>
      <c r="M565" s="3">
        <f>Table1[[#This Row],[Gross_Sales]]-Table1[[#This Row],[Discount]]</f>
        <v>182374.57</v>
      </c>
      <c r="N565" s="3">
        <v>102402.93</v>
      </c>
      <c r="O565" s="3">
        <v>4716.7</v>
      </c>
      <c r="P565" s="3">
        <v>11708.54</v>
      </c>
      <c r="Q565" s="3">
        <v>9669.2999999999993</v>
      </c>
      <c r="R565" s="3">
        <v>4960.33</v>
      </c>
      <c r="S565" s="3">
        <f>SUM(Table1[[#This Row],[Product_Cost]:[Other_Cost]])</f>
        <v>133457.79999999999</v>
      </c>
      <c r="T565" s="3">
        <f>Table1[[#This Row],[Net_Sales]]-Table1[[#This Row],[Product_Cost]]</f>
        <v>79971.640000000014</v>
      </c>
      <c r="U565" s="3">
        <f>Table1[[#This Row],[Net_Sales]]-Table1[[#This Row],[Total_Cost]]</f>
        <v>48916.770000000019</v>
      </c>
      <c r="V565" s="4">
        <f>Table1[[#This Row],[Net_Profit]]/Table1[[#This Row],[Net_Sales]]</f>
        <v>0.26822144118009444</v>
      </c>
      <c r="W565" t="s">
        <v>33</v>
      </c>
      <c r="X565" t="s">
        <v>546</v>
      </c>
      <c r="Y565">
        <v>5</v>
      </c>
      <c r="Z565" t="str">
        <f>IF(Table1[[#This Row],[Month_No]]&lt;=6, "H1","H2")</f>
        <v>H1</v>
      </c>
    </row>
    <row r="566" spans="1:26" x14ac:dyDescent="0.25">
      <c r="A566" s="2">
        <v>45800</v>
      </c>
      <c r="B566" t="s">
        <v>643</v>
      </c>
      <c r="C566" t="s">
        <v>83</v>
      </c>
      <c r="D566" t="s">
        <v>50</v>
      </c>
      <c r="E566" t="s">
        <v>51</v>
      </c>
      <c r="F566" t="s">
        <v>52</v>
      </c>
      <c r="G566" t="s">
        <v>40</v>
      </c>
      <c r="H566" t="s">
        <v>47</v>
      </c>
      <c r="I566">
        <v>93</v>
      </c>
      <c r="J566" s="3">
        <v>876.75</v>
      </c>
      <c r="K566" s="3">
        <f>Table1[[#This Row],[Quantity]]*Table1[[#This Row],[Unit_Price]]</f>
        <v>81537.75</v>
      </c>
      <c r="L566" s="3">
        <v>5973.08</v>
      </c>
      <c r="M566" s="3">
        <f>Table1[[#This Row],[Gross_Sales]]-Table1[[#This Row],[Discount]]</f>
        <v>75564.67</v>
      </c>
      <c r="N566" s="3">
        <v>49684.68</v>
      </c>
      <c r="O566" s="3">
        <v>2071.6999999999998</v>
      </c>
      <c r="P566" s="3">
        <v>5588.29</v>
      </c>
      <c r="Q566" s="3">
        <v>3243.25</v>
      </c>
      <c r="R566" s="3">
        <v>1672.07</v>
      </c>
      <c r="S566" s="3">
        <f>SUM(Table1[[#This Row],[Product_Cost]:[Other_Cost]])</f>
        <v>62259.99</v>
      </c>
      <c r="T566" s="3">
        <f>Table1[[#This Row],[Net_Sales]]-Table1[[#This Row],[Product_Cost]]</f>
        <v>25879.989999999998</v>
      </c>
      <c r="U566" s="3">
        <f>Table1[[#This Row],[Net_Sales]]-Table1[[#This Row],[Total_Cost]]</f>
        <v>13304.68</v>
      </c>
      <c r="V566" s="4">
        <f>Table1[[#This Row],[Net_Profit]]/Table1[[#This Row],[Net_Sales]]</f>
        <v>0.17607011318913984</v>
      </c>
      <c r="W566" t="s">
        <v>72</v>
      </c>
      <c r="X566" t="s">
        <v>546</v>
      </c>
      <c r="Y566">
        <v>5</v>
      </c>
      <c r="Z566" t="str">
        <f>IF(Table1[[#This Row],[Month_No]]&lt;=6, "H1","H2")</f>
        <v>H1</v>
      </c>
    </row>
    <row r="567" spans="1:26" x14ac:dyDescent="0.25">
      <c r="A567" s="2">
        <v>45800</v>
      </c>
      <c r="B567" t="s">
        <v>644</v>
      </c>
      <c r="C567" t="s">
        <v>98</v>
      </c>
      <c r="D567" t="s">
        <v>74</v>
      </c>
      <c r="E567" t="s">
        <v>75</v>
      </c>
      <c r="F567" t="s">
        <v>39</v>
      </c>
      <c r="G567" t="s">
        <v>31</v>
      </c>
      <c r="H567" t="s">
        <v>59</v>
      </c>
      <c r="I567">
        <v>76</v>
      </c>
      <c r="J567" s="3">
        <v>5595.51</v>
      </c>
      <c r="K567" s="3">
        <f>Table1[[#This Row],[Quantity]]*Table1[[#This Row],[Unit_Price]]</f>
        <v>425258.76</v>
      </c>
      <c r="L567" s="3">
        <v>24553.69</v>
      </c>
      <c r="M567" s="3">
        <f>Table1[[#This Row],[Gross_Sales]]-Table1[[#This Row],[Discount]]</f>
        <v>400705.07</v>
      </c>
      <c r="N567" s="3">
        <v>292582.59000000003</v>
      </c>
      <c r="O567" s="3">
        <v>17794.36</v>
      </c>
      <c r="P567" s="3">
        <v>28519.94</v>
      </c>
      <c r="Q567" s="3">
        <v>14586.57</v>
      </c>
      <c r="R567" s="3">
        <v>12118.84</v>
      </c>
      <c r="S567" s="3">
        <f>SUM(Table1[[#This Row],[Product_Cost]:[Other_Cost]])</f>
        <v>365602.30000000005</v>
      </c>
      <c r="T567" s="3">
        <f>Table1[[#This Row],[Net_Sales]]-Table1[[#This Row],[Product_Cost]]</f>
        <v>108122.47999999998</v>
      </c>
      <c r="U567" s="3">
        <f>Table1[[#This Row],[Net_Sales]]-Table1[[#This Row],[Total_Cost]]</f>
        <v>35102.76999999996</v>
      </c>
      <c r="V567" s="4">
        <f>Table1[[#This Row],[Net_Profit]]/Table1[[#This Row],[Net_Sales]]</f>
        <v>8.7602510245253354E-2</v>
      </c>
      <c r="W567" t="s">
        <v>33</v>
      </c>
      <c r="X567" t="s">
        <v>546</v>
      </c>
      <c r="Y567">
        <v>5</v>
      </c>
      <c r="Z567" t="str">
        <f>IF(Table1[[#This Row],[Month_No]]&lt;=6, "H1","H2")</f>
        <v>H1</v>
      </c>
    </row>
    <row r="568" spans="1:26" x14ac:dyDescent="0.25">
      <c r="A568" s="2">
        <v>45801</v>
      </c>
      <c r="B568" t="s">
        <v>645</v>
      </c>
      <c r="C568" t="s">
        <v>43</v>
      </c>
      <c r="D568" t="s">
        <v>37</v>
      </c>
      <c r="E568" t="s">
        <v>38</v>
      </c>
      <c r="F568" t="s">
        <v>39</v>
      </c>
      <c r="G568" t="s">
        <v>58</v>
      </c>
      <c r="H568" t="s">
        <v>41</v>
      </c>
      <c r="I568">
        <v>88</v>
      </c>
      <c r="J568" s="3">
        <v>4281.32</v>
      </c>
      <c r="K568" s="3">
        <f>Table1[[#This Row],[Quantity]]*Table1[[#This Row],[Unit_Price]]</f>
        <v>376756.16</v>
      </c>
      <c r="L568" s="3">
        <v>35754.410000000003</v>
      </c>
      <c r="M568" s="3">
        <f>Table1[[#This Row],[Gross_Sales]]-Table1[[#This Row],[Discount]]</f>
        <v>341001.75</v>
      </c>
      <c r="N568" s="3">
        <v>253916.77</v>
      </c>
      <c r="O568" s="3">
        <v>15588.77</v>
      </c>
      <c r="P568" s="3">
        <v>24459.79</v>
      </c>
      <c r="Q568" s="3">
        <v>17673.5</v>
      </c>
      <c r="R568" s="3">
        <v>9875.19</v>
      </c>
      <c r="S568" s="3">
        <f>SUM(Table1[[#This Row],[Product_Cost]:[Other_Cost]])</f>
        <v>321514.01999999996</v>
      </c>
      <c r="T568" s="3">
        <f>Table1[[#This Row],[Net_Sales]]-Table1[[#This Row],[Product_Cost]]</f>
        <v>87084.98000000001</v>
      </c>
      <c r="U568" s="3">
        <f>Table1[[#This Row],[Net_Sales]]-Table1[[#This Row],[Total_Cost]]</f>
        <v>19487.73000000004</v>
      </c>
      <c r="V568" s="4">
        <f>Table1[[#This Row],[Net_Profit]]/Table1[[#This Row],[Net_Sales]]</f>
        <v>5.7148475044483026E-2</v>
      </c>
      <c r="W568" t="s">
        <v>33</v>
      </c>
      <c r="X568" t="s">
        <v>546</v>
      </c>
      <c r="Y568">
        <v>5</v>
      </c>
      <c r="Z568" t="str">
        <f>IF(Table1[[#This Row],[Month_No]]&lt;=6, "H1","H2")</f>
        <v>H1</v>
      </c>
    </row>
    <row r="569" spans="1:26" x14ac:dyDescent="0.25">
      <c r="A569" s="2">
        <v>45801</v>
      </c>
      <c r="B569" t="s">
        <v>646</v>
      </c>
      <c r="C569" t="s">
        <v>27</v>
      </c>
      <c r="D569" t="s">
        <v>56</v>
      </c>
      <c r="E569" t="s">
        <v>57</v>
      </c>
      <c r="F569" t="s">
        <v>52</v>
      </c>
      <c r="G569" t="s">
        <v>71</v>
      </c>
      <c r="H569" t="s">
        <v>59</v>
      </c>
      <c r="I569">
        <v>32</v>
      </c>
      <c r="J569" s="3">
        <v>3279.69</v>
      </c>
      <c r="K569" s="3">
        <f>Table1[[#This Row],[Quantity]]*Table1[[#This Row],[Unit_Price]]</f>
        <v>104950.08</v>
      </c>
      <c r="L569" s="3">
        <v>5935.6</v>
      </c>
      <c r="M569" s="3">
        <f>Table1[[#This Row],[Gross_Sales]]-Table1[[#This Row],[Discount]]</f>
        <v>99014.48</v>
      </c>
      <c r="N569" s="3">
        <v>55591.519999999997</v>
      </c>
      <c r="O569" s="3">
        <v>2772.58</v>
      </c>
      <c r="P569" s="3">
        <v>6499.86</v>
      </c>
      <c r="Q569" s="3">
        <v>3652.57</v>
      </c>
      <c r="R569" s="3">
        <v>2650.13</v>
      </c>
      <c r="S569" s="3">
        <f>SUM(Table1[[#This Row],[Product_Cost]:[Other_Cost]])</f>
        <v>71166.66</v>
      </c>
      <c r="T569" s="3">
        <f>Table1[[#This Row],[Net_Sales]]-Table1[[#This Row],[Product_Cost]]</f>
        <v>43422.96</v>
      </c>
      <c r="U569" s="3">
        <f>Table1[[#This Row],[Net_Sales]]-Table1[[#This Row],[Total_Cost]]</f>
        <v>27847.819999999992</v>
      </c>
      <c r="V569" s="4">
        <f>Table1[[#This Row],[Net_Profit]]/Table1[[#This Row],[Net_Sales]]</f>
        <v>0.28124997475116764</v>
      </c>
      <c r="W569" t="s">
        <v>33</v>
      </c>
      <c r="X569" t="s">
        <v>546</v>
      </c>
      <c r="Y569">
        <v>5</v>
      </c>
      <c r="Z569" t="str">
        <f>IF(Table1[[#This Row],[Month_No]]&lt;=6, "H1","H2")</f>
        <v>H1</v>
      </c>
    </row>
    <row r="570" spans="1:26" x14ac:dyDescent="0.25">
      <c r="A570" s="2">
        <v>45801</v>
      </c>
      <c r="B570" t="s">
        <v>647</v>
      </c>
      <c r="C570" t="s">
        <v>83</v>
      </c>
      <c r="D570" t="s">
        <v>68</v>
      </c>
      <c r="E570" t="s">
        <v>29</v>
      </c>
      <c r="F570" t="s">
        <v>46</v>
      </c>
      <c r="G570" t="s">
        <v>40</v>
      </c>
      <c r="H570" t="s">
        <v>59</v>
      </c>
      <c r="I570">
        <v>122</v>
      </c>
      <c r="J570" s="3">
        <v>383.37</v>
      </c>
      <c r="K570" s="3">
        <f>Table1[[#This Row],[Quantity]]*Table1[[#This Row],[Unit_Price]]</f>
        <v>46771.14</v>
      </c>
      <c r="L570" s="3">
        <v>2860.73</v>
      </c>
      <c r="M570" s="3">
        <f>Table1[[#This Row],[Gross_Sales]]-Table1[[#This Row],[Discount]]</f>
        <v>43910.409999999996</v>
      </c>
      <c r="N570" s="3">
        <v>33566.400000000001</v>
      </c>
      <c r="O570" s="3">
        <v>1386.83</v>
      </c>
      <c r="P570" s="3">
        <v>2632.99</v>
      </c>
      <c r="Q570" s="3">
        <v>2218.84</v>
      </c>
      <c r="R570" s="3">
        <v>961.98</v>
      </c>
      <c r="S570" s="3">
        <f>SUM(Table1[[#This Row],[Product_Cost]:[Other_Cost]])</f>
        <v>40767.040000000001</v>
      </c>
      <c r="T570" s="3">
        <f>Table1[[#This Row],[Net_Sales]]-Table1[[#This Row],[Product_Cost]]</f>
        <v>10344.009999999995</v>
      </c>
      <c r="U570" s="3">
        <f>Table1[[#This Row],[Net_Sales]]-Table1[[#This Row],[Total_Cost]]</f>
        <v>3143.3699999999953</v>
      </c>
      <c r="V570" s="4">
        <f>Table1[[#This Row],[Net_Profit]]/Table1[[#This Row],[Net_Sales]]</f>
        <v>7.1585986102156537E-2</v>
      </c>
      <c r="W570" t="s">
        <v>33</v>
      </c>
      <c r="X570" t="s">
        <v>546</v>
      </c>
      <c r="Y570">
        <v>5</v>
      </c>
      <c r="Z570" t="str">
        <f>IF(Table1[[#This Row],[Month_No]]&lt;=6, "H1","H2")</f>
        <v>H1</v>
      </c>
    </row>
    <row r="571" spans="1:26" x14ac:dyDescent="0.25">
      <c r="A571" s="2">
        <v>45801</v>
      </c>
      <c r="B571" t="s">
        <v>648</v>
      </c>
      <c r="C571" t="s">
        <v>43</v>
      </c>
      <c r="D571" t="s">
        <v>81</v>
      </c>
      <c r="E571" t="s">
        <v>45</v>
      </c>
      <c r="F571" t="s">
        <v>52</v>
      </c>
      <c r="G571" t="s">
        <v>31</v>
      </c>
      <c r="H571" t="s">
        <v>47</v>
      </c>
      <c r="I571">
        <v>74</v>
      </c>
      <c r="J571" s="3">
        <v>6455.67</v>
      </c>
      <c r="K571" s="3">
        <f>Table1[[#This Row],[Quantity]]*Table1[[#This Row],[Unit_Price]]</f>
        <v>477719.58</v>
      </c>
      <c r="L571" s="3">
        <v>34403.339999999997</v>
      </c>
      <c r="M571" s="3">
        <f>Table1[[#This Row],[Gross_Sales]]-Table1[[#This Row],[Discount]]</f>
        <v>443316.24</v>
      </c>
      <c r="N571" s="3">
        <v>266762.77</v>
      </c>
      <c r="O571" s="3">
        <v>12456.27</v>
      </c>
      <c r="P571" s="3">
        <v>31110.84</v>
      </c>
      <c r="Q571" s="3">
        <v>21558.89</v>
      </c>
      <c r="R571" s="3">
        <v>9589.5400000000009</v>
      </c>
      <c r="S571" s="3">
        <f>SUM(Table1[[#This Row],[Product_Cost]:[Other_Cost]])</f>
        <v>341478.31000000006</v>
      </c>
      <c r="T571" s="3">
        <f>Table1[[#This Row],[Net_Sales]]-Table1[[#This Row],[Product_Cost]]</f>
        <v>176553.46999999997</v>
      </c>
      <c r="U571" s="3">
        <f>Table1[[#This Row],[Net_Sales]]-Table1[[#This Row],[Total_Cost]]</f>
        <v>101837.92999999993</v>
      </c>
      <c r="V571" s="4">
        <f>Table1[[#This Row],[Net_Profit]]/Table1[[#This Row],[Net_Sales]]</f>
        <v>0.22971847365663828</v>
      </c>
      <c r="W571" t="s">
        <v>33</v>
      </c>
      <c r="X571" t="s">
        <v>546</v>
      </c>
      <c r="Y571">
        <v>5</v>
      </c>
      <c r="Z571" t="str">
        <f>IF(Table1[[#This Row],[Month_No]]&lt;=6, "H1","H2")</f>
        <v>H1</v>
      </c>
    </row>
    <row r="572" spans="1:26" x14ac:dyDescent="0.25">
      <c r="A572" s="2">
        <v>45801</v>
      </c>
      <c r="B572" t="s">
        <v>649</v>
      </c>
      <c r="C572" t="s">
        <v>36</v>
      </c>
      <c r="D572" t="s">
        <v>66</v>
      </c>
      <c r="E572" t="s">
        <v>51</v>
      </c>
      <c r="F572" t="s">
        <v>30</v>
      </c>
      <c r="G572" t="s">
        <v>61</v>
      </c>
      <c r="H572" t="s">
        <v>32</v>
      </c>
      <c r="I572">
        <v>51</v>
      </c>
      <c r="J572" s="3">
        <v>1426.96</v>
      </c>
      <c r="K572" s="3">
        <f>Table1[[#This Row],[Quantity]]*Table1[[#This Row],[Unit_Price]]</f>
        <v>72774.960000000006</v>
      </c>
      <c r="L572" s="3">
        <v>7032.01</v>
      </c>
      <c r="M572" s="3">
        <f>Table1[[#This Row],[Gross_Sales]]-Table1[[#This Row],[Discount]]</f>
        <v>65742.950000000012</v>
      </c>
      <c r="N572" s="3">
        <v>35989.629999999997</v>
      </c>
      <c r="O572" s="3">
        <v>2596.1</v>
      </c>
      <c r="P572" s="3">
        <v>4879.18</v>
      </c>
      <c r="Q572" s="3">
        <v>2719.17</v>
      </c>
      <c r="R572" s="3">
        <v>1929.84</v>
      </c>
      <c r="S572" s="3">
        <f>SUM(Table1[[#This Row],[Product_Cost]:[Other_Cost]])</f>
        <v>48113.919999999991</v>
      </c>
      <c r="T572" s="3">
        <f>Table1[[#This Row],[Net_Sales]]-Table1[[#This Row],[Product_Cost]]</f>
        <v>29753.320000000014</v>
      </c>
      <c r="U572" s="3">
        <f>Table1[[#This Row],[Net_Sales]]-Table1[[#This Row],[Total_Cost]]</f>
        <v>17629.030000000021</v>
      </c>
      <c r="V572" s="4">
        <f>Table1[[#This Row],[Net_Profit]]/Table1[[#This Row],[Net_Sales]]</f>
        <v>0.26815088157741657</v>
      </c>
      <c r="W572" t="s">
        <v>33</v>
      </c>
      <c r="X572" t="s">
        <v>546</v>
      </c>
      <c r="Y572">
        <v>5</v>
      </c>
      <c r="Z572" t="str">
        <f>IF(Table1[[#This Row],[Month_No]]&lt;=6, "H1","H2")</f>
        <v>H1</v>
      </c>
    </row>
    <row r="573" spans="1:26" x14ac:dyDescent="0.25">
      <c r="A573" s="2">
        <v>45802</v>
      </c>
      <c r="B573" t="s">
        <v>650</v>
      </c>
      <c r="C573" t="s">
        <v>63</v>
      </c>
      <c r="D573" t="s">
        <v>37</v>
      </c>
      <c r="E573" t="s">
        <v>38</v>
      </c>
      <c r="F573" t="s">
        <v>46</v>
      </c>
      <c r="G573" t="s">
        <v>31</v>
      </c>
      <c r="H573" t="s">
        <v>41</v>
      </c>
      <c r="I573">
        <v>57</v>
      </c>
      <c r="J573" s="3">
        <v>4318.6099999999997</v>
      </c>
      <c r="K573" s="3">
        <f>Table1[[#This Row],[Quantity]]*Table1[[#This Row],[Unit_Price]]</f>
        <v>246160.77</v>
      </c>
      <c r="L573" s="3">
        <v>19792.54</v>
      </c>
      <c r="M573" s="3">
        <f>Table1[[#This Row],[Gross_Sales]]-Table1[[#This Row],[Discount]]</f>
        <v>226368.22999999998</v>
      </c>
      <c r="N573" s="3">
        <v>161553.99</v>
      </c>
      <c r="O573" s="3">
        <v>6361.06</v>
      </c>
      <c r="P573" s="3">
        <v>16179.69</v>
      </c>
      <c r="Q573" s="3">
        <v>8097.68</v>
      </c>
      <c r="R573" s="3">
        <v>5975.89</v>
      </c>
      <c r="S573" s="3">
        <f>SUM(Table1[[#This Row],[Product_Cost]:[Other_Cost]])</f>
        <v>198168.31</v>
      </c>
      <c r="T573" s="3">
        <f>Table1[[#This Row],[Net_Sales]]-Table1[[#This Row],[Product_Cost]]</f>
        <v>64814.239999999991</v>
      </c>
      <c r="U573" s="3">
        <f>Table1[[#This Row],[Net_Sales]]-Table1[[#This Row],[Total_Cost]]</f>
        <v>28199.919999999984</v>
      </c>
      <c r="V573" s="4">
        <f>Table1[[#This Row],[Net_Profit]]/Table1[[#This Row],[Net_Sales]]</f>
        <v>0.12457543180860665</v>
      </c>
      <c r="W573" t="s">
        <v>33</v>
      </c>
      <c r="X573" t="s">
        <v>546</v>
      </c>
      <c r="Y573">
        <v>5</v>
      </c>
      <c r="Z573" t="str">
        <f>IF(Table1[[#This Row],[Month_No]]&lt;=6, "H1","H2")</f>
        <v>H1</v>
      </c>
    </row>
    <row r="574" spans="1:26" x14ac:dyDescent="0.25">
      <c r="A574" s="2">
        <v>45803</v>
      </c>
      <c r="B574" t="s">
        <v>651</v>
      </c>
      <c r="C574" t="s">
        <v>43</v>
      </c>
      <c r="D574" t="s">
        <v>28</v>
      </c>
      <c r="E574" t="s">
        <v>29</v>
      </c>
      <c r="F574" t="s">
        <v>30</v>
      </c>
      <c r="G574" t="s">
        <v>71</v>
      </c>
      <c r="H574" t="s">
        <v>41</v>
      </c>
      <c r="I574">
        <v>101</v>
      </c>
      <c r="J574" s="3">
        <v>1197.02</v>
      </c>
      <c r="K574" s="3">
        <f>Table1[[#This Row],[Quantity]]*Table1[[#This Row],[Unit_Price]]</f>
        <v>120899.02</v>
      </c>
      <c r="L574" s="3">
        <v>10119.51</v>
      </c>
      <c r="M574" s="3">
        <f>Table1[[#This Row],[Gross_Sales]]-Table1[[#This Row],[Discount]]</f>
        <v>110779.51000000001</v>
      </c>
      <c r="N574" s="3">
        <v>65139.82</v>
      </c>
      <c r="O574" s="3">
        <v>4175</v>
      </c>
      <c r="P574" s="3">
        <v>7306.01</v>
      </c>
      <c r="Q574" s="3">
        <v>5642.36</v>
      </c>
      <c r="R574" s="3">
        <v>2303.0700000000002</v>
      </c>
      <c r="S574" s="3">
        <f>SUM(Table1[[#This Row],[Product_Cost]:[Other_Cost]])</f>
        <v>84566.260000000009</v>
      </c>
      <c r="T574" s="3">
        <f>Table1[[#This Row],[Net_Sales]]-Table1[[#This Row],[Product_Cost]]</f>
        <v>45639.69000000001</v>
      </c>
      <c r="U574" s="3">
        <f>Table1[[#This Row],[Net_Sales]]-Table1[[#This Row],[Total_Cost]]</f>
        <v>26213.25</v>
      </c>
      <c r="V574" s="4">
        <f>Table1[[#This Row],[Net_Profit]]/Table1[[#This Row],[Net_Sales]]</f>
        <v>0.23662543732139632</v>
      </c>
      <c r="W574" t="s">
        <v>33</v>
      </c>
      <c r="X574" t="s">
        <v>546</v>
      </c>
      <c r="Y574">
        <v>5</v>
      </c>
      <c r="Z574" t="str">
        <f>IF(Table1[[#This Row],[Month_No]]&lt;=6, "H1","H2")</f>
        <v>H1</v>
      </c>
    </row>
    <row r="575" spans="1:26" x14ac:dyDescent="0.25">
      <c r="A575" s="2">
        <v>45803</v>
      </c>
      <c r="B575" t="s">
        <v>652</v>
      </c>
      <c r="C575" t="s">
        <v>83</v>
      </c>
      <c r="D575" t="s">
        <v>50</v>
      </c>
      <c r="E575" t="s">
        <v>51</v>
      </c>
      <c r="F575" t="s">
        <v>52</v>
      </c>
      <c r="G575" t="s">
        <v>86</v>
      </c>
      <c r="H575" t="s">
        <v>47</v>
      </c>
      <c r="I575">
        <v>78</v>
      </c>
      <c r="J575" s="3">
        <v>843.95</v>
      </c>
      <c r="K575" s="3">
        <f>Table1[[#This Row],[Quantity]]*Table1[[#This Row],[Unit_Price]]</f>
        <v>65828.100000000006</v>
      </c>
      <c r="L575" s="3">
        <v>5310.51</v>
      </c>
      <c r="M575" s="3">
        <f>Table1[[#This Row],[Gross_Sales]]-Table1[[#This Row],[Discount]]</f>
        <v>60517.590000000004</v>
      </c>
      <c r="N575" s="3">
        <v>42125.1</v>
      </c>
      <c r="O575" s="3">
        <v>1714.22</v>
      </c>
      <c r="P575" s="3">
        <v>3595.88</v>
      </c>
      <c r="Q575" s="3">
        <v>2158.5700000000002</v>
      </c>
      <c r="R575" s="3">
        <v>1935</v>
      </c>
      <c r="S575" s="3">
        <f>SUM(Table1[[#This Row],[Product_Cost]:[Other_Cost]])</f>
        <v>51528.77</v>
      </c>
      <c r="T575" s="3">
        <f>Table1[[#This Row],[Net_Sales]]-Table1[[#This Row],[Product_Cost]]</f>
        <v>18392.490000000005</v>
      </c>
      <c r="U575" s="3">
        <f>Table1[[#This Row],[Net_Sales]]-Table1[[#This Row],[Total_Cost]]</f>
        <v>8988.820000000007</v>
      </c>
      <c r="V575" s="4">
        <f>Table1[[#This Row],[Net_Profit]]/Table1[[#This Row],[Net_Sales]]</f>
        <v>0.1485323523292981</v>
      </c>
      <c r="W575" t="s">
        <v>33</v>
      </c>
      <c r="X575" t="s">
        <v>546</v>
      </c>
      <c r="Y575">
        <v>5</v>
      </c>
      <c r="Z575" t="str">
        <f>IF(Table1[[#This Row],[Month_No]]&lt;=6, "H1","H2")</f>
        <v>H1</v>
      </c>
    </row>
    <row r="576" spans="1:26" x14ac:dyDescent="0.25">
      <c r="A576" s="2">
        <v>45803</v>
      </c>
      <c r="B576" t="s">
        <v>653</v>
      </c>
      <c r="C576" t="s">
        <v>117</v>
      </c>
      <c r="D576" t="s">
        <v>68</v>
      </c>
      <c r="E576" t="s">
        <v>29</v>
      </c>
      <c r="F576" t="s">
        <v>52</v>
      </c>
      <c r="G576" t="s">
        <v>86</v>
      </c>
      <c r="H576" t="s">
        <v>32</v>
      </c>
      <c r="I576">
        <v>107</v>
      </c>
      <c r="J576" s="3">
        <v>366.85</v>
      </c>
      <c r="K576" s="3">
        <f>Table1[[#This Row],[Quantity]]*Table1[[#This Row],[Unit_Price]]</f>
        <v>39252.950000000004</v>
      </c>
      <c r="L576" s="3">
        <v>3062.99</v>
      </c>
      <c r="M576" s="3">
        <f>Table1[[#This Row],[Gross_Sales]]-Table1[[#This Row],[Discount]]</f>
        <v>36189.960000000006</v>
      </c>
      <c r="N576" s="3">
        <v>28218.7</v>
      </c>
      <c r="O576" s="3">
        <v>874.26</v>
      </c>
      <c r="P576" s="3">
        <v>2235.06</v>
      </c>
      <c r="Q576" s="3">
        <v>1689.29</v>
      </c>
      <c r="R576" s="3">
        <v>1106.6600000000001</v>
      </c>
      <c r="S576" s="3">
        <f>SUM(Table1[[#This Row],[Product_Cost]:[Other_Cost]])</f>
        <v>34123.97</v>
      </c>
      <c r="T576" s="3">
        <f>Table1[[#This Row],[Net_Sales]]-Table1[[#This Row],[Product_Cost]]</f>
        <v>7971.2600000000057</v>
      </c>
      <c r="U576" s="3">
        <f>Table1[[#This Row],[Net_Sales]]-Table1[[#This Row],[Total_Cost]]</f>
        <v>2065.9900000000052</v>
      </c>
      <c r="V576" s="4">
        <f>Table1[[#This Row],[Net_Profit]]/Table1[[#This Row],[Net_Sales]]</f>
        <v>5.7087380035789066E-2</v>
      </c>
      <c r="W576" t="s">
        <v>72</v>
      </c>
      <c r="X576" t="s">
        <v>546</v>
      </c>
      <c r="Y576">
        <v>5</v>
      </c>
      <c r="Z576" t="str">
        <f>IF(Table1[[#This Row],[Month_No]]&lt;=6, "H1","H2")</f>
        <v>H1</v>
      </c>
    </row>
    <row r="577" spans="1:26" x14ac:dyDescent="0.25">
      <c r="A577" s="2">
        <v>45804</v>
      </c>
      <c r="B577" t="s">
        <v>654</v>
      </c>
      <c r="C577" t="s">
        <v>49</v>
      </c>
      <c r="D577" t="s">
        <v>85</v>
      </c>
      <c r="E577" t="s">
        <v>57</v>
      </c>
      <c r="F577" t="s">
        <v>52</v>
      </c>
      <c r="G577" t="s">
        <v>40</v>
      </c>
      <c r="H577" t="s">
        <v>32</v>
      </c>
      <c r="I577">
        <v>56</v>
      </c>
      <c r="J577" s="3">
        <v>1924.61</v>
      </c>
      <c r="K577" s="3">
        <f>Table1[[#This Row],[Quantity]]*Table1[[#This Row],[Unit_Price]]</f>
        <v>107778.15999999999</v>
      </c>
      <c r="L577" s="3">
        <v>7867.7</v>
      </c>
      <c r="M577" s="3">
        <f>Table1[[#This Row],[Gross_Sales]]-Table1[[#This Row],[Discount]]</f>
        <v>99910.459999999992</v>
      </c>
      <c r="N577" s="3">
        <v>70126.62</v>
      </c>
      <c r="O577" s="3">
        <v>2365.41</v>
      </c>
      <c r="P577" s="3">
        <v>5963.55</v>
      </c>
      <c r="Q577" s="3">
        <v>3499.83</v>
      </c>
      <c r="R577" s="3">
        <v>2532.79</v>
      </c>
      <c r="S577" s="3">
        <f>SUM(Table1[[#This Row],[Product_Cost]:[Other_Cost]])</f>
        <v>84488.2</v>
      </c>
      <c r="T577" s="3">
        <f>Table1[[#This Row],[Net_Sales]]-Table1[[#This Row],[Product_Cost]]</f>
        <v>29783.839999999997</v>
      </c>
      <c r="U577" s="3">
        <f>Table1[[#This Row],[Net_Sales]]-Table1[[#This Row],[Total_Cost]]</f>
        <v>15422.259999999995</v>
      </c>
      <c r="V577" s="4">
        <f>Table1[[#This Row],[Net_Profit]]/Table1[[#This Row],[Net_Sales]]</f>
        <v>0.15436081467345858</v>
      </c>
      <c r="W577" t="s">
        <v>33</v>
      </c>
      <c r="X577" t="s">
        <v>546</v>
      </c>
      <c r="Y577">
        <v>5</v>
      </c>
      <c r="Z577" t="str">
        <f>IF(Table1[[#This Row],[Month_No]]&lt;=6, "H1","H2")</f>
        <v>H1</v>
      </c>
    </row>
    <row r="578" spans="1:26" x14ac:dyDescent="0.25">
      <c r="A578" s="2">
        <v>45804</v>
      </c>
      <c r="B578" t="s">
        <v>655</v>
      </c>
      <c r="C578" t="s">
        <v>107</v>
      </c>
      <c r="D578" t="s">
        <v>44</v>
      </c>
      <c r="E578" t="s">
        <v>45</v>
      </c>
      <c r="F578" t="s">
        <v>52</v>
      </c>
      <c r="G578" t="s">
        <v>71</v>
      </c>
      <c r="H578" t="s">
        <v>41</v>
      </c>
      <c r="I578">
        <v>80</v>
      </c>
      <c r="J578" s="3">
        <v>4313.29</v>
      </c>
      <c r="K578" s="3">
        <f>Table1[[#This Row],[Quantity]]*Table1[[#This Row],[Unit_Price]]</f>
        <v>345063.2</v>
      </c>
      <c r="L578" s="3">
        <v>31479.24</v>
      </c>
      <c r="M578" s="3">
        <f>Table1[[#This Row],[Gross_Sales]]-Table1[[#This Row],[Discount]]</f>
        <v>313583.96000000002</v>
      </c>
      <c r="N578" s="3">
        <v>224163.88</v>
      </c>
      <c r="O578" s="3">
        <v>8297.59</v>
      </c>
      <c r="P578" s="3">
        <v>21263.62</v>
      </c>
      <c r="Q578" s="3">
        <v>13569.61</v>
      </c>
      <c r="R578" s="3">
        <v>6421.2</v>
      </c>
      <c r="S578" s="3">
        <f>SUM(Table1[[#This Row],[Product_Cost]:[Other_Cost]])</f>
        <v>273715.90000000002</v>
      </c>
      <c r="T578" s="3">
        <f>Table1[[#This Row],[Net_Sales]]-Table1[[#This Row],[Product_Cost]]</f>
        <v>89420.080000000016</v>
      </c>
      <c r="U578" s="3">
        <f>Table1[[#This Row],[Net_Sales]]-Table1[[#This Row],[Total_Cost]]</f>
        <v>39868.06</v>
      </c>
      <c r="V578" s="4">
        <f>Table1[[#This Row],[Net_Profit]]/Table1[[#This Row],[Net_Sales]]</f>
        <v>0.12713679615500739</v>
      </c>
      <c r="W578" t="s">
        <v>33</v>
      </c>
      <c r="X578" t="s">
        <v>546</v>
      </c>
      <c r="Y578">
        <v>5</v>
      </c>
      <c r="Z578" t="str">
        <f>IF(Table1[[#This Row],[Month_No]]&lt;=6, "H1","H2")</f>
        <v>H1</v>
      </c>
    </row>
    <row r="579" spans="1:26" x14ac:dyDescent="0.25">
      <c r="A579" s="2">
        <v>45804</v>
      </c>
      <c r="B579" t="s">
        <v>656</v>
      </c>
      <c r="C579" t="s">
        <v>107</v>
      </c>
      <c r="D579" t="s">
        <v>81</v>
      </c>
      <c r="E579" t="s">
        <v>45</v>
      </c>
      <c r="F579" t="s">
        <v>52</v>
      </c>
      <c r="G579" t="s">
        <v>64</v>
      </c>
      <c r="H579" t="s">
        <v>41</v>
      </c>
      <c r="I579">
        <v>63</v>
      </c>
      <c r="J579" s="3">
        <v>6371.79</v>
      </c>
      <c r="K579" s="3">
        <f>Table1[[#This Row],[Quantity]]*Table1[[#This Row],[Unit_Price]]</f>
        <v>401422.77</v>
      </c>
      <c r="L579" s="3">
        <v>34793.96</v>
      </c>
      <c r="M579" s="3">
        <f>Table1[[#This Row],[Gross_Sales]]-Table1[[#This Row],[Discount]]</f>
        <v>366628.81</v>
      </c>
      <c r="N579" s="3">
        <v>215057.6</v>
      </c>
      <c r="O579" s="3">
        <v>9688.18</v>
      </c>
      <c r="P579" s="3">
        <v>20734.45</v>
      </c>
      <c r="Q579" s="3">
        <v>13068.7</v>
      </c>
      <c r="R579" s="3">
        <v>11175.56</v>
      </c>
      <c r="S579" s="3">
        <f>SUM(Table1[[#This Row],[Product_Cost]:[Other_Cost]])</f>
        <v>269724.49000000005</v>
      </c>
      <c r="T579" s="3">
        <f>Table1[[#This Row],[Net_Sales]]-Table1[[#This Row],[Product_Cost]]</f>
        <v>151571.21</v>
      </c>
      <c r="U579" s="3">
        <f>Table1[[#This Row],[Net_Sales]]-Table1[[#This Row],[Total_Cost]]</f>
        <v>96904.319999999949</v>
      </c>
      <c r="V579" s="4">
        <f>Table1[[#This Row],[Net_Profit]]/Table1[[#This Row],[Net_Sales]]</f>
        <v>0.26431179808264371</v>
      </c>
      <c r="W579" t="s">
        <v>33</v>
      </c>
      <c r="X579" t="s">
        <v>546</v>
      </c>
      <c r="Y579">
        <v>5</v>
      </c>
      <c r="Z579" t="str">
        <f>IF(Table1[[#This Row],[Month_No]]&lt;=6, "H1","H2")</f>
        <v>H1</v>
      </c>
    </row>
    <row r="580" spans="1:26" x14ac:dyDescent="0.25">
      <c r="A580" s="2">
        <v>45805</v>
      </c>
      <c r="B580" t="s">
        <v>657</v>
      </c>
      <c r="C580" t="s">
        <v>78</v>
      </c>
      <c r="D580" t="s">
        <v>74</v>
      </c>
      <c r="E580" t="s">
        <v>75</v>
      </c>
      <c r="F580" t="s">
        <v>52</v>
      </c>
      <c r="G580" t="s">
        <v>40</v>
      </c>
      <c r="H580" t="s">
        <v>41</v>
      </c>
      <c r="I580">
        <v>66</v>
      </c>
      <c r="J580" s="3">
        <v>5498.54</v>
      </c>
      <c r="K580" s="3">
        <f>Table1[[#This Row],[Quantity]]*Table1[[#This Row],[Unit_Price]]</f>
        <v>362903.64</v>
      </c>
      <c r="L580" s="3">
        <v>24674.35</v>
      </c>
      <c r="M580" s="3">
        <f>Table1[[#This Row],[Gross_Sales]]-Table1[[#This Row],[Discount]]</f>
        <v>338229.29000000004</v>
      </c>
      <c r="N580" s="3">
        <v>247297.21</v>
      </c>
      <c r="O580" s="3">
        <v>9496.2999999999993</v>
      </c>
      <c r="P580" s="3">
        <v>19989.23</v>
      </c>
      <c r="Q580" s="3">
        <v>13305.66</v>
      </c>
      <c r="R580" s="3">
        <v>10348.48</v>
      </c>
      <c r="S580" s="3">
        <f>SUM(Table1[[#This Row],[Product_Cost]:[Other_Cost]])</f>
        <v>300436.87999999995</v>
      </c>
      <c r="T580" s="3">
        <f>Table1[[#This Row],[Net_Sales]]-Table1[[#This Row],[Product_Cost]]</f>
        <v>90932.080000000045</v>
      </c>
      <c r="U580" s="3">
        <f>Table1[[#This Row],[Net_Sales]]-Table1[[#This Row],[Total_Cost]]</f>
        <v>37792.410000000091</v>
      </c>
      <c r="V580" s="4">
        <f>Table1[[#This Row],[Net_Profit]]/Table1[[#This Row],[Net_Sales]]</f>
        <v>0.11173606520003068</v>
      </c>
      <c r="W580" t="s">
        <v>33</v>
      </c>
      <c r="X580" t="s">
        <v>546</v>
      </c>
      <c r="Y580">
        <v>5</v>
      </c>
      <c r="Z580" t="str">
        <f>IF(Table1[[#This Row],[Month_No]]&lt;=6, "H1","H2")</f>
        <v>H1</v>
      </c>
    </row>
    <row r="581" spans="1:26" x14ac:dyDescent="0.25">
      <c r="A581" s="2">
        <v>45805</v>
      </c>
      <c r="B581" t="s">
        <v>658</v>
      </c>
      <c r="C581" t="s">
        <v>78</v>
      </c>
      <c r="D581" t="s">
        <v>50</v>
      </c>
      <c r="E581" t="s">
        <v>51</v>
      </c>
      <c r="F581" t="s">
        <v>52</v>
      </c>
      <c r="G581" t="s">
        <v>40</v>
      </c>
      <c r="H581" t="s">
        <v>59</v>
      </c>
      <c r="I581">
        <v>75</v>
      </c>
      <c r="J581" s="3">
        <v>877.47</v>
      </c>
      <c r="K581" s="3">
        <f>Table1[[#This Row],[Quantity]]*Table1[[#This Row],[Unit_Price]]</f>
        <v>65810.25</v>
      </c>
      <c r="L581" s="3">
        <v>3755.86</v>
      </c>
      <c r="M581" s="3">
        <f>Table1[[#This Row],[Gross_Sales]]-Table1[[#This Row],[Discount]]</f>
        <v>62054.39</v>
      </c>
      <c r="N581" s="3">
        <v>40785.129999999997</v>
      </c>
      <c r="O581" s="3">
        <v>1542.06</v>
      </c>
      <c r="P581" s="3">
        <v>4029.92</v>
      </c>
      <c r="Q581" s="3">
        <v>2295.1</v>
      </c>
      <c r="R581" s="3">
        <v>1736.22</v>
      </c>
      <c r="S581" s="3">
        <f>SUM(Table1[[#This Row],[Product_Cost]:[Other_Cost]])</f>
        <v>50388.429999999993</v>
      </c>
      <c r="T581" s="3">
        <f>Table1[[#This Row],[Net_Sales]]-Table1[[#This Row],[Product_Cost]]</f>
        <v>21269.260000000002</v>
      </c>
      <c r="U581" s="3">
        <f>Table1[[#This Row],[Net_Sales]]-Table1[[#This Row],[Total_Cost]]</f>
        <v>11665.960000000006</v>
      </c>
      <c r="V581" s="4">
        <f>Table1[[#This Row],[Net_Profit]]/Table1[[#This Row],[Net_Sales]]</f>
        <v>0.18799572439596951</v>
      </c>
      <c r="W581" t="s">
        <v>33</v>
      </c>
      <c r="X581" t="s">
        <v>546</v>
      </c>
      <c r="Y581">
        <v>5</v>
      </c>
      <c r="Z581" t="str">
        <f>IF(Table1[[#This Row],[Month_No]]&lt;=6, "H1","H2")</f>
        <v>H1</v>
      </c>
    </row>
    <row r="582" spans="1:26" x14ac:dyDescent="0.25">
      <c r="A582" s="2">
        <v>45806</v>
      </c>
      <c r="B582" t="s">
        <v>659</v>
      </c>
      <c r="C582" t="s">
        <v>43</v>
      </c>
      <c r="D582" t="s">
        <v>81</v>
      </c>
      <c r="E582" t="s">
        <v>45</v>
      </c>
      <c r="F582" t="s">
        <v>52</v>
      </c>
      <c r="G582" t="s">
        <v>61</v>
      </c>
      <c r="H582" t="s">
        <v>41</v>
      </c>
      <c r="I582">
        <v>51</v>
      </c>
      <c r="J582" s="3">
        <v>6470.7</v>
      </c>
      <c r="K582" s="3">
        <f>Table1[[#This Row],[Quantity]]*Table1[[#This Row],[Unit_Price]]</f>
        <v>330005.7</v>
      </c>
      <c r="L582" s="3">
        <v>27597.49</v>
      </c>
      <c r="M582" s="3">
        <f>Table1[[#This Row],[Gross_Sales]]-Table1[[#This Row],[Discount]]</f>
        <v>302408.21000000002</v>
      </c>
      <c r="N582" s="3">
        <v>175990.23</v>
      </c>
      <c r="O582" s="3">
        <v>7650.45</v>
      </c>
      <c r="P582" s="3">
        <v>18755.419999999998</v>
      </c>
      <c r="Q582" s="3">
        <v>12407.12</v>
      </c>
      <c r="R582" s="3">
        <v>9276.66</v>
      </c>
      <c r="S582" s="3">
        <f>SUM(Table1[[#This Row],[Product_Cost]:[Other_Cost]])</f>
        <v>224079.88000000003</v>
      </c>
      <c r="T582" s="3">
        <f>Table1[[#This Row],[Net_Sales]]-Table1[[#This Row],[Product_Cost]]</f>
        <v>126417.98000000001</v>
      </c>
      <c r="U582" s="3">
        <f>Table1[[#This Row],[Net_Sales]]-Table1[[#This Row],[Total_Cost]]</f>
        <v>78328.329999999987</v>
      </c>
      <c r="V582" s="4">
        <f>Table1[[#This Row],[Net_Profit]]/Table1[[#This Row],[Net_Sales]]</f>
        <v>0.2590152231647414</v>
      </c>
      <c r="W582" t="s">
        <v>33</v>
      </c>
      <c r="X582" t="s">
        <v>546</v>
      </c>
      <c r="Y582">
        <v>5</v>
      </c>
      <c r="Z582" t="str">
        <f>IF(Table1[[#This Row],[Month_No]]&lt;=6, "H1","H2")</f>
        <v>H1</v>
      </c>
    </row>
    <row r="583" spans="1:26" x14ac:dyDescent="0.25">
      <c r="A583" s="2">
        <v>45807</v>
      </c>
      <c r="B583" t="s">
        <v>660</v>
      </c>
      <c r="C583" t="s">
        <v>107</v>
      </c>
      <c r="D583" t="s">
        <v>50</v>
      </c>
      <c r="E583" t="s">
        <v>51</v>
      </c>
      <c r="F583" t="s">
        <v>52</v>
      </c>
      <c r="G583" t="s">
        <v>61</v>
      </c>
      <c r="H583" t="s">
        <v>41</v>
      </c>
      <c r="I583">
        <v>96</v>
      </c>
      <c r="J583" s="3">
        <v>867.33</v>
      </c>
      <c r="K583" s="3">
        <f>Table1[[#This Row],[Quantity]]*Table1[[#This Row],[Unit_Price]]</f>
        <v>83263.680000000008</v>
      </c>
      <c r="L583" s="3">
        <v>5977.52</v>
      </c>
      <c r="M583" s="3">
        <f>Table1[[#This Row],[Gross_Sales]]-Table1[[#This Row],[Discount]]</f>
        <v>77286.16</v>
      </c>
      <c r="N583" s="3">
        <v>52269.31</v>
      </c>
      <c r="O583" s="3">
        <v>2166.21</v>
      </c>
      <c r="P583" s="3">
        <v>4781.08</v>
      </c>
      <c r="Q583" s="3">
        <v>3895.44</v>
      </c>
      <c r="R583" s="3">
        <v>1632.49</v>
      </c>
      <c r="S583" s="3">
        <f>SUM(Table1[[#This Row],[Product_Cost]:[Other_Cost]])</f>
        <v>64744.53</v>
      </c>
      <c r="T583" s="3">
        <f>Table1[[#This Row],[Net_Sales]]-Table1[[#This Row],[Product_Cost]]</f>
        <v>25016.850000000006</v>
      </c>
      <c r="U583" s="3">
        <f>Table1[[#This Row],[Net_Sales]]-Table1[[#This Row],[Total_Cost]]</f>
        <v>12541.630000000005</v>
      </c>
      <c r="V583" s="4">
        <f>Table1[[#This Row],[Net_Profit]]/Table1[[#This Row],[Net_Sales]]</f>
        <v>0.16227523789511608</v>
      </c>
      <c r="W583" t="s">
        <v>33</v>
      </c>
      <c r="X583" t="s">
        <v>546</v>
      </c>
      <c r="Y583">
        <v>5</v>
      </c>
      <c r="Z583" t="str">
        <f>IF(Table1[[#This Row],[Month_No]]&lt;=6, "H1","H2")</f>
        <v>H1</v>
      </c>
    </row>
    <row r="584" spans="1:26" x14ac:dyDescent="0.25">
      <c r="A584" s="2">
        <v>45807</v>
      </c>
      <c r="B584" t="s">
        <v>661</v>
      </c>
      <c r="C584" t="s">
        <v>27</v>
      </c>
      <c r="D584" t="s">
        <v>85</v>
      </c>
      <c r="E584" t="s">
        <v>57</v>
      </c>
      <c r="F584" t="s">
        <v>30</v>
      </c>
      <c r="G584" t="s">
        <v>58</v>
      </c>
      <c r="H584" t="s">
        <v>59</v>
      </c>
      <c r="I584">
        <v>74</v>
      </c>
      <c r="J584" s="3">
        <v>1959.15</v>
      </c>
      <c r="K584" s="3">
        <f>Table1[[#This Row],[Quantity]]*Table1[[#This Row],[Unit_Price]]</f>
        <v>144977.1</v>
      </c>
      <c r="L584" s="3">
        <v>12231.6</v>
      </c>
      <c r="M584" s="3">
        <f>Table1[[#This Row],[Gross_Sales]]-Table1[[#This Row],[Discount]]</f>
        <v>132745.5</v>
      </c>
      <c r="N584" s="3">
        <v>96398.15</v>
      </c>
      <c r="O584" s="3">
        <v>4869.3999999999996</v>
      </c>
      <c r="P584" s="3">
        <v>8864.85</v>
      </c>
      <c r="Q584" s="3">
        <v>6999.24</v>
      </c>
      <c r="R584" s="3">
        <v>2705.94</v>
      </c>
      <c r="S584" s="3">
        <f>SUM(Table1[[#This Row],[Product_Cost]:[Other_Cost]])</f>
        <v>119837.58</v>
      </c>
      <c r="T584" s="3">
        <f>Table1[[#This Row],[Net_Sales]]-Table1[[#This Row],[Product_Cost]]</f>
        <v>36347.350000000006</v>
      </c>
      <c r="U584" s="3">
        <f>Table1[[#This Row],[Net_Sales]]-Table1[[#This Row],[Total_Cost]]</f>
        <v>12907.919999999998</v>
      </c>
      <c r="V584" s="4">
        <f>Table1[[#This Row],[Net_Profit]]/Table1[[#This Row],[Net_Sales]]</f>
        <v>9.7238098466614672E-2</v>
      </c>
      <c r="W584" t="s">
        <v>33</v>
      </c>
      <c r="X584" t="s">
        <v>546</v>
      </c>
      <c r="Y584">
        <v>5</v>
      </c>
      <c r="Z584" t="str">
        <f>IF(Table1[[#This Row],[Month_No]]&lt;=6, "H1","H2")</f>
        <v>H1</v>
      </c>
    </row>
    <row r="585" spans="1:26" x14ac:dyDescent="0.25">
      <c r="A585" s="2">
        <v>45807</v>
      </c>
      <c r="B585" t="s">
        <v>662</v>
      </c>
      <c r="C585" t="s">
        <v>36</v>
      </c>
      <c r="D585" t="s">
        <v>44</v>
      </c>
      <c r="E585" t="s">
        <v>45</v>
      </c>
      <c r="F585" t="s">
        <v>30</v>
      </c>
      <c r="G585" t="s">
        <v>58</v>
      </c>
      <c r="H585" t="s">
        <v>47</v>
      </c>
      <c r="I585">
        <v>64</v>
      </c>
      <c r="J585" s="3">
        <v>4299.96</v>
      </c>
      <c r="K585" s="3">
        <f>Table1[[#This Row],[Quantity]]*Table1[[#This Row],[Unit_Price]]</f>
        <v>275197.44</v>
      </c>
      <c r="L585" s="3">
        <v>18370.62</v>
      </c>
      <c r="M585" s="3">
        <f>Table1[[#This Row],[Gross_Sales]]-Table1[[#This Row],[Discount]]</f>
        <v>256826.82</v>
      </c>
      <c r="N585" s="3">
        <v>177774.92</v>
      </c>
      <c r="O585" s="3">
        <v>10161.540000000001</v>
      </c>
      <c r="P585" s="3">
        <v>17123.919999999998</v>
      </c>
      <c r="Q585" s="3">
        <v>10925.05</v>
      </c>
      <c r="R585" s="3">
        <v>6020.78</v>
      </c>
      <c r="S585" s="3">
        <f>SUM(Table1[[#This Row],[Product_Cost]:[Other_Cost]])</f>
        <v>222006.21</v>
      </c>
      <c r="T585" s="3">
        <f>Table1[[#This Row],[Net_Sales]]-Table1[[#This Row],[Product_Cost]]</f>
        <v>79051.899999999994</v>
      </c>
      <c r="U585" s="3">
        <f>Table1[[#This Row],[Net_Sales]]-Table1[[#This Row],[Total_Cost]]</f>
        <v>34820.610000000015</v>
      </c>
      <c r="V585" s="4">
        <f>Table1[[#This Row],[Net_Profit]]/Table1[[#This Row],[Net_Sales]]</f>
        <v>0.13558011581500723</v>
      </c>
      <c r="W585" t="s">
        <v>72</v>
      </c>
      <c r="X585" t="s">
        <v>546</v>
      </c>
      <c r="Y585">
        <v>5</v>
      </c>
      <c r="Z585" t="str">
        <f>IF(Table1[[#This Row],[Month_No]]&lt;=6, "H1","H2")</f>
        <v>H1</v>
      </c>
    </row>
    <row r="586" spans="1:26" x14ac:dyDescent="0.25">
      <c r="A586" s="2">
        <v>45807</v>
      </c>
      <c r="B586" t="s">
        <v>663</v>
      </c>
      <c r="C586" t="s">
        <v>78</v>
      </c>
      <c r="D586" t="s">
        <v>44</v>
      </c>
      <c r="E586" t="s">
        <v>45</v>
      </c>
      <c r="F586" t="s">
        <v>52</v>
      </c>
      <c r="G586" t="s">
        <v>64</v>
      </c>
      <c r="H586" t="s">
        <v>47</v>
      </c>
      <c r="I586">
        <v>25</v>
      </c>
      <c r="J586" s="3">
        <v>4300.55</v>
      </c>
      <c r="K586" s="3">
        <f>Table1[[#This Row],[Quantity]]*Table1[[#This Row],[Unit_Price]]</f>
        <v>107513.75</v>
      </c>
      <c r="L586" s="3">
        <v>7777.26</v>
      </c>
      <c r="M586" s="3">
        <f>Table1[[#This Row],[Gross_Sales]]-Table1[[#This Row],[Discount]]</f>
        <v>99736.49</v>
      </c>
      <c r="N586" s="3">
        <v>71320.899999999994</v>
      </c>
      <c r="O586" s="3">
        <v>2483.9699999999998</v>
      </c>
      <c r="P586" s="3">
        <v>5880.08</v>
      </c>
      <c r="Q586" s="3">
        <v>4312.1899999999996</v>
      </c>
      <c r="R586" s="3">
        <v>2982.72</v>
      </c>
      <c r="S586" s="3">
        <f>SUM(Table1[[#This Row],[Product_Cost]:[Other_Cost]])</f>
        <v>86979.86</v>
      </c>
      <c r="T586" s="3">
        <f>Table1[[#This Row],[Net_Sales]]-Table1[[#This Row],[Product_Cost]]</f>
        <v>28415.590000000011</v>
      </c>
      <c r="U586" s="3">
        <f>Table1[[#This Row],[Net_Sales]]-Table1[[#This Row],[Total_Cost]]</f>
        <v>12756.630000000005</v>
      </c>
      <c r="V586" s="4">
        <f>Table1[[#This Row],[Net_Profit]]/Table1[[#This Row],[Net_Sales]]</f>
        <v>0.12790333808619095</v>
      </c>
      <c r="W586" t="s">
        <v>33</v>
      </c>
      <c r="X586" t="s">
        <v>546</v>
      </c>
      <c r="Y586">
        <v>5</v>
      </c>
      <c r="Z586" t="str">
        <f>IF(Table1[[#This Row],[Month_No]]&lt;=6, "H1","H2")</f>
        <v>H1</v>
      </c>
    </row>
    <row r="587" spans="1:26" x14ac:dyDescent="0.25">
      <c r="A587" s="2">
        <v>45808</v>
      </c>
      <c r="B587" t="s">
        <v>664</v>
      </c>
      <c r="C587" t="s">
        <v>63</v>
      </c>
      <c r="D587" t="s">
        <v>44</v>
      </c>
      <c r="E587" t="s">
        <v>45</v>
      </c>
      <c r="F587" t="s">
        <v>52</v>
      </c>
      <c r="G587" t="s">
        <v>71</v>
      </c>
      <c r="H587" t="s">
        <v>47</v>
      </c>
      <c r="I587">
        <v>72</v>
      </c>
      <c r="J587" s="3">
        <v>4673.99</v>
      </c>
      <c r="K587" s="3">
        <f>Table1[[#This Row],[Quantity]]*Table1[[#This Row],[Unit_Price]]</f>
        <v>336527.27999999997</v>
      </c>
      <c r="L587" s="3">
        <v>22851.31</v>
      </c>
      <c r="M587" s="3">
        <f>Table1[[#This Row],[Gross_Sales]]-Table1[[#This Row],[Discount]]</f>
        <v>313675.96999999997</v>
      </c>
      <c r="N587" s="3">
        <v>218407.42</v>
      </c>
      <c r="O587" s="3">
        <v>8045.42</v>
      </c>
      <c r="P587" s="3">
        <v>17469.810000000001</v>
      </c>
      <c r="Q587" s="3">
        <v>11192.39</v>
      </c>
      <c r="R587" s="3">
        <v>7336.32</v>
      </c>
      <c r="S587" s="3">
        <f>SUM(Table1[[#This Row],[Product_Cost]:[Other_Cost]])</f>
        <v>262451.36000000004</v>
      </c>
      <c r="T587" s="3">
        <f>Table1[[#This Row],[Net_Sales]]-Table1[[#This Row],[Product_Cost]]</f>
        <v>95268.549999999959</v>
      </c>
      <c r="U587" s="3">
        <f>Table1[[#This Row],[Net_Sales]]-Table1[[#This Row],[Total_Cost]]</f>
        <v>51224.609999999928</v>
      </c>
      <c r="V587" s="4">
        <f>Table1[[#This Row],[Net_Profit]]/Table1[[#This Row],[Net_Sales]]</f>
        <v>0.16330422123186528</v>
      </c>
      <c r="W587" t="s">
        <v>33</v>
      </c>
      <c r="X587" t="s">
        <v>546</v>
      </c>
      <c r="Y587">
        <v>5</v>
      </c>
      <c r="Z587" t="str">
        <f>IF(Table1[[#This Row],[Month_No]]&lt;=6, "H1","H2")</f>
        <v>H1</v>
      </c>
    </row>
    <row r="588" spans="1:26" x14ac:dyDescent="0.25">
      <c r="A588" s="2">
        <v>45808</v>
      </c>
      <c r="B588" t="s">
        <v>665</v>
      </c>
      <c r="C588" t="s">
        <v>36</v>
      </c>
      <c r="D588" t="s">
        <v>74</v>
      </c>
      <c r="E588" t="s">
        <v>75</v>
      </c>
      <c r="F588" t="s">
        <v>52</v>
      </c>
      <c r="G588" t="s">
        <v>61</v>
      </c>
      <c r="H588" t="s">
        <v>47</v>
      </c>
      <c r="I588">
        <v>86</v>
      </c>
      <c r="J588" s="3">
        <v>5450.33</v>
      </c>
      <c r="K588" s="3">
        <f>Table1[[#This Row],[Quantity]]*Table1[[#This Row],[Unit_Price]]</f>
        <v>468728.38</v>
      </c>
      <c r="L588" s="3">
        <v>38270.839999999997</v>
      </c>
      <c r="M588" s="3">
        <f>Table1[[#This Row],[Gross_Sales]]-Table1[[#This Row],[Discount]]</f>
        <v>430457.54000000004</v>
      </c>
      <c r="N588" s="3">
        <v>321343.99</v>
      </c>
      <c r="O588" s="3">
        <v>12124.63</v>
      </c>
      <c r="P588" s="3">
        <v>30911.38</v>
      </c>
      <c r="Q588" s="3">
        <v>20599.71</v>
      </c>
      <c r="R588" s="3">
        <v>11489.09</v>
      </c>
      <c r="S588" s="3">
        <f>SUM(Table1[[#This Row],[Product_Cost]:[Other_Cost]])</f>
        <v>396468.80000000005</v>
      </c>
      <c r="T588" s="3">
        <f>Table1[[#This Row],[Net_Sales]]-Table1[[#This Row],[Product_Cost]]</f>
        <v>109113.55000000005</v>
      </c>
      <c r="U588" s="3">
        <f>Table1[[#This Row],[Net_Sales]]-Table1[[#This Row],[Total_Cost]]</f>
        <v>33988.739999999991</v>
      </c>
      <c r="V588" s="4">
        <f>Table1[[#This Row],[Net_Profit]]/Table1[[#This Row],[Net_Sales]]</f>
        <v>7.8959564745921251E-2</v>
      </c>
      <c r="W588" t="s">
        <v>33</v>
      </c>
      <c r="X588" t="s">
        <v>546</v>
      </c>
      <c r="Y588">
        <v>5</v>
      </c>
      <c r="Z588" t="str">
        <f>IF(Table1[[#This Row],[Month_No]]&lt;=6, "H1","H2")</f>
        <v>H1</v>
      </c>
    </row>
    <row r="589" spans="1:26" x14ac:dyDescent="0.25">
      <c r="A589" s="2">
        <v>45808</v>
      </c>
      <c r="B589" t="s">
        <v>666</v>
      </c>
      <c r="C589" t="s">
        <v>49</v>
      </c>
      <c r="D589" t="s">
        <v>37</v>
      </c>
      <c r="E589" t="s">
        <v>38</v>
      </c>
      <c r="F589" t="s">
        <v>52</v>
      </c>
      <c r="G589" t="s">
        <v>71</v>
      </c>
      <c r="H589" t="s">
        <v>41</v>
      </c>
      <c r="I589">
        <v>90</v>
      </c>
      <c r="J589" s="3">
        <v>4285.63</v>
      </c>
      <c r="K589" s="3">
        <f>Table1[[#This Row],[Quantity]]*Table1[[#This Row],[Unit_Price]]</f>
        <v>385706.7</v>
      </c>
      <c r="L589" s="3">
        <v>28314.92</v>
      </c>
      <c r="M589" s="3">
        <f>Table1[[#This Row],[Gross_Sales]]-Table1[[#This Row],[Discount]]</f>
        <v>357391.78</v>
      </c>
      <c r="N589" s="3">
        <v>265832.83</v>
      </c>
      <c r="O589" s="3">
        <v>9293.9599999999991</v>
      </c>
      <c r="P589" s="3">
        <v>26555.73</v>
      </c>
      <c r="Q589" s="3">
        <v>12752.05</v>
      </c>
      <c r="R589" s="3">
        <v>9331.2900000000009</v>
      </c>
      <c r="S589" s="3">
        <f>SUM(Table1[[#This Row],[Product_Cost]:[Other_Cost]])</f>
        <v>323765.86</v>
      </c>
      <c r="T589" s="3">
        <f>Table1[[#This Row],[Net_Sales]]-Table1[[#This Row],[Product_Cost]]</f>
        <v>91558.950000000012</v>
      </c>
      <c r="U589" s="3">
        <f>Table1[[#This Row],[Net_Sales]]-Table1[[#This Row],[Total_Cost]]</f>
        <v>33625.920000000042</v>
      </c>
      <c r="V589" s="4">
        <f>Table1[[#This Row],[Net_Profit]]/Table1[[#This Row],[Net_Sales]]</f>
        <v>9.4086998867181665E-2</v>
      </c>
      <c r="W589" t="s">
        <v>33</v>
      </c>
      <c r="X589" t="s">
        <v>546</v>
      </c>
      <c r="Y589">
        <v>5</v>
      </c>
      <c r="Z589" t="str">
        <f>IF(Table1[[#This Row],[Month_No]]&lt;=6, "H1","H2")</f>
        <v>H1</v>
      </c>
    </row>
    <row r="590" spans="1:26" x14ac:dyDescent="0.25">
      <c r="A590" s="2">
        <v>45808</v>
      </c>
      <c r="B590" t="s">
        <v>667</v>
      </c>
      <c r="C590" t="s">
        <v>78</v>
      </c>
      <c r="D590" t="s">
        <v>44</v>
      </c>
      <c r="E590" t="s">
        <v>45</v>
      </c>
      <c r="F590" t="s">
        <v>30</v>
      </c>
      <c r="G590" t="s">
        <v>71</v>
      </c>
      <c r="H590" t="s">
        <v>32</v>
      </c>
      <c r="I590">
        <v>77</v>
      </c>
      <c r="J590" s="3">
        <v>4398.74</v>
      </c>
      <c r="K590" s="3">
        <f>Table1[[#This Row],[Quantity]]*Table1[[#This Row],[Unit_Price]]</f>
        <v>338702.98</v>
      </c>
      <c r="L590" s="3">
        <v>33758.07</v>
      </c>
      <c r="M590" s="3">
        <f>Table1[[#This Row],[Gross_Sales]]-Table1[[#This Row],[Discount]]</f>
        <v>304944.90999999997</v>
      </c>
      <c r="N590" s="3">
        <v>217269.23</v>
      </c>
      <c r="O590" s="3">
        <v>10143.65</v>
      </c>
      <c r="P590" s="3">
        <v>19758.849999999999</v>
      </c>
      <c r="Q590" s="3">
        <v>15245.35</v>
      </c>
      <c r="R590" s="3">
        <v>6996.68</v>
      </c>
      <c r="S590" s="3">
        <f>SUM(Table1[[#This Row],[Product_Cost]:[Other_Cost]])</f>
        <v>269413.76000000001</v>
      </c>
      <c r="T590" s="3">
        <f>Table1[[#This Row],[Net_Sales]]-Table1[[#This Row],[Product_Cost]]</f>
        <v>87675.679999999964</v>
      </c>
      <c r="U590" s="3">
        <f>Table1[[#This Row],[Net_Sales]]-Table1[[#This Row],[Total_Cost]]</f>
        <v>35531.149999999965</v>
      </c>
      <c r="V590" s="4">
        <f>Table1[[#This Row],[Net_Profit]]/Table1[[#This Row],[Net_Sales]]</f>
        <v>0.11651661934609753</v>
      </c>
      <c r="W590" t="s">
        <v>72</v>
      </c>
      <c r="X590" t="s">
        <v>546</v>
      </c>
      <c r="Y590">
        <v>5</v>
      </c>
      <c r="Z590" t="str">
        <f>IF(Table1[[#This Row],[Month_No]]&lt;=6, "H1","H2")</f>
        <v>H1</v>
      </c>
    </row>
    <row r="591" spans="1:26" x14ac:dyDescent="0.25">
      <c r="A591" s="2">
        <v>45808</v>
      </c>
      <c r="B591" t="s">
        <v>668</v>
      </c>
      <c r="C591" t="s">
        <v>117</v>
      </c>
      <c r="D591" t="s">
        <v>50</v>
      </c>
      <c r="E591" t="s">
        <v>51</v>
      </c>
      <c r="F591" t="s">
        <v>39</v>
      </c>
      <c r="G591" t="s">
        <v>58</v>
      </c>
      <c r="H591" t="s">
        <v>59</v>
      </c>
      <c r="I591">
        <v>80</v>
      </c>
      <c r="J591" s="3">
        <v>833.07</v>
      </c>
      <c r="K591" s="3">
        <f>Table1[[#This Row],[Quantity]]*Table1[[#This Row],[Unit_Price]]</f>
        <v>66645.600000000006</v>
      </c>
      <c r="L591" s="3">
        <v>4407.92</v>
      </c>
      <c r="M591" s="3">
        <f>Table1[[#This Row],[Gross_Sales]]-Table1[[#This Row],[Discount]]</f>
        <v>62237.680000000008</v>
      </c>
      <c r="N591" s="3">
        <v>43217.599999999999</v>
      </c>
      <c r="O591" s="3">
        <v>2823.74</v>
      </c>
      <c r="P591" s="3">
        <v>4051.59</v>
      </c>
      <c r="Q591" s="3">
        <v>2895.02</v>
      </c>
      <c r="R591" s="3">
        <v>1692.62</v>
      </c>
      <c r="S591" s="3">
        <f>SUM(Table1[[#This Row],[Product_Cost]:[Other_Cost]])</f>
        <v>54680.569999999992</v>
      </c>
      <c r="T591" s="3">
        <f>Table1[[#This Row],[Net_Sales]]-Table1[[#This Row],[Product_Cost]]</f>
        <v>19020.080000000009</v>
      </c>
      <c r="U591" s="3">
        <f>Table1[[#This Row],[Net_Sales]]-Table1[[#This Row],[Total_Cost]]</f>
        <v>7557.1100000000151</v>
      </c>
      <c r="V591" s="4">
        <f>Table1[[#This Row],[Net_Profit]]/Table1[[#This Row],[Net_Sales]]</f>
        <v>0.12142338853247767</v>
      </c>
      <c r="W591" t="s">
        <v>33</v>
      </c>
      <c r="X591" t="s">
        <v>546</v>
      </c>
      <c r="Y591">
        <v>5</v>
      </c>
      <c r="Z591" t="str">
        <f>IF(Table1[[#This Row],[Month_No]]&lt;=6, "H1","H2")</f>
        <v>H1</v>
      </c>
    </row>
    <row r="592" spans="1:26" x14ac:dyDescent="0.25">
      <c r="A592" s="2">
        <v>45808</v>
      </c>
      <c r="B592" t="s">
        <v>669</v>
      </c>
      <c r="C592" t="s">
        <v>49</v>
      </c>
      <c r="D592" t="s">
        <v>28</v>
      </c>
      <c r="E592" t="s">
        <v>29</v>
      </c>
      <c r="F592" t="s">
        <v>52</v>
      </c>
      <c r="G592" t="s">
        <v>58</v>
      </c>
      <c r="H592" t="s">
        <v>47</v>
      </c>
      <c r="I592">
        <v>12</v>
      </c>
      <c r="J592" s="3">
        <v>1163.94</v>
      </c>
      <c r="K592" s="3">
        <f>Table1[[#This Row],[Quantity]]*Table1[[#This Row],[Unit_Price]]</f>
        <v>13967.28</v>
      </c>
      <c r="L592" s="3">
        <v>1249.97</v>
      </c>
      <c r="M592" s="3">
        <f>Table1[[#This Row],[Gross_Sales]]-Table1[[#This Row],[Discount]]</f>
        <v>12717.310000000001</v>
      </c>
      <c r="N592" s="3">
        <v>7621.7</v>
      </c>
      <c r="O592" s="3">
        <v>361.09</v>
      </c>
      <c r="P592" s="3">
        <v>716.37</v>
      </c>
      <c r="Q592" s="3">
        <v>666.43</v>
      </c>
      <c r="R592" s="3">
        <v>343.15</v>
      </c>
      <c r="S592" s="3">
        <f>SUM(Table1[[#This Row],[Product_Cost]:[Other_Cost]])</f>
        <v>9708.74</v>
      </c>
      <c r="T592" s="3">
        <f>Table1[[#This Row],[Net_Sales]]-Table1[[#This Row],[Product_Cost]]</f>
        <v>5095.6100000000015</v>
      </c>
      <c r="U592" s="3">
        <f>Table1[[#This Row],[Net_Sales]]-Table1[[#This Row],[Total_Cost]]</f>
        <v>3008.5700000000015</v>
      </c>
      <c r="V592" s="4">
        <f>Table1[[#This Row],[Net_Profit]]/Table1[[#This Row],[Net_Sales]]</f>
        <v>0.23657282868782795</v>
      </c>
      <c r="W592" t="s">
        <v>33</v>
      </c>
      <c r="X592" t="s">
        <v>546</v>
      </c>
      <c r="Y592">
        <v>5</v>
      </c>
      <c r="Z592" t="str">
        <f>IF(Table1[[#This Row],[Month_No]]&lt;=6, "H1","H2")</f>
        <v>H1</v>
      </c>
    </row>
    <row r="593" spans="1:26" x14ac:dyDescent="0.25">
      <c r="A593" s="2">
        <v>45808</v>
      </c>
      <c r="B593" t="s">
        <v>670</v>
      </c>
      <c r="C593" t="s">
        <v>70</v>
      </c>
      <c r="D593" t="s">
        <v>66</v>
      </c>
      <c r="E593" t="s">
        <v>51</v>
      </c>
      <c r="F593" t="s">
        <v>39</v>
      </c>
      <c r="G593" t="s">
        <v>31</v>
      </c>
      <c r="H593" t="s">
        <v>59</v>
      </c>
      <c r="I593">
        <v>25</v>
      </c>
      <c r="J593" s="3">
        <v>1542.05</v>
      </c>
      <c r="K593" s="3">
        <f>Table1[[#This Row],[Quantity]]*Table1[[#This Row],[Unit_Price]]</f>
        <v>38551.25</v>
      </c>
      <c r="L593" s="3">
        <v>2213.58</v>
      </c>
      <c r="M593" s="3">
        <f>Table1[[#This Row],[Gross_Sales]]-Table1[[#This Row],[Discount]]</f>
        <v>36337.67</v>
      </c>
      <c r="N593" s="3">
        <v>19368.560000000001</v>
      </c>
      <c r="O593" s="3">
        <v>1663.35</v>
      </c>
      <c r="P593" s="3">
        <v>2695.24</v>
      </c>
      <c r="Q593" s="3">
        <v>1935.8</v>
      </c>
      <c r="R593" s="3">
        <v>1102.3599999999999</v>
      </c>
      <c r="S593" s="3">
        <f>SUM(Table1[[#This Row],[Product_Cost]:[Other_Cost]])</f>
        <v>26765.31</v>
      </c>
      <c r="T593" s="3">
        <f>Table1[[#This Row],[Net_Sales]]-Table1[[#This Row],[Product_Cost]]</f>
        <v>16969.109999999997</v>
      </c>
      <c r="U593" s="3">
        <f>Table1[[#This Row],[Net_Sales]]-Table1[[#This Row],[Total_Cost]]</f>
        <v>9572.3599999999969</v>
      </c>
      <c r="V593" s="4">
        <f>Table1[[#This Row],[Net_Profit]]/Table1[[#This Row],[Net_Sales]]</f>
        <v>0.26342800735435151</v>
      </c>
      <c r="W593" t="s">
        <v>33</v>
      </c>
      <c r="X593" t="s">
        <v>546</v>
      </c>
      <c r="Y593">
        <v>5</v>
      </c>
      <c r="Z593" t="str">
        <f>IF(Table1[[#This Row],[Month_No]]&lt;=6, "H1","H2")</f>
        <v>H1</v>
      </c>
    </row>
    <row r="594" spans="1:26" x14ac:dyDescent="0.25">
      <c r="A594" s="2">
        <v>45808</v>
      </c>
      <c r="B594" t="s">
        <v>671</v>
      </c>
      <c r="C594" t="s">
        <v>55</v>
      </c>
      <c r="D594" t="s">
        <v>44</v>
      </c>
      <c r="E594" t="s">
        <v>45</v>
      </c>
      <c r="F594" t="s">
        <v>30</v>
      </c>
      <c r="G594" t="s">
        <v>31</v>
      </c>
      <c r="H594" t="s">
        <v>32</v>
      </c>
      <c r="I594">
        <v>118</v>
      </c>
      <c r="J594" s="3">
        <v>4278.6499999999996</v>
      </c>
      <c r="K594" s="3">
        <f>Table1[[#This Row],[Quantity]]*Table1[[#This Row],[Unit_Price]]</f>
        <v>504880.69999999995</v>
      </c>
      <c r="L594" s="3">
        <v>40881</v>
      </c>
      <c r="M594" s="3">
        <f>Table1[[#This Row],[Gross_Sales]]-Table1[[#This Row],[Discount]]</f>
        <v>463999.69999999995</v>
      </c>
      <c r="N594" s="3">
        <v>337803.85</v>
      </c>
      <c r="O594" s="3">
        <v>15170.89</v>
      </c>
      <c r="P594" s="3">
        <v>27386.21</v>
      </c>
      <c r="Q594" s="3">
        <v>20242.25</v>
      </c>
      <c r="R594" s="3">
        <v>11561.34</v>
      </c>
      <c r="S594" s="3">
        <f>SUM(Table1[[#This Row],[Product_Cost]:[Other_Cost]])</f>
        <v>412164.54000000004</v>
      </c>
      <c r="T594" s="3">
        <f>Table1[[#This Row],[Net_Sales]]-Table1[[#This Row],[Product_Cost]]</f>
        <v>126195.84999999998</v>
      </c>
      <c r="U594" s="3">
        <f>Table1[[#This Row],[Net_Sales]]-Table1[[#This Row],[Total_Cost]]</f>
        <v>51835.159999999916</v>
      </c>
      <c r="V594" s="4">
        <f>Table1[[#This Row],[Net_Profit]]/Table1[[#This Row],[Net_Sales]]</f>
        <v>0.11171377912528806</v>
      </c>
      <c r="W594" t="s">
        <v>33</v>
      </c>
      <c r="X594" t="s">
        <v>546</v>
      </c>
      <c r="Y594">
        <v>5</v>
      </c>
      <c r="Z594" t="str">
        <f>IF(Table1[[#This Row],[Month_No]]&lt;=6, "H1","H2")</f>
        <v>H1</v>
      </c>
    </row>
    <row r="595" spans="1:26" x14ac:dyDescent="0.25">
      <c r="A595" s="2">
        <v>45808</v>
      </c>
      <c r="B595" t="s">
        <v>672</v>
      </c>
      <c r="C595" t="s">
        <v>55</v>
      </c>
      <c r="D595" t="s">
        <v>85</v>
      </c>
      <c r="E595" t="s">
        <v>57</v>
      </c>
      <c r="F595" t="s">
        <v>52</v>
      </c>
      <c r="G595" t="s">
        <v>61</v>
      </c>
      <c r="H595" t="s">
        <v>41</v>
      </c>
      <c r="I595">
        <v>86</v>
      </c>
      <c r="J595" s="3">
        <v>1845.05</v>
      </c>
      <c r="K595" s="3">
        <f>Table1[[#This Row],[Quantity]]*Table1[[#This Row],[Unit_Price]]</f>
        <v>158674.29999999999</v>
      </c>
      <c r="L595" s="3">
        <v>15029.17</v>
      </c>
      <c r="M595" s="3">
        <f>Table1[[#This Row],[Gross_Sales]]-Table1[[#This Row],[Discount]]</f>
        <v>143645.12999999998</v>
      </c>
      <c r="N595" s="3">
        <v>103265.98</v>
      </c>
      <c r="O595" s="3">
        <v>3378.62</v>
      </c>
      <c r="P595" s="3">
        <v>9667.48</v>
      </c>
      <c r="Q595" s="3">
        <v>7734.43</v>
      </c>
      <c r="R595" s="3">
        <v>3268.18</v>
      </c>
      <c r="S595" s="3">
        <f>SUM(Table1[[#This Row],[Product_Cost]:[Other_Cost]])</f>
        <v>127314.68999999997</v>
      </c>
      <c r="T595" s="3">
        <f>Table1[[#This Row],[Net_Sales]]-Table1[[#This Row],[Product_Cost]]</f>
        <v>40379.14999999998</v>
      </c>
      <c r="U595" s="3">
        <f>Table1[[#This Row],[Net_Sales]]-Table1[[#This Row],[Total_Cost]]</f>
        <v>16330.440000000002</v>
      </c>
      <c r="V595" s="4">
        <f>Table1[[#This Row],[Net_Profit]]/Table1[[#This Row],[Net_Sales]]</f>
        <v>0.11368599826530844</v>
      </c>
      <c r="W595" t="s">
        <v>33</v>
      </c>
      <c r="X595" t="s">
        <v>546</v>
      </c>
      <c r="Y595">
        <v>5</v>
      </c>
      <c r="Z595" t="str">
        <f>IF(Table1[[#This Row],[Month_No]]&lt;=6, "H1","H2")</f>
        <v>H1</v>
      </c>
    </row>
    <row r="596" spans="1:26" x14ac:dyDescent="0.25">
      <c r="A596" s="2">
        <v>45808</v>
      </c>
      <c r="B596" t="s">
        <v>673</v>
      </c>
      <c r="C596" t="s">
        <v>117</v>
      </c>
      <c r="D596" t="s">
        <v>28</v>
      </c>
      <c r="E596" t="s">
        <v>29</v>
      </c>
      <c r="F596" t="s">
        <v>46</v>
      </c>
      <c r="G596" t="s">
        <v>31</v>
      </c>
      <c r="H596" t="s">
        <v>41</v>
      </c>
      <c r="I596">
        <v>36</v>
      </c>
      <c r="J596" s="3">
        <v>1168</v>
      </c>
      <c r="K596" s="3">
        <f>Table1[[#This Row],[Quantity]]*Table1[[#This Row],[Unit_Price]]</f>
        <v>42048</v>
      </c>
      <c r="L596" s="3">
        <v>3853.67</v>
      </c>
      <c r="M596" s="3">
        <f>Table1[[#This Row],[Gross_Sales]]-Table1[[#This Row],[Discount]]</f>
        <v>38194.33</v>
      </c>
      <c r="N596" s="3">
        <v>23333.27</v>
      </c>
      <c r="O596" s="3">
        <v>1130.3900000000001</v>
      </c>
      <c r="P596" s="3">
        <v>2260.29</v>
      </c>
      <c r="Q596" s="3">
        <v>1367.29</v>
      </c>
      <c r="R596" s="3">
        <v>827.52</v>
      </c>
      <c r="S596" s="3">
        <f>SUM(Table1[[#This Row],[Product_Cost]:[Other_Cost]])</f>
        <v>28918.760000000002</v>
      </c>
      <c r="T596" s="3">
        <f>Table1[[#This Row],[Net_Sales]]-Table1[[#This Row],[Product_Cost]]</f>
        <v>14861.060000000001</v>
      </c>
      <c r="U596" s="3">
        <f>Table1[[#This Row],[Net_Sales]]-Table1[[#This Row],[Total_Cost]]</f>
        <v>9275.57</v>
      </c>
      <c r="V596" s="4">
        <f>Table1[[#This Row],[Net_Profit]]/Table1[[#This Row],[Net_Sales]]</f>
        <v>0.24285201494567385</v>
      </c>
      <c r="W596" t="s">
        <v>72</v>
      </c>
      <c r="X596" t="s">
        <v>546</v>
      </c>
      <c r="Y596">
        <v>5</v>
      </c>
      <c r="Z596" t="str">
        <f>IF(Table1[[#This Row],[Month_No]]&lt;=6, "H1","H2")</f>
        <v>H1</v>
      </c>
    </row>
    <row r="597" spans="1:26" x14ac:dyDescent="0.25">
      <c r="A597" s="2">
        <v>45809</v>
      </c>
      <c r="B597" t="s">
        <v>674</v>
      </c>
      <c r="C597" t="s">
        <v>36</v>
      </c>
      <c r="D597" t="s">
        <v>44</v>
      </c>
      <c r="E597" t="s">
        <v>45</v>
      </c>
      <c r="F597" t="s">
        <v>52</v>
      </c>
      <c r="G597" t="s">
        <v>76</v>
      </c>
      <c r="H597" t="s">
        <v>41</v>
      </c>
      <c r="I597">
        <v>54</v>
      </c>
      <c r="J597" s="3">
        <v>4468.49</v>
      </c>
      <c r="K597" s="3">
        <f>Table1[[#This Row],[Quantity]]*Table1[[#This Row],[Unit_Price]]</f>
        <v>241298.46</v>
      </c>
      <c r="L597" s="3">
        <v>22607.78</v>
      </c>
      <c r="M597" s="3">
        <f>Table1[[#This Row],[Gross_Sales]]-Table1[[#This Row],[Discount]]</f>
        <v>218690.68</v>
      </c>
      <c r="N597" s="3">
        <v>152344.19</v>
      </c>
      <c r="O597" s="3">
        <v>6114.22</v>
      </c>
      <c r="P597" s="3">
        <v>14987.94</v>
      </c>
      <c r="Q597" s="3">
        <v>9201.8700000000008</v>
      </c>
      <c r="R597" s="3">
        <v>6774.66</v>
      </c>
      <c r="S597" s="3">
        <f>SUM(Table1[[#This Row],[Product_Cost]:[Other_Cost]])</f>
        <v>189422.88</v>
      </c>
      <c r="T597" s="3">
        <f>Table1[[#This Row],[Net_Sales]]-Table1[[#This Row],[Product_Cost]]</f>
        <v>66346.489999999991</v>
      </c>
      <c r="U597" s="3">
        <f>Table1[[#This Row],[Net_Sales]]-Table1[[#This Row],[Total_Cost]]</f>
        <v>29267.799999999988</v>
      </c>
      <c r="V597" s="4">
        <f>Table1[[#This Row],[Net_Profit]]/Table1[[#This Row],[Net_Sales]]</f>
        <v>0.13383194930849357</v>
      </c>
      <c r="W597" t="s">
        <v>33</v>
      </c>
      <c r="X597" t="s">
        <v>675</v>
      </c>
      <c r="Y597">
        <v>6</v>
      </c>
      <c r="Z597" t="str">
        <f>IF(Table1[[#This Row],[Month_No]]&lt;=6, "H1","H2")</f>
        <v>H1</v>
      </c>
    </row>
    <row r="598" spans="1:26" x14ac:dyDescent="0.25">
      <c r="A598" s="2">
        <v>45809</v>
      </c>
      <c r="B598" t="s">
        <v>676</v>
      </c>
      <c r="C598" t="s">
        <v>78</v>
      </c>
      <c r="D598" t="s">
        <v>68</v>
      </c>
      <c r="E598" t="s">
        <v>29</v>
      </c>
      <c r="F598" t="s">
        <v>30</v>
      </c>
      <c r="G598" t="s">
        <v>31</v>
      </c>
      <c r="H598" t="s">
        <v>41</v>
      </c>
      <c r="I598">
        <v>112</v>
      </c>
      <c r="J598" s="3">
        <v>379.12</v>
      </c>
      <c r="K598" s="3">
        <f>Table1[[#This Row],[Quantity]]*Table1[[#This Row],[Unit_Price]]</f>
        <v>42461.440000000002</v>
      </c>
      <c r="L598" s="3">
        <v>3992.03</v>
      </c>
      <c r="M598" s="3">
        <f>Table1[[#This Row],[Gross_Sales]]-Table1[[#This Row],[Discount]]</f>
        <v>38469.410000000003</v>
      </c>
      <c r="N598" s="3">
        <v>30792.33</v>
      </c>
      <c r="O598" s="3">
        <v>1414.14</v>
      </c>
      <c r="P598" s="3">
        <v>2815.25</v>
      </c>
      <c r="Q598" s="3">
        <v>1682.83</v>
      </c>
      <c r="R598" s="3">
        <v>920.24</v>
      </c>
      <c r="S598" s="3">
        <f>SUM(Table1[[#This Row],[Product_Cost]:[Other_Cost]])</f>
        <v>37624.79</v>
      </c>
      <c r="T598" s="3">
        <f>Table1[[#This Row],[Net_Sales]]-Table1[[#This Row],[Product_Cost]]</f>
        <v>7677.0800000000017</v>
      </c>
      <c r="U598" s="3">
        <f>Table1[[#This Row],[Net_Sales]]-Table1[[#This Row],[Total_Cost]]</f>
        <v>844.62000000000262</v>
      </c>
      <c r="V598" s="4">
        <f>Table1[[#This Row],[Net_Profit]]/Table1[[#This Row],[Net_Sales]]</f>
        <v>2.1955626561467996E-2</v>
      </c>
      <c r="W598" t="s">
        <v>72</v>
      </c>
      <c r="X598" t="s">
        <v>675</v>
      </c>
      <c r="Y598">
        <v>6</v>
      </c>
      <c r="Z598" t="str">
        <f>IF(Table1[[#This Row],[Month_No]]&lt;=6, "H1","H2")</f>
        <v>H1</v>
      </c>
    </row>
    <row r="599" spans="1:26" x14ac:dyDescent="0.25">
      <c r="A599" s="2">
        <v>45810</v>
      </c>
      <c r="B599" t="s">
        <v>677</v>
      </c>
      <c r="C599" t="s">
        <v>49</v>
      </c>
      <c r="D599" t="s">
        <v>66</v>
      </c>
      <c r="E599" t="s">
        <v>51</v>
      </c>
      <c r="F599" t="s">
        <v>52</v>
      </c>
      <c r="G599" t="s">
        <v>40</v>
      </c>
      <c r="H599" t="s">
        <v>41</v>
      </c>
      <c r="I599">
        <v>60</v>
      </c>
      <c r="J599" s="3">
        <v>1563.4</v>
      </c>
      <c r="K599" s="3">
        <f>Table1[[#This Row],[Quantity]]*Table1[[#This Row],[Unit_Price]]</f>
        <v>93804</v>
      </c>
      <c r="L599" s="3">
        <v>7900.3</v>
      </c>
      <c r="M599" s="3">
        <f>Table1[[#This Row],[Gross_Sales]]-Table1[[#This Row],[Discount]]</f>
        <v>85903.7</v>
      </c>
      <c r="N599" s="3">
        <v>47359.62</v>
      </c>
      <c r="O599" s="3">
        <v>2362.9699999999998</v>
      </c>
      <c r="P599" s="3">
        <v>4858.74</v>
      </c>
      <c r="Q599" s="3">
        <v>3753.2</v>
      </c>
      <c r="R599" s="3">
        <v>2207.89</v>
      </c>
      <c r="S599" s="3">
        <f>SUM(Table1[[#This Row],[Product_Cost]:[Other_Cost]])</f>
        <v>60542.42</v>
      </c>
      <c r="T599" s="3">
        <f>Table1[[#This Row],[Net_Sales]]-Table1[[#This Row],[Product_Cost]]</f>
        <v>38544.079999999994</v>
      </c>
      <c r="U599" s="3">
        <f>Table1[[#This Row],[Net_Sales]]-Table1[[#This Row],[Total_Cost]]</f>
        <v>25361.279999999999</v>
      </c>
      <c r="V599" s="4">
        <f>Table1[[#This Row],[Net_Profit]]/Table1[[#This Row],[Net_Sales]]</f>
        <v>0.2952291926890227</v>
      </c>
      <c r="W599" t="s">
        <v>33</v>
      </c>
      <c r="X599" t="s">
        <v>675</v>
      </c>
      <c r="Y599">
        <v>6</v>
      </c>
      <c r="Z599" t="str">
        <f>IF(Table1[[#This Row],[Month_No]]&lt;=6, "H1","H2")</f>
        <v>H1</v>
      </c>
    </row>
    <row r="600" spans="1:26" x14ac:dyDescent="0.25">
      <c r="A600" s="2">
        <v>45811</v>
      </c>
      <c r="B600" t="s">
        <v>678</v>
      </c>
      <c r="C600" t="s">
        <v>117</v>
      </c>
      <c r="D600" t="s">
        <v>68</v>
      </c>
      <c r="E600" t="s">
        <v>29</v>
      </c>
      <c r="F600" t="s">
        <v>30</v>
      </c>
      <c r="G600" t="s">
        <v>86</v>
      </c>
      <c r="H600" t="s">
        <v>59</v>
      </c>
      <c r="I600">
        <v>166</v>
      </c>
      <c r="J600" s="3">
        <v>374.97</v>
      </c>
      <c r="K600" s="3">
        <f>Table1[[#This Row],[Quantity]]*Table1[[#This Row],[Unit_Price]]</f>
        <v>62245.020000000004</v>
      </c>
      <c r="L600" s="3">
        <v>3559.98</v>
      </c>
      <c r="M600" s="3">
        <f>Table1[[#This Row],[Gross_Sales]]-Table1[[#This Row],[Discount]]</f>
        <v>58685.04</v>
      </c>
      <c r="N600" s="3">
        <v>44537.15</v>
      </c>
      <c r="O600" s="3">
        <v>2270.62</v>
      </c>
      <c r="P600" s="3">
        <v>3629.56</v>
      </c>
      <c r="Q600" s="3">
        <v>3063.28</v>
      </c>
      <c r="R600" s="3">
        <v>1680.02</v>
      </c>
      <c r="S600" s="3">
        <f>SUM(Table1[[#This Row],[Product_Cost]:[Other_Cost]])</f>
        <v>55180.63</v>
      </c>
      <c r="T600" s="3">
        <f>Table1[[#This Row],[Net_Sales]]-Table1[[#This Row],[Product_Cost]]</f>
        <v>14147.89</v>
      </c>
      <c r="U600" s="3">
        <f>Table1[[#This Row],[Net_Sales]]-Table1[[#This Row],[Total_Cost]]</f>
        <v>3504.4100000000035</v>
      </c>
      <c r="V600" s="4">
        <f>Table1[[#This Row],[Net_Profit]]/Table1[[#This Row],[Net_Sales]]</f>
        <v>5.9715559536127151E-2</v>
      </c>
      <c r="W600" t="s">
        <v>33</v>
      </c>
      <c r="X600" t="s">
        <v>675</v>
      </c>
      <c r="Y600">
        <v>6</v>
      </c>
      <c r="Z600" t="str">
        <f>IF(Table1[[#This Row],[Month_No]]&lt;=6, "H1","H2")</f>
        <v>H1</v>
      </c>
    </row>
    <row r="601" spans="1:26" x14ac:dyDescent="0.25">
      <c r="A601" s="2">
        <v>45811</v>
      </c>
      <c r="B601" t="s">
        <v>679</v>
      </c>
      <c r="C601" t="s">
        <v>83</v>
      </c>
      <c r="D601" t="s">
        <v>68</v>
      </c>
      <c r="E601" t="s">
        <v>29</v>
      </c>
      <c r="F601" t="s">
        <v>52</v>
      </c>
      <c r="G601" t="s">
        <v>58</v>
      </c>
      <c r="H601" t="s">
        <v>41</v>
      </c>
      <c r="I601">
        <v>118</v>
      </c>
      <c r="J601" s="3">
        <v>365.62</v>
      </c>
      <c r="K601" s="3">
        <f>Table1[[#This Row],[Quantity]]*Table1[[#This Row],[Unit_Price]]</f>
        <v>43143.16</v>
      </c>
      <c r="L601" s="3">
        <v>2937.51</v>
      </c>
      <c r="M601" s="3">
        <f>Table1[[#This Row],[Gross_Sales]]-Table1[[#This Row],[Discount]]</f>
        <v>40205.65</v>
      </c>
      <c r="N601" s="3">
        <v>32501.54</v>
      </c>
      <c r="O601" s="3">
        <v>951.54</v>
      </c>
      <c r="P601" s="3">
        <v>2876.33</v>
      </c>
      <c r="Q601" s="3">
        <v>1413.87</v>
      </c>
      <c r="R601" s="3">
        <v>1040.58</v>
      </c>
      <c r="S601" s="3">
        <f>SUM(Table1[[#This Row],[Product_Cost]:[Other_Cost]])</f>
        <v>38783.860000000008</v>
      </c>
      <c r="T601" s="3">
        <f>Table1[[#This Row],[Net_Sales]]-Table1[[#This Row],[Product_Cost]]</f>
        <v>7704.1100000000006</v>
      </c>
      <c r="U601" s="3">
        <f>Table1[[#This Row],[Net_Sales]]-Table1[[#This Row],[Total_Cost]]</f>
        <v>1421.7899999999936</v>
      </c>
      <c r="V601" s="4">
        <f>Table1[[#This Row],[Net_Profit]]/Table1[[#This Row],[Net_Sales]]</f>
        <v>3.5362940283268487E-2</v>
      </c>
      <c r="W601" t="s">
        <v>33</v>
      </c>
      <c r="X601" t="s">
        <v>675</v>
      </c>
      <c r="Y601">
        <v>6</v>
      </c>
      <c r="Z601" t="str">
        <f>IF(Table1[[#This Row],[Month_No]]&lt;=6, "H1","H2")</f>
        <v>H1</v>
      </c>
    </row>
    <row r="602" spans="1:26" x14ac:dyDescent="0.25">
      <c r="A602" s="2">
        <v>45811</v>
      </c>
      <c r="B602" t="s">
        <v>680</v>
      </c>
      <c r="C602" t="s">
        <v>83</v>
      </c>
      <c r="D602" t="s">
        <v>44</v>
      </c>
      <c r="E602" t="s">
        <v>45</v>
      </c>
      <c r="F602" t="s">
        <v>52</v>
      </c>
      <c r="G602" t="s">
        <v>76</v>
      </c>
      <c r="H602" t="s">
        <v>41</v>
      </c>
      <c r="I602">
        <v>50</v>
      </c>
      <c r="J602" s="3">
        <v>4543.21</v>
      </c>
      <c r="K602" s="3">
        <f>Table1[[#This Row],[Quantity]]*Table1[[#This Row],[Unit_Price]]</f>
        <v>227160.5</v>
      </c>
      <c r="L602" s="3">
        <v>19214.98</v>
      </c>
      <c r="M602" s="3">
        <f>Table1[[#This Row],[Gross_Sales]]-Table1[[#This Row],[Discount]]</f>
        <v>207945.52</v>
      </c>
      <c r="N602" s="3">
        <v>146057.37</v>
      </c>
      <c r="O602" s="3">
        <v>5487.49</v>
      </c>
      <c r="P602" s="3">
        <v>14416.99</v>
      </c>
      <c r="Q602" s="3">
        <v>8688.19</v>
      </c>
      <c r="R602" s="3">
        <v>4979.6899999999996</v>
      </c>
      <c r="S602" s="3">
        <f>SUM(Table1[[#This Row],[Product_Cost]:[Other_Cost]])</f>
        <v>179629.72999999998</v>
      </c>
      <c r="T602" s="3">
        <f>Table1[[#This Row],[Net_Sales]]-Table1[[#This Row],[Product_Cost]]</f>
        <v>61888.149999999994</v>
      </c>
      <c r="U602" s="3">
        <f>Table1[[#This Row],[Net_Sales]]-Table1[[#This Row],[Total_Cost]]</f>
        <v>28315.790000000008</v>
      </c>
      <c r="V602" s="4">
        <f>Table1[[#This Row],[Net_Profit]]/Table1[[#This Row],[Net_Sales]]</f>
        <v>0.13616927164384215</v>
      </c>
      <c r="W602" t="s">
        <v>33</v>
      </c>
      <c r="X602" t="s">
        <v>675</v>
      </c>
      <c r="Y602">
        <v>6</v>
      </c>
      <c r="Z602" t="str">
        <f>IF(Table1[[#This Row],[Month_No]]&lt;=6, "H1","H2")</f>
        <v>H1</v>
      </c>
    </row>
    <row r="603" spans="1:26" x14ac:dyDescent="0.25">
      <c r="A603" s="2">
        <v>45811</v>
      </c>
      <c r="B603" t="s">
        <v>681</v>
      </c>
      <c r="C603" t="s">
        <v>49</v>
      </c>
      <c r="D603" t="s">
        <v>100</v>
      </c>
      <c r="E603" t="s">
        <v>75</v>
      </c>
      <c r="F603" t="s">
        <v>39</v>
      </c>
      <c r="G603" t="s">
        <v>86</v>
      </c>
      <c r="H603" t="s">
        <v>41</v>
      </c>
      <c r="I603">
        <v>69</v>
      </c>
      <c r="J603" s="3">
        <v>7233.44</v>
      </c>
      <c r="K603" s="3">
        <f>Table1[[#This Row],[Quantity]]*Table1[[#This Row],[Unit_Price]]</f>
        <v>499107.36</v>
      </c>
      <c r="L603" s="3">
        <v>33464.04</v>
      </c>
      <c r="M603" s="3">
        <f>Table1[[#This Row],[Gross_Sales]]-Table1[[#This Row],[Discount]]</f>
        <v>465643.32</v>
      </c>
      <c r="N603" s="3">
        <v>278257.69</v>
      </c>
      <c r="O603" s="3">
        <v>19224.349999999999</v>
      </c>
      <c r="P603" s="3">
        <v>32434.03</v>
      </c>
      <c r="Q603" s="3">
        <v>23151.200000000001</v>
      </c>
      <c r="R603" s="3">
        <v>13801.38</v>
      </c>
      <c r="S603" s="3">
        <f>SUM(Table1[[#This Row],[Product_Cost]:[Other_Cost]])</f>
        <v>366868.64999999997</v>
      </c>
      <c r="T603" s="3">
        <f>Table1[[#This Row],[Net_Sales]]-Table1[[#This Row],[Product_Cost]]</f>
        <v>187385.63</v>
      </c>
      <c r="U603" s="3">
        <f>Table1[[#This Row],[Net_Sales]]-Table1[[#This Row],[Total_Cost]]</f>
        <v>98774.670000000042</v>
      </c>
      <c r="V603" s="4">
        <f>Table1[[#This Row],[Net_Profit]]/Table1[[#This Row],[Net_Sales]]</f>
        <v>0.21212517340525799</v>
      </c>
      <c r="W603" t="s">
        <v>33</v>
      </c>
      <c r="X603" t="s">
        <v>675</v>
      </c>
      <c r="Y603">
        <v>6</v>
      </c>
      <c r="Z603" t="str">
        <f>IF(Table1[[#This Row],[Month_No]]&lt;=6, "H1","H2")</f>
        <v>H1</v>
      </c>
    </row>
    <row r="604" spans="1:26" x14ac:dyDescent="0.25">
      <c r="A604" s="2">
        <v>45812</v>
      </c>
      <c r="B604" t="s">
        <v>682</v>
      </c>
      <c r="C604" t="s">
        <v>98</v>
      </c>
      <c r="D604" t="s">
        <v>68</v>
      </c>
      <c r="E604" t="s">
        <v>29</v>
      </c>
      <c r="F604" t="s">
        <v>46</v>
      </c>
      <c r="G604" t="s">
        <v>86</v>
      </c>
      <c r="H604" t="s">
        <v>47</v>
      </c>
      <c r="I604">
        <v>139</v>
      </c>
      <c r="J604" s="3">
        <v>380.88</v>
      </c>
      <c r="K604" s="3">
        <f>Table1[[#This Row],[Quantity]]*Table1[[#This Row],[Unit_Price]]</f>
        <v>52942.32</v>
      </c>
      <c r="L604" s="3">
        <v>3353.54</v>
      </c>
      <c r="M604" s="3">
        <f>Table1[[#This Row],[Gross_Sales]]-Table1[[#This Row],[Discount]]</f>
        <v>49588.78</v>
      </c>
      <c r="N604" s="3">
        <v>38779.4</v>
      </c>
      <c r="O604" s="3">
        <v>1414.59</v>
      </c>
      <c r="P604" s="3">
        <v>3341.44</v>
      </c>
      <c r="Q604" s="3">
        <v>1865.48</v>
      </c>
      <c r="R604" s="3">
        <v>1211.5</v>
      </c>
      <c r="S604" s="3">
        <f>SUM(Table1[[#This Row],[Product_Cost]:[Other_Cost]])</f>
        <v>46612.41</v>
      </c>
      <c r="T604" s="3">
        <f>Table1[[#This Row],[Net_Sales]]-Table1[[#This Row],[Product_Cost]]</f>
        <v>10809.379999999997</v>
      </c>
      <c r="U604" s="3">
        <f>Table1[[#This Row],[Net_Sales]]-Table1[[#This Row],[Total_Cost]]</f>
        <v>2976.3699999999953</v>
      </c>
      <c r="V604" s="4">
        <f>Table1[[#This Row],[Net_Profit]]/Table1[[#This Row],[Net_Sales]]</f>
        <v>6.0021037016841215E-2</v>
      </c>
      <c r="W604" t="s">
        <v>33</v>
      </c>
      <c r="X604" t="s">
        <v>675</v>
      </c>
      <c r="Y604">
        <v>6</v>
      </c>
      <c r="Z604" t="str">
        <f>IF(Table1[[#This Row],[Month_No]]&lt;=6, "H1","H2")</f>
        <v>H1</v>
      </c>
    </row>
    <row r="605" spans="1:26" x14ac:dyDescent="0.25">
      <c r="A605" s="2">
        <v>45812</v>
      </c>
      <c r="B605" t="s">
        <v>683</v>
      </c>
      <c r="C605" t="s">
        <v>117</v>
      </c>
      <c r="D605" t="s">
        <v>85</v>
      </c>
      <c r="E605" t="s">
        <v>57</v>
      </c>
      <c r="F605" t="s">
        <v>52</v>
      </c>
      <c r="G605" t="s">
        <v>71</v>
      </c>
      <c r="H605" t="s">
        <v>47</v>
      </c>
      <c r="I605">
        <v>88</v>
      </c>
      <c r="J605" s="3">
        <v>1867.69</v>
      </c>
      <c r="K605" s="3">
        <f>Table1[[#This Row],[Quantity]]*Table1[[#This Row],[Unit_Price]]</f>
        <v>164356.72</v>
      </c>
      <c r="L605" s="3">
        <v>12407.46</v>
      </c>
      <c r="M605" s="3">
        <f>Table1[[#This Row],[Gross_Sales]]-Table1[[#This Row],[Discount]]</f>
        <v>151949.26</v>
      </c>
      <c r="N605" s="3">
        <v>105961.01</v>
      </c>
      <c r="O605" s="3">
        <v>4297.63</v>
      </c>
      <c r="P605" s="3">
        <v>9443.33</v>
      </c>
      <c r="Q605" s="3">
        <v>5633.56</v>
      </c>
      <c r="R605" s="3">
        <v>4400.66</v>
      </c>
      <c r="S605" s="3">
        <f>SUM(Table1[[#This Row],[Product_Cost]:[Other_Cost]])</f>
        <v>129736.19</v>
      </c>
      <c r="T605" s="3">
        <f>Table1[[#This Row],[Net_Sales]]-Table1[[#This Row],[Product_Cost]]</f>
        <v>45988.250000000015</v>
      </c>
      <c r="U605" s="3">
        <f>Table1[[#This Row],[Net_Sales]]-Table1[[#This Row],[Total_Cost]]</f>
        <v>22213.070000000007</v>
      </c>
      <c r="V605" s="4">
        <f>Table1[[#This Row],[Net_Profit]]/Table1[[#This Row],[Net_Sales]]</f>
        <v>0.14618741808943331</v>
      </c>
      <c r="W605" t="s">
        <v>33</v>
      </c>
      <c r="X605" t="s">
        <v>675</v>
      </c>
      <c r="Y605">
        <v>6</v>
      </c>
      <c r="Z605" t="str">
        <f>IF(Table1[[#This Row],[Month_No]]&lt;=6, "H1","H2")</f>
        <v>H1</v>
      </c>
    </row>
    <row r="606" spans="1:26" x14ac:dyDescent="0.25">
      <c r="A606" s="2">
        <v>45812</v>
      </c>
      <c r="B606" t="s">
        <v>684</v>
      </c>
      <c r="C606" t="s">
        <v>63</v>
      </c>
      <c r="D606" t="s">
        <v>37</v>
      </c>
      <c r="E606" t="s">
        <v>38</v>
      </c>
      <c r="F606" t="s">
        <v>46</v>
      </c>
      <c r="G606" t="s">
        <v>64</v>
      </c>
      <c r="H606" t="s">
        <v>59</v>
      </c>
      <c r="I606">
        <v>106</v>
      </c>
      <c r="J606" s="3">
        <v>4649.29</v>
      </c>
      <c r="K606" s="3">
        <f>Table1[[#This Row],[Quantity]]*Table1[[#This Row],[Unit_Price]]</f>
        <v>492824.74</v>
      </c>
      <c r="L606" s="3">
        <v>41599.93</v>
      </c>
      <c r="M606" s="3">
        <f>Table1[[#This Row],[Gross_Sales]]-Table1[[#This Row],[Discount]]</f>
        <v>451224.81</v>
      </c>
      <c r="N606" s="3">
        <v>337781.82</v>
      </c>
      <c r="O606" s="3">
        <v>13896.2</v>
      </c>
      <c r="P606" s="3">
        <v>31647.83</v>
      </c>
      <c r="Q606" s="3">
        <v>21525.360000000001</v>
      </c>
      <c r="R606" s="3">
        <v>11630.87</v>
      </c>
      <c r="S606" s="3">
        <f>SUM(Table1[[#This Row],[Product_Cost]:[Other_Cost]])</f>
        <v>416482.08</v>
      </c>
      <c r="T606" s="3">
        <f>Table1[[#This Row],[Net_Sales]]-Table1[[#This Row],[Product_Cost]]</f>
        <v>113442.98999999999</v>
      </c>
      <c r="U606" s="3">
        <f>Table1[[#This Row],[Net_Sales]]-Table1[[#This Row],[Total_Cost]]</f>
        <v>34742.729999999981</v>
      </c>
      <c r="V606" s="4">
        <f>Table1[[#This Row],[Net_Profit]]/Table1[[#This Row],[Net_Sales]]</f>
        <v>7.6996497599500308E-2</v>
      </c>
      <c r="W606" t="s">
        <v>33</v>
      </c>
      <c r="X606" t="s">
        <v>675</v>
      </c>
      <c r="Y606">
        <v>6</v>
      </c>
      <c r="Z606" t="str">
        <f>IF(Table1[[#This Row],[Month_No]]&lt;=6, "H1","H2")</f>
        <v>H1</v>
      </c>
    </row>
    <row r="607" spans="1:26" x14ac:dyDescent="0.25">
      <c r="A607" s="2">
        <v>45813</v>
      </c>
      <c r="B607" t="s">
        <v>685</v>
      </c>
      <c r="C607" t="s">
        <v>36</v>
      </c>
      <c r="D607" t="s">
        <v>44</v>
      </c>
      <c r="E607" t="s">
        <v>45</v>
      </c>
      <c r="F607" t="s">
        <v>46</v>
      </c>
      <c r="G607" t="s">
        <v>31</v>
      </c>
      <c r="H607" t="s">
        <v>47</v>
      </c>
      <c r="I607">
        <v>40</v>
      </c>
      <c r="J607" s="3">
        <v>4583.07</v>
      </c>
      <c r="K607" s="3">
        <f>Table1[[#This Row],[Quantity]]*Table1[[#This Row],[Unit_Price]]</f>
        <v>183322.8</v>
      </c>
      <c r="L607" s="3">
        <v>13980.93</v>
      </c>
      <c r="M607" s="3">
        <f>Table1[[#This Row],[Gross_Sales]]-Table1[[#This Row],[Discount]]</f>
        <v>169341.87</v>
      </c>
      <c r="N607" s="3">
        <v>121486.91</v>
      </c>
      <c r="O607" s="3">
        <v>5023.05</v>
      </c>
      <c r="P607" s="3">
        <v>12094.96</v>
      </c>
      <c r="Q607" s="3">
        <v>9195.2999999999993</v>
      </c>
      <c r="R607" s="3">
        <v>5076.01</v>
      </c>
      <c r="S607" s="3">
        <f>SUM(Table1[[#This Row],[Product_Cost]:[Other_Cost]])</f>
        <v>152876.23000000001</v>
      </c>
      <c r="T607" s="3">
        <f>Table1[[#This Row],[Net_Sales]]-Table1[[#This Row],[Product_Cost]]</f>
        <v>47854.959999999992</v>
      </c>
      <c r="U607" s="3">
        <f>Table1[[#This Row],[Net_Sales]]-Table1[[#This Row],[Total_Cost]]</f>
        <v>16465.639999999985</v>
      </c>
      <c r="V607" s="4">
        <f>Table1[[#This Row],[Net_Profit]]/Table1[[#This Row],[Net_Sales]]</f>
        <v>9.7233129644782978E-2</v>
      </c>
      <c r="W607" t="s">
        <v>33</v>
      </c>
      <c r="X607" t="s">
        <v>675</v>
      </c>
      <c r="Y607">
        <v>6</v>
      </c>
      <c r="Z607" t="str">
        <f>IF(Table1[[#This Row],[Month_No]]&lt;=6, "H1","H2")</f>
        <v>H1</v>
      </c>
    </row>
    <row r="608" spans="1:26" x14ac:dyDescent="0.25">
      <c r="A608" s="2">
        <v>45813</v>
      </c>
      <c r="B608" t="s">
        <v>686</v>
      </c>
      <c r="C608" t="s">
        <v>83</v>
      </c>
      <c r="D608" t="s">
        <v>85</v>
      </c>
      <c r="E608" t="s">
        <v>57</v>
      </c>
      <c r="F608" t="s">
        <v>30</v>
      </c>
      <c r="G608" t="s">
        <v>86</v>
      </c>
      <c r="H608" t="s">
        <v>59</v>
      </c>
      <c r="I608">
        <v>52</v>
      </c>
      <c r="J608" s="3">
        <v>1900.33</v>
      </c>
      <c r="K608" s="3">
        <f>Table1[[#This Row],[Quantity]]*Table1[[#This Row],[Unit_Price]]</f>
        <v>98817.16</v>
      </c>
      <c r="L608" s="3">
        <v>6676.16</v>
      </c>
      <c r="M608" s="3">
        <f>Table1[[#This Row],[Gross_Sales]]-Table1[[#This Row],[Discount]]</f>
        <v>92141</v>
      </c>
      <c r="N608" s="3">
        <v>64862.879999999997</v>
      </c>
      <c r="O608" s="3">
        <v>3647.09</v>
      </c>
      <c r="P608" s="3">
        <v>5960.67</v>
      </c>
      <c r="Q608" s="3">
        <v>4442.16</v>
      </c>
      <c r="R608" s="3">
        <v>2168.7800000000002</v>
      </c>
      <c r="S608" s="3">
        <f>SUM(Table1[[#This Row],[Product_Cost]:[Other_Cost]])</f>
        <v>81081.58</v>
      </c>
      <c r="T608" s="3">
        <f>Table1[[#This Row],[Net_Sales]]-Table1[[#This Row],[Product_Cost]]</f>
        <v>27278.120000000003</v>
      </c>
      <c r="U608" s="3">
        <f>Table1[[#This Row],[Net_Sales]]-Table1[[#This Row],[Total_Cost]]</f>
        <v>11059.419999999998</v>
      </c>
      <c r="V608" s="4">
        <f>Table1[[#This Row],[Net_Profit]]/Table1[[#This Row],[Net_Sales]]</f>
        <v>0.12002713232979888</v>
      </c>
      <c r="W608" t="s">
        <v>33</v>
      </c>
      <c r="X608" t="s">
        <v>675</v>
      </c>
      <c r="Y608">
        <v>6</v>
      </c>
      <c r="Z608" t="str">
        <f>IF(Table1[[#This Row],[Month_No]]&lt;=6, "H1","H2")</f>
        <v>H1</v>
      </c>
    </row>
    <row r="609" spans="1:26" x14ac:dyDescent="0.25">
      <c r="A609" s="2">
        <v>45813</v>
      </c>
      <c r="B609" t="s">
        <v>687</v>
      </c>
      <c r="C609" t="s">
        <v>27</v>
      </c>
      <c r="D609" t="s">
        <v>68</v>
      </c>
      <c r="E609" t="s">
        <v>29</v>
      </c>
      <c r="F609" t="s">
        <v>30</v>
      </c>
      <c r="G609" t="s">
        <v>86</v>
      </c>
      <c r="H609" t="s">
        <v>59</v>
      </c>
      <c r="I609">
        <v>132</v>
      </c>
      <c r="J609" s="3">
        <v>388.29</v>
      </c>
      <c r="K609" s="3">
        <f>Table1[[#This Row],[Quantity]]*Table1[[#This Row],[Unit_Price]]</f>
        <v>51254.280000000006</v>
      </c>
      <c r="L609" s="3">
        <v>3982.89</v>
      </c>
      <c r="M609" s="3">
        <f>Table1[[#This Row],[Gross_Sales]]-Table1[[#This Row],[Discount]]</f>
        <v>47271.390000000007</v>
      </c>
      <c r="N609" s="3">
        <v>37226.07</v>
      </c>
      <c r="O609" s="3">
        <v>1559.53</v>
      </c>
      <c r="P609" s="3">
        <v>2667.25</v>
      </c>
      <c r="Q609" s="3">
        <v>1872.06</v>
      </c>
      <c r="R609" s="3">
        <v>1435.52</v>
      </c>
      <c r="S609" s="3">
        <f>SUM(Table1[[#This Row],[Product_Cost]:[Other_Cost]])</f>
        <v>44760.429999999993</v>
      </c>
      <c r="T609" s="3">
        <f>Table1[[#This Row],[Net_Sales]]-Table1[[#This Row],[Product_Cost]]</f>
        <v>10045.320000000007</v>
      </c>
      <c r="U609" s="3">
        <f>Table1[[#This Row],[Net_Sales]]-Table1[[#This Row],[Total_Cost]]</f>
        <v>2510.9600000000137</v>
      </c>
      <c r="V609" s="4">
        <f>Table1[[#This Row],[Net_Profit]]/Table1[[#This Row],[Net_Sales]]</f>
        <v>5.3117964163948074E-2</v>
      </c>
      <c r="W609" t="s">
        <v>33</v>
      </c>
      <c r="X609" t="s">
        <v>675</v>
      </c>
      <c r="Y609">
        <v>6</v>
      </c>
      <c r="Z609" t="str">
        <f>IF(Table1[[#This Row],[Month_No]]&lt;=6, "H1","H2")</f>
        <v>H1</v>
      </c>
    </row>
    <row r="610" spans="1:26" x14ac:dyDescent="0.25">
      <c r="A610" s="2">
        <v>45813</v>
      </c>
      <c r="B610" t="s">
        <v>688</v>
      </c>
      <c r="C610" t="s">
        <v>36</v>
      </c>
      <c r="D610" t="s">
        <v>50</v>
      </c>
      <c r="E610" t="s">
        <v>51</v>
      </c>
      <c r="F610" t="s">
        <v>46</v>
      </c>
      <c r="G610" t="s">
        <v>64</v>
      </c>
      <c r="H610" t="s">
        <v>41</v>
      </c>
      <c r="I610">
        <v>86</v>
      </c>
      <c r="J610" s="3">
        <v>894.33</v>
      </c>
      <c r="K610" s="3">
        <f>Table1[[#This Row],[Quantity]]*Table1[[#This Row],[Unit_Price]]</f>
        <v>76912.38</v>
      </c>
      <c r="L610" s="3">
        <v>6446.61</v>
      </c>
      <c r="M610" s="3">
        <f>Table1[[#This Row],[Gross_Sales]]-Table1[[#This Row],[Discount]]</f>
        <v>70465.77</v>
      </c>
      <c r="N610" s="3">
        <v>46421.48</v>
      </c>
      <c r="O610" s="3">
        <v>2174.96</v>
      </c>
      <c r="P610" s="3">
        <v>3991.35</v>
      </c>
      <c r="Q610" s="3">
        <v>3776.36</v>
      </c>
      <c r="R610" s="3">
        <v>2186.65</v>
      </c>
      <c r="S610" s="3">
        <f>SUM(Table1[[#This Row],[Product_Cost]:[Other_Cost]])</f>
        <v>58550.8</v>
      </c>
      <c r="T610" s="3">
        <f>Table1[[#This Row],[Net_Sales]]-Table1[[#This Row],[Product_Cost]]</f>
        <v>24044.29</v>
      </c>
      <c r="U610" s="3">
        <f>Table1[[#This Row],[Net_Sales]]-Table1[[#This Row],[Total_Cost]]</f>
        <v>11914.970000000001</v>
      </c>
      <c r="V610" s="4">
        <f>Table1[[#This Row],[Net_Profit]]/Table1[[#This Row],[Net_Sales]]</f>
        <v>0.16908876465835823</v>
      </c>
      <c r="W610" t="s">
        <v>33</v>
      </c>
      <c r="X610" t="s">
        <v>675</v>
      </c>
      <c r="Y610">
        <v>6</v>
      </c>
      <c r="Z610" t="str">
        <f>IF(Table1[[#This Row],[Month_No]]&lt;=6, "H1","H2")</f>
        <v>H1</v>
      </c>
    </row>
    <row r="611" spans="1:26" x14ac:dyDescent="0.25">
      <c r="A611" s="2">
        <v>45813</v>
      </c>
      <c r="B611" t="s">
        <v>689</v>
      </c>
      <c r="C611" t="s">
        <v>27</v>
      </c>
      <c r="D611" t="s">
        <v>68</v>
      </c>
      <c r="E611" t="s">
        <v>29</v>
      </c>
      <c r="F611" t="s">
        <v>52</v>
      </c>
      <c r="G611" t="s">
        <v>86</v>
      </c>
      <c r="H611" t="s">
        <v>41</v>
      </c>
      <c r="I611">
        <v>127</v>
      </c>
      <c r="J611" s="3">
        <v>384.58</v>
      </c>
      <c r="K611" s="3">
        <f>Table1[[#This Row],[Quantity]]*Table1[[#This Row],[Unit_Price]]</f>
        <v>48841.659999999996</v>
      </c>
      <c r="L611" s="3">
        <v>4170.09</v>
      </c>
      <c r="M611" s="3">
        <f>Table1[[#This Row],[Gross_Sales]]-Table1[[#This Row],[Discount]]</f>
        <v>44671.569999999992</v>
      </c>
      <c r="N611" s="3">
        <v>36090.300000000003</v>
      </c>
      <c r="O611" s="3">
        <v>1152.3699999999999</v>
      </c>
      <c r="P611" s="3">
        <v>3156.49</v>
      </c>
      <c r="Q611" s="3">
        <v>1921.33</v>
      </c>
      <c r="R611" s="3">
        <v>1221.49</v>
      </c>
      <c r="S611" s="3">
        <f>SUM(Table1[[#This Row],[Product_Cost]:[Other_Cost]])</f>
        <v>43541.98</v>
      </c>
      <c r="T611" s="3">
        <f>Table1[[#This Row],[Net_Sales]]-Table1[[#This Row],[Product_Cost]]</f>
        <v>8581.2699999999895</v>
      </c>
      <c r="U611" s="3">
        <f>Table1[[#This Row],[Net_Sales]]-Table1[[#This Row],[Total_Cost]]</f>
        <v>1129.5899999999892</v>
      </c>
      <c r="V611" s="4">
        <f>Table1[[#This Row],[Net_Profit]]/Table1[[#This Row],[Net_Sales]]</f>
        <v>2.528655249860234E-2</v>
      </c>
      <c r="W611" t="s">
        <v>33</v>
      </c>
      <c r="X611" t="s">
        <v>675</v>
      </c>
      <c r="Y611">
        <v>6</v>
      </c>
      <c r="Z611" t="str">
        <f>IF(Table1[[#This Row],[Month_No]]&lt;=6, "H1","H2")</f>
        <v>H1</v>
      </c>
    </row>
    <row r="612" spans="1:26" x14ac:dyDescent="0.25">
      <c r="A612" s="2">
        <v>45813</v>
      </c>
      <c r="B612" t="s">
        <v>690</v>
      </c>
      <c r="C612" t="s">
        <v>83</v>
      </c>
      <c r="D612" t="s">
        <v>37</v>
      </c>
      <c r="E612" t="s">
        <v>38</v>
      </c>
      <c r="F612" t="s">
        <v>30</v>
      </c>
      <c r="G612" t="s">
        <v>58</v>
      </c>
      <c r="H612" t="s">
        <v>32</v>
      </c>
      <c r="I612">
        <v>78</v>
      </c>
      <c r="J612" s="3">
        <v>4566.8599999999997</v>
      </c>
      <c r="K612" s="3">
        <f>Table1[[#This Row],[Quantity]]*Table1[[#This Row],[Unit_Price]]</f>
        <v>356215.07999999996</v>
      </c>
      <c r="L612" s="3">
        <v>26561.67</v>
      </c>
      <c r="M612" s="3">
        <f>Table1[[#This Row],[Gross_Sales]]-Table1[[#This Row],[Discount]]</f>
        <v>329653.40999999997</v>
      </c>
      <c r="N612" s="3">
        <v>232828.57</v>
      </c>
      <c r="O612" s="3">
        <v>11504.93</v>
      </c>
      <c r="P612" s="3">
        <v>21833.22</v>
      </c>
      <c r="Q612" s="3">
        <v>14706.82</v>
      </c>
      <c r="R612" s="3">
        <v>7475.22</v>
      </c>
      <c r="S612" s="3">
        <f>SUM(Table1[[#This Row],[Product_Cost]:[Other_Cost]])</f>
        <v>288348.75999999995</v>
      </c>
      <c r="T612" s="3">
        <f>Table1[[#This Row],[Net_Sales]]-Table1[[#This Row],[Product_Cost]]</f>
        <v>96824.839999999967</v>
      </c>
      <c r="U612" s="3">
        <f>Table1[[#This Row],[Net_Sales]]-Table1[[#This Row],[Total_Cost]]</f>
        <v>41304.650000000023</v>
      </c>
      <c r="V612" s="4">
        <f>Table1[[#This Row],[Net_Profit]]/Table1[[#This Row],[Net_Sales]]</f>
        <v>0.12529720229498012</v>
      </c>
      <c r="W612" t="s">
        <v>33</v>
      </c>
      <c r="X612" t="s">
        <v>675</v>
      </c>
      <c r="Y612">
        <v>6</v>
      </c>
      <c r="Z612" t="str">
        <f>IF(Table1[[#This Row],[Month_No]]&lt;=6, "H1","H2")</f>
        <v>H1</v>
      </c>
    </row>
    <row r="613" spans="1:26" x14ac:dyDescent="0.25">
      <c r="A613" s="2">
        <v>45813</v>
      </c>
      <c r="B613" t="s">
        <v>691</v>
      </c>
      <c r="C613" t="s">
        <v>43</v>
      </c>
      <c r="D613" t="s">
        <v>50</v>
      </c>
      <c r="E613" t="s">
        <v>51</v>
      </c>
      <c r="F613" t="s">
        <v>52</v>
      </c>
      <c r="G613" t="s">
        <v>40</v>
      </c>
      <c r="H613" t="s">
        <v>32</v>
      </c>
      <c r="I613">
        <v>102</v>
      </c>
      <c r="J613" s="3">
        <v>833.84</v>
      </c>
      <c r="K613" s="3">
        <f>Table1[[#This Row],[Quantity]]*Table1[[#This Row],[Unit_Price]]</f>
        <v>85051.680000000008</v>
      </c>
      <c r="L613" s="3">
        <v>7458.23</v>
      </c>
      <c r="M613" s="3">
        <f>Table1[[#This Row],[Gross_Sales]]-Table1[[#This Row],[Discount]]</f>
        <v>77593.450000000012</v>
      </c>
      <c r="N613" s="3">
        <v>51332.98</v>
      </c>
      <c r="O613" s="3">
        <v>1831.56</v>
      </c>
      <c r="P613" s="3">
        <v>5590.71</v>
      </c>
      <c r="Q613" s="3">
        <v>3339.35</v>
      </c>
      <c r="R613" s="3">
        <v>1708.23</v>
      </c>
      <c r="S613" s="3">
        <f>SUM(Table1[[#This Row],[Product_Cost]:[Other_Cost]])</f>
        <v>63802.83</v>
      </c>
      <c r="T613" s="3">
        <f>Table1[[#This Row],[Net_Sales]]-Table1[[#This Row],[Product_Cost]]</f>
        <v>26260.470000000008</v>
      </c>
      <c r="U613" s="3">
        <f>Table1[[#This Row],[Net_Sales]]-Table1[[#This Row],[Total_Cost]]</f>
        <v>13790.62000000001</v>
      </c>
      <c r="V613" s="4">
        <f>Table1[[#This Row],[Net_Profit]]/Table1[[#This Row],[Net_Sales]]</f>
        <v>0.17772917688284265</v>
      </c>
      <c r="W613" t="s">
        <v>33</v>
      </c>
      <c r="X613" t="s">
        <v>675</v>
      </c>
      <c r="Y613">
        <v>6</v>
      </c>
      <c r="Z613" t="str">
        <f>IF(Table1[[#This Row],[Month_No]]&lt;=6, "H1","H2")</f>
        <v>H1</v>
      </c>
    </row>
    <row r="614" spans="1:26" x14ac:dyDescent="0.25">
      <c r="A614" s="2">
        <v>45814</v>
      </c>
      <c r="B614" t="s">
        <v>692</v>
      </c>
      <c r="C614" t="s">
        <v>107</v>
      </c>
      <c r="D614" t="s">
        <v>68</v>
      </c>
      <c r="E614" t="s">
        <v>29</v>
      </c>
      <c r="F614" t="s">
        <v>52</v>
      </c>
      <c r="G614" t="s">
        <v>31</v>
      </c>
      <c r="H614" t="s">
        <v>41</v>
      </c>
      <c r="I614">
        <v>109</v>
      </c>
      <c r="J614" s="3">
        <v>370.84</v>
      </c>
      <c r="K614" s="3">
        <f>Table1[[#This Row],[Quantity]]*Table1[[#This Row],[Unit_Price]]</f>
        <v>40421.56</v>
      </c>
      <c r="L614" s="3">
        <v>3699.78</v>
      </c>
      <c r="M614" s="3">
        <f>Table1[[#This Row],[Gross_Sales]]-Table1[[#This Row],[Discount]]</f>
        <v>36721.78</v>
      </c>
      <c r="N614" s="3">
        <v>28343.08</v>
      </c>
      <c r="O614" s="3">
        <v>1012.84</v>
      </c>
      <c r="P614" s="3">
        <v>2251.8200000000002</v>
      </c>
      <c r="Q614" s="3">
        <v>1328.67</v>
      </c>
      <c r="R614" s="3">
        <v>1010.67</v>
      </c>
      <c r="S614" s="3">
        <f>SUM(Table1[[#This Row],[Product_Cost]:[Other_Cost]])</f>
        <v>33947.08</v>
      </c>
      <c r="T614" s="3">
        <f>Table1[[#This Row],[Net_Sales]]-Table1[[#This Row],[Product_Cost]]</f>
        <v>8378.6999999999971</v>
      </c>
      <c r="U614" s="3">
        <f>Table1[[#This Row],[Net_Sales]]-Table1[[#This Row],[Total_Cost]]</f>
        <v>2774.6999999999971</v>
      </c>
      <c r="V614" s="4">
        <f>Table1[[#This Row],[Net_Profit]]/Table1[[#This Row],[Net_Sales]]</f>
        <v>7.5560062720271104E-2</v>
      </c>
      <c r="W614" t="s">
        <v>33</v>
      </c>
      <c r="X614" t="s">
        <v>675</v>
      </c>
      <c r="Y614">
        <v>6</v>
      </c>
      <c r="Z614" t="str">
        <f>IF(Table1[[#This Row],[Month_No]]&lt;=6, "H1","H2")</f>
        <v>H1</v>
      </c>
    </row>
    <row r="615" spans="1:26" x14ac:dyDescent="0.25">
      <c r="A615" s="2">
        <v>45814</v>
      </c>
      <c r="B615" t="s">
        <v>693</v>
      </c>
      <c r="C615" t="s">
        <v>63</v>
      </c>
      <c r="D615" t="s">
        <v>68</v>
      </c>
      <c r="E615" t="s">
        <v>29</v>
      </c>
      <c r="F615" t="s">
        <v>30</v>
      </c>
      <c r="G615" t="s">
        <v>40</v>
      </c>
      <c r="H615" t="s">
        <v>59</v>
      </c>
      <c r="I615">
        <v>108</v>
      </c>
      <c r="J615" s="3">
        <v>385.21</v>
      </c>
      <c r="K615" s="3">
        <f>Table1[[#This Row],[Quantity]]*Table1[[#This Row],[Unit_Price]]</f>
        <v>41602.68</v>
      </c>
      <c r="L615" s="3">
        <v>2308.58</v>
      </c>
      <c r="M615" s="3">
        <f>Table1[[#This Row],[Gross_Sales]]-Table1[[#This Row],[Discount]]</f>
        <v>39294.1</v>
      </c>
      <c r="N615" s="3">
        <v>31203.81</v>
      </c>
      <c r="O615" s="3">
        <v>1482.09</v>
      </c>
      <c r="P615" s="3">
        <v>2607.2399999999998</v>
      </c>
      <c r="Q615" s="3">
        <v>1654.72</v>
      </c>
      <c r="R615" s="3">
        <v>892.99</v>
      </c>
      <c r="S615" s="3">
        <f>SUM(Table1[[#This Row],[Product_Cost]:[Other_Cost]])</f>
        <v>37840.85</v>
      </c>
      <c r="T615" s="3">
        <f>Table1[[#This Row],[Net_Sales]]-Table1[[#This Row],[Product_Cost]]</f>
        <v>8090.2899999999972</v>
      </c>
      <c r="U615" s="3">
        <f>Table1[[#This Row],[Net_Sales]]-Table1[[#This Row],[Total_Cost]]</f>
        <v>1453.25</v>
      </c>
      <c r="V615" s="4">
        <f>Table1[[#This Row],[Net_Profit]]/Table1[[#This Row],[Net_Sales]]</f>
        <v>3.6983923795175358E-2</v>
      </c>
      <c r="W615" t="s">
        <v>33</v>
      </c>
      <c r="X615" t="s">
        <v>675</v>
      </c>
      <c r="Y615">
        <v>6</v>
      </c>
      <c r="Z615" t="str">
        <f>IF(Table1[[#This Row],[Month_No]]&lt;=6, "H1","H2")</f>
        <v>H1</v>
      </c>
    </row>
    <row r="616" spans="1:26" x14ac:dyDescent="0.25">
      <c r="A616" s="2">
        <v>45815</v>
      </c>
      <c r="B616" t="s">
        <v>694</v>
      </c>
      <c r="C616" t="s">
        <v>27</v>
      </c>
      <c r="D616" t="s">
        <v>68</v>
      </c>
      <c r="E616" t="s">
        <v>29</v>
      </c>
      <c r="F616" t="s">
        <v>52</v>
      </c>
      <c r="G616" t="s">
        <v>31</v>
      </c>
      <c r="H616" t="s">
        <v>59</v>
      </c>
      <c r="I616">
        <v>138</v>
      </c>
      <c r="J616" s="3">
        <v>364.24</v>
      </c>
      <c r="K616" s="3">
        <f>Table1[[#This Row],[Quantity]]*Table1[[#This Row],[Unit_Price]]</f>
        <v>50265.120000000003</v>
      </c>
      <c r="L616" s="3">
        <v>3933.27</v>
      </c>
      <c r="M616" s="3">
        <f>Table1[[#This Row],[Gross_Sales]]-Table1[[#This Row],[Discount]]</f>
        <v>46331.850000000006</v>
      </c>
      <c r="N616" s="3">
        <v>36589.919999999998</v>
      </c>
      <c r="O616" s="3">
        <v>1231</v>
      </c>
      <c r="P616" s="3">
        <v>3362.29</v>
      </c>
      <c r="Q616" s="3">
        <v>2113.81</v>
      </c>
      <c r="R616" s="3">
        <v>1146.1500000000001</v>
      </c>
      <c r="S616" s="3">
        <f>SUM(Table1[[#This Row],[Product_Cost]:[Other_Cost]])</f>
        <v>44443.17</v>
      </c>
      <c r="T616" s="3">
        <f>Table1[[#This Row],[Net_Sales]]-Table1[[#This Row],[Product_Cost]]</f>
        <v>9741.9300000000076</v>
      </c>
      <c r="U616" s="3">
        <f>Table1[[#This Row],[Net_Sales]]-Table1[[#This Row],[Total_Cost]]</f>
        <v>1888.6800000000076</v>
      </c>
      <c r="V616" s="4">
        <f>Table1[[#This Row],[Net_Profit]]/Table1[[#This Row],[Net_Sales]]</f>
        <v>4.0764182738224512E-2</v>
      </c>
      <c r="W616" t="s">
        <v>33</v>
      </c>
      <c r="X616" t="s">
        <v>675</v>
      </c>
      <c r="Y616">
        <v>6</v>
      </c>
      <c r="Z616" t="str">
        <f>IF(Table1[[#This Row],[Month_No]]&lt;=6, "H1","H2")</f>
        <v>H1</v>
      </c>
    </row>
    <row r="617" spans="1:26" x14ac:dyDescent="0.25">
      <c r="A617" s="2">
        <v>45815</v>
      </c>
      <c r="B617" t="s">
        <v>695</v>
      </c>
      <c r="C617" t="s">
        <v>117</v>
      </c>
      <c r="D617" t="s">
        <v>74</v>
      </c>
      <c r="E617" t="s">
        <v>75</v>
      </c>
      <c r="F617" t="s">
        <v>52</v>
      </c>
      <c r="G617" t="s">
        <v>64</v>
      </c>
      <c r="H617" t="s">
        <v>59</v>
      </c>
      <c r="I617">
        <v>93</v>
      </c>
      <c r="J617" s="3">
        <v>5453.02</v>
      </c>
      <c r="K617" s="3">
        <f>Table1[[#This Row],[Quantity]]*Table1[[#This Row],[Unit_Price]]</f>
        <v>507130.86000000004</v>
      </c>
      <c r="L617" s="3">
        <v>38946.1</v>
      </c>
      <c r="M617" s="3">
        <f>Table1[[#This Row],[Gross_Sales]]-Table1[[#This Row],[Discount]]</f>
        <v>468184.76000000007</v>
      </c>
      <c r="N617" s="3">
        <v>337863.81</v>
      </c>
      <c r="O617" s="3">
        <v>13354.86</v>
      </c>
      <c r="P617" s="3">
        <v>32278.66</v>
      </c>
      <c r="Q617" s="3">
        <v>24722.67</v>
      </c>
      <c r="R617" s="3">
        <v>11276.25</v>
      </c>
      <c r="S617" s="3">
        <f>SUM(Table1[[#This Row],[Product_Cost]:[Other_Cost]])</f>
        <v>419496.24999999994</v>
      </c>
      <c r="T617" s="3">
        <f>Table1[[#This Row],[Net_Sales]]-Table1[[#This Row],[Product_Cost]]</f>
        <v>130320.95000000007</v>
      </c>
      <c r="U617" s="3">
        <f>Table1[[#This Row],[Net_Sales]]-Table1[[#This Row],[Total_Cost]]</f>
        <v>48688.510000000126</v>
      </c>
      <c r="V617" s="4">
        <f>Table1[[#This Row],[Net_Profit]]/Table1[[#This Row],[Net_Sales]]</f>
        <v>0.10399422228096472</v>
      </c>
      <c r="W617" t="s">
        <v>33</v>
      </c>
      <c r="X617" t="s">
        <v>675</v>
      </c>
      <c r="Y617">
        <v>6</v>
      </c>
      <c r="Z617" t="str">
        <f>IF(Table1[[#This Row],[Month_No]]&lt;=6, "H1","H2")</f>
        <v>H1</v>
      </c>
    </row>
    <row r="618" spans="1:26" x14ac:dyDescent="0.25">
      <c r="A618" s="2">
        <v>45815</v>
      </c>
      <c r="B618" t="s">
        <v>696</v>
      </c>
      <c r="C618" t="s">
        <v>27</v>
      </c>
      <c r="D618" t="s">
        <v>28</v>
      </c>
      <c r="E618" t="s">
        <v>29</v>
      </c>
      <c r="F618" t="s">
        <v>52</v>
      </c>
      <c r="G618" t="s">
        <v>86</v>
      </c>
      <c r="H618" t="s">
        <v>41</v>
      </c>
      <c r="I618">
        <v>105</v>
      </c>
      <c r="J618" s="3">
        <v>1178.48</v>
      </c>
      <c r="K618" s="3">
        <f>Table1[[#This Row],[Quantity]]*Table1[[#This Row],[Unit_Price]]</f>
        <v>123740.40000000001</v>
      </c>
      <c r="L618" s="3">
        <v>10856.98</v>
      </c>
      <c r="M618" s="3">
        <f>Table1[[#This Row],[Gross_Sales]]-Table1[[#This Row],[Discount]]</f>
        <v>112883.42000000001</v>
      </c>
      <c r="N618" s="3">
        <v>69343.570000000007</v>
      </c>
      <c r="O618" s="3">
        <v>2679.24</v>
      </c>
      <c r="P618" s="3">
        <v>8115.77</v>
      </c>
      <c r="Q618" s="3">
        <v>4100.8900000000003</v>
      </c>
      <c r="R618" s="3">
        <v>3526.47</v>
      </c>
      <c r="S618" s="3">
        <f>SUM(Table1[[#This Row],[Product_Cost]:[Other_Cost]])</f>
        <v>87765.940000000017</v>
      </c>
      <c r="T618" s="3">
        <f>Table1[[#This Row],[Net_Sales]]-Table1[[#This Row],[Product_Cost]]</f>
        <v>43539.850000000006</v>
      </c>
      <c r="U618" s="3">
        <f>Table1[[#This Row],[Net_Sales]]-Table1[[#This Row],[Total_Cost]]</f>
        <v>25117.479999999996</v>
      </c>
      <c r="V618" s="4">
        <f>Table1[[#This Row],[Net_Profit]]/Table1[[#This Row],[Net_Sales]]</f>
        <v>0.22250814158536297</v>
      </c>
      <c r="W618" t="s">
        <v>33</v>
      </c>
      <c r="X618" t="s">
        <v>675</v>
      </c>
      <c r="Y618">
        <v>6</v>
      </c>
      <c r="Z618" t="str">
        <f>IF(Table1[[#This Row],[Month_No]]&lt;=6, "H1","H2")</f>
        <v>H1</v>
      </c>
    </row>
    <row r="619" spans="1:26" x14ac:dyDescent="0.25">
      <c r="A619" s="2">
        <v>45816</v>
      </c>
      <c r="B619" t="s">
        <v>697</v>
      </c>
      <c r="C619" t="s">
        <v>27</v>
      </c>
      <c r="D619" t="s">
        <v>66</v>
      </c>
      <c r="E619" t="s">
        <v>51</v>
      </c>
      <c r="F619" t="s">
        <v>39</v>
      </c>
      <c r="G619" t="s">
        <v>58</v>
      </c>
      <c r="H619" t="s">
        <v>41</v>
      </c>
      <c r="I619">
        <v>95</v>
      </c>
      <c r="J619" s="3">
        <v>1507.06</v>
      </c>
      <c r="K619" s="3">
        <f>Table1[[#This Row],[Quantity]]*Table1[[#This Row],[Unit_Price]]</f>
        <v>143170.69999999998</v>
      </c>
      <c r="L619" s="3">
        <v>11552.89</v>
      </c>
      <c r="M619" s="3">
        <f>Table1[[#This Row],[Gross_Sales]]-Table1[[#This Row],[Discount]]</f>
        <v>131617.81</v>
      </c>
      <c r="N619" s="3">
        <v>71060.39</v>
      </c>
      <c r="O619" s="3">
        <v>5442.76</v>
      </c>
      <c r="P619" s="3">
        <v>7594</v>
      </c>
      <c r="Q619" s="3">
        <v>4667.66</v>
      </c>
      <c r="R619" s="3">
        <v>3237.67</v>
      </c>
      <c r="S619" s="3">
        <f>SUM(Table1[[#This Row],[Product_Cost]:[Other_Cost]])</f>
        <v>92002.48</v>
      </c>
      <c r="T619" s="3">
        <f>Table1[[#This Row],[Net_Sales]]-Table1[[#This Row],[Product_Cost]]</f>
        <v>60557.42</v>
      </c>
      <c r="U619" s="3">
        <f>Table1[[#This Row],[Net_Sales]]-Table1[[#This Row],[Total_Cost]]</f>
        <v>39615.33</v>
      </c>
      <c r="V619" s="4">
        <f>Table1[[#This Row],[Net_Profit]]/Table1[[#This Row],[Net_Sales]]</f>
        <v>0.30098760950360748</v>
      </c>
      <c r="W619" t="s">
        <v>33</v>
      </c>
      <c r="X619" t="s">
        <v>675</v>
      </c>
      <c r="Y619">
        <v>6</v>
      </c>
      <c r="Z619" t="str">
        <f>IF(Table1[[#This Row],[Month_No]]&lt;=6, "H1","H2")</f>
        <v>H1</v>
      </c>
    </row>
    <row r="620" spans="1:26" x14ac:dyDescent="0.25">
      <c r="A620" s="2">
        <v>45816</v>
      </c>
      <c r="B620" t="s">
        <v>698</v>
      </c>
      <c r="C620" t="s">
        <v>49</v>
      </c>
      <c r="D620" t="s">
        <v>74</v>
      </c>
      <c r="E620" t="s">
        <v>75</v>
      </c>
      <c r="F620" t="s">
        <v>52</v>
      </c>
      <c r="G620" t="s">
        <v>76</v>
      </c>
      <c r="H620" t="s">
        <v>41</v>
      </c>
      <c r="I620">
        <v>73</v>
      </c>
      <c r="J620" s="3">
        <v>5427.99</v>
      </c>
      <c r="K620" s="3">
        <f>Table1[[#This Row],[Quantity]]*Table1[[#This Row],[Unit_Price]]</f>
        <v>396243.26999999996</v>
      </c>
      <c r="L620" s="3">
        <v>36100.81</v>
      </c>
      <c r="M620" s="3">
        <f>Table1[[#This Row],[Gross_Sales]]-Table1[[#This Row],[Discount]]</f>
        <v>360142.45999999996</v>
      </c>
      <c r="N620" s="3">
        <v>260580.39</v>
      </c>
      <c r="O620" s="3">
        <v>9840.8700000000008</v>
      </c>
      <c r="P620" s="3">
        <v>26911.09</v>
      </c>
      <c r="Q620" s="3">
        <v>14525.43</v>
      </c>
      <c r="R620" s="3">
        <v>7667.01</v>
      </c>
      <c r="S620" s="3">
        <f>SUM(Table1[[#This Row],[Product_Cost]:[Other_Cost]])</f>
        <v>319524.79000000004</v>
      </c>
      <c r="T620" s="3">
        <f>Table1[[#This Row],[Net_Sales]]-Table1[[#This Row],[Product_Cost]]</f>
        <v>99562.069999999949</v>
      </c>
      <c r="U620" s="3">
        <f>Table1[[#This Row],[Net_Sales]]-Table1[[#This Row],[Total_Cost]]</f>
        <v>40617.669999999925</v>
      </c>
      <c r="V620" s="4">
        <f>Table1[[#This Row],[Net_Profit]]/Table1[[#This Row],[Net_Sales]]</f>
        <v>0.11278223067616057</v>
      </c>
      <c r="W620" t="s">
        <v>33</v>
      </c>
      <c r="X620" t="s">
        <v>675</v>
      </c>
      <c r="Y620">
        <v>6</v>
      </c>
      <c r="Z620" t="str">
        <f>IF(Table1[[#This Row],[Month_No]]&lt;=6, "H1","H2")</f>
        <v>H1</v>
      </c>
    </row>
    <row r="621" spans="1:26" x14ac:dyDescent="0.25">
      <c r="A621" s="2">
        <v>45817</v>
      </c>
      <c r="B621" t="s">
        <v>699</v>
      </c>
      <c r="C621" t="s">
        <v>70</v>
      </c>
      <c r="D621" t="s">
        <v>183</v>
      </c>
      <c r="E621" t="s">
        <v>38</v>
      </c>
      <c r="F621" t="s">
        <v>30</v>
      </c>
      <c r="G621" t="s">
        <v>58</v>
      </c>
      <c r="H621" t="s">
        <v>41</v>
      </c>
      <c r="I621">
        <v>30</v>
      </c>
      <c r="J621" s="3">
        <v>6713.42</v>
      </c>
      <c r="K621" s="3">
        <f>Table1[[#This Row],[Quantity]]*Table1[[#This Row],[Unit_Price]]</f>
        <v>201402.6</v>
      </c>
      <c r="L621" s="3">
        <v>18538.259999999998</v>
      </c>
      <c r="M621" s="3">
        <f>Table1[[#This Row],[Gross_Sales]]-Table1[[#This Row],[Discount]]</f>
        <v>182864.34</v>
      </c>
      <c r="N621" s="3">
        <v>109047.87</v>
      </c>
      <c r="O621" s="3">
        <v>7012.64</v>
      </c>
      <c r="P621" s="3">
        <v>12719</v>
      </c>
      <c r="Q621" s="3">
        <v>7496.88</v>
      </c>
      <c r="R621" s="3">
        <v>4870.03</v>
      </c>
      <c r="S621" s="3">
        <f>SUM(Table1[[#This Row],[Product_Cost]:[Other_Cost]])</f>
        <v>141146.41999999998</v>
      </c>
      <c r="T621" s="3">
        <f>Table1[[#This Row],[Net_Sales]]-Table1[[#This Row],[Product_Cost]]</f>
        <v>73816.47</v>
      </c>
      <c r="U621" s="3">
        <f>Table1[[#This Row],[Net_Sales]]-Table1[[#This Row],[Total_Cost]]</f>
        <v>41717.920000000013</v>
      </c>
      <c r="V621" s="4">
        <f>Table1[[#This Row],[Net_Profit]]/Table1[[#This Row],[Net_Sales]]</f>
        <v>0.22813589571372972</v>
      </c>
      <c r="W621" t="s">
        <v>33</v>
      </c>
      <c r="X621" t="s">
        <v>675</v>
      </c>
      <c r="Y621">
        <v>6</v>
      </c>
      <c r="Z621" t="str">
        <f>IF(Table1[[#This Row],[Month_No]]&lt;=6, "H1","H2")</f>
        <v>H1</v>
      </c>
    </row>
    <row r="622" spans="1:26" x14ac:dyDescent="0.25">
      <c r="A622" s="2">
        <v>45817</v>
      </c>
      <c r="B622" t="s">
        <v>700</v>
      </c>
      <c r="C622" t="s">
        <v>49</v>
      </c>
      <c r="D622" t="s">
        <v>44</v>
      </c>
      <c r="E622" t="s">
        <v>45</v>
      </c>
      <c r="F622" t="s">
        <v>52</v>
      </c>
      <c r="G622" t="s">
        <v>64</v>
      </c>
      <c r="H622" t="s">
        <v>59</v>
      </c>
      <c r="I622">
        <v>76</v>
      </c>
      <c r="J622" s="3">
        <v>4585.71</v>
      </c>
      <c r="K622" s="3">
        <f>Table1[[#This Row],[Quantity]]*Table1[[#This Row],[Unit_Price]]</f>
        <v>348513.96</v>
      </c>
      <c r="L622" s="3">
        <v>25381.37</v>
      </c>
      <c r="M622" s="3">
        <f>Table1[[#This Row],[Gross_Sales]]-Table1[[#This Row],[Discount]]</f>
        <v>323132.59000000003</v>
      </c>
      <c r="N622" s="3">
        <v>233565.34</v>
      </c>
      <c r="O622" s="3">
        <v>8353.16</v>
      </c>
      <c r="P622" s="3">
        <v>20927.71</v>
      </c>
      <c r="Q622" s="3">
        <v>15639.31</v>
      </c>
      <c r="R622" s="3">
        <v>6771.41</v>
      </c>
      <c r="S622" s="3">
        <f>SUM(Table1[[#This Row],[Product_Cost]:[Other_Cost]])</f>
        <v>285256.93</v>
      </c>
      <c r="T622" s="3">
        <f>Table1[[#This Row],[Net_Sales]]-Table1[[#This Row],[Product_Cost]]</f>
        <v>89567.250000000029</v>
      </c>
      <c r="U622" s="3">
        <f>Table1[[#This Row],[Net_Sales]]-Table1[[#This Row],[Total_Cost]]</f>
        <v>37875.660000000033</v>
      </c>
      <c r="V622" s="4">
        <f>Table1[[#This Row],[Net_Profit]]/Table1[[#This Row],[Net_Sales]]</f>
        <v>0.11721398946482009</v>
      </c>
      <c r="W622" t="s">
        <v>33</v>
      </c>
      <c r="X622" t="s">
        <v>675</v>
      </c>
      <c r="Y622">
        <v>6</v>
      </c>
      <c r="Z622" t="str">
        <f>IF(Table1[[#This Row],[Month_No]]&lt;=6, "H1","H2")</f>
        <v>H1</v>
      </c>
    </row>
    <row r="623" spans="1:26" x14ac:dyDescent="0.25">
      <c r="A623" s="2">
        <v>45818</v>
      </c>
      <c r="B623" t="s">
        <v>701</v>
      </c>
      <c r="C623" t="s">
        <v>27</v>
      </c>
      <c r="D623" t="s">
        <v>74</v>
      </c>
      <c r="E623" t="s">
        <v>75</v>
      </c>
      <c r="F623" t="s">
        <v>52</v>
      </c>
      <c r="G623" t="s">
        <v>31</v>
      </c>
      <c r="H623" t="s">
        <v>41</v>
      </c>
      <c r="I623">
        <v>58</v>
      </c>
      <c r="J623" s="3">
        <v>5640.71</v>
      </c>
      <c r="K623" s="3">
        <f>Table1[[#This Row],[Quantity]]*Table1[[#This Row],[Unit_Price]]</f>
        <v>327161.18</v>
      </c>
      <c r="L623" s="3">
        <v>23060.11</v>
      </c>
      <c r="M623" s="3">
        <f>Table1[[#This Row],[Gross_Sales]]-Table1[[#This Row],[Discount]]</f>
        <v>304101.07</v>
      </c>
      <c r="N623" s="3">
        <v>227731.51</v>
      </c>
      <c r="O623" s="3">
        <v>8557.64</v>
      </c>
      <c r="P623" s="3">
        <v>17026.759999999998</v>
      </c>
      <c r="Q623" s="3">
        <v>11780.97</v>
      </c>
      <c r="R623" s="3">
        <v>8283.34</v>
      </c>
      <c r="S623" s="3">
        <f>SUM(Table1[[#This Row],[Product_Cost]:[Other_Cost]])</f>
        <v>273380.22000000003</v>
      </c>
      <c r="T623" s="3">
        <f>Table1[[#This Row],[Net_Sales]]-Table1[[#This Row],[Product_Cost]]</f>
        <v>76369.56</v>
      </c>
      <c r="U623" s="3">
        <f>Table1[[#This Row],[Net_Sales]]-Table1[[#This Row],[Total_Cost]]</f>
        <v>30720.849999999977</v>
      </c>
      <c r="V623" s="4">
        <f>Table1[[#This Row],[Net_Profit]]/Table1[[#This Row],[Net_Sales]]</f>
        <v>0.10102184119246925</v>
      </c>
      <c r="W623" t="s">
        <v>33</v>
      </c>
      <c r="X623" t="s">
        <v>675</v>
      </c>
      <c r="Y623">
        <v>6</v>
      </c>
      <c r="Z623" t="str">
        <f>IF(Table1[[#This Row],[Month_No]]&lt;=6, "H1","H2")</f>
        <v>H1</v>
      </c>
    </row>
    <row r="624" spans="1:26" x14ac:dyDescent="0.25">
      <c r="A624" s="2">
        <v>45818</v>
      </c>
      <c r="B624" t="s">
        <v>702</v>
      </c>
      <c r="C624" t="s">
        <v>55</v>
      </c>
      <c r="D624" t="s">
        <v>74</v>
      </c>
      <c r="E624" t="s">
        <v>75</v>
      </c>
      <c r="F624" t="s">
        <v>52</v>
      </c>
      <c r="G624" t="s">
        <v>40</v>
      </c>
      <c r="H624" t="s">
        <v>41</v>
      </c>
      <c r="I624">
        <v>56</v>
      </c>
      <c r="J624" s="3">
        <v>5792.87</v>
      </c>
      <c r="K624" s="3">
        <f>Table1[[#This Row],[Quantity]]*Table1[[#This Row],[Unit_Price]]</f>
        <v>324400.71999999997</v>
      </c>
      <c r="L624" s="3">
        <v>21657.62</v>
      </c>
      <c r="M624" s="3">
        <f>Table1[[#This Row],[Gross_Sales]]-Table1[[#This Row],[Discount]]</f>
        <v>302743.09999999998</v>
      </c>
      <c r="N624" s="3">
        <v>232514.31</v>
      </c>
      <c r="O624" s="3">
        <v>7233.97</v>
      </c>
      <c r="P624" s="3">
        <v>17465.689999999999</v>
      </c>
      <c r="Q624" s="3">
        <v>16485.46</v>
      </c>
      <c r="R624" s="3">
        <v>7141.19</v>
      </c>
      <c r="S624" s="3">
        <f>SUM(Table1[[#This Row],[Product_Cost]:[Other_Cost]])</f>
        <v>280840.62</v>
      </c>
      <c r="T624" s="3">
        <f>Table1[[#This Row],[Net_Sales]]-Table1[[#This Row],[Product_Cost]]</f>
        <v>70228.789999999979</v>
      </c>
      <c r="U624" s="3">
        <f>Table1[[#This Row],[Net_Sales]]-Table1[[#This Row],[Total_Cost]]</f>
        <v>21902.479999999981</v>
      </c>
      <c r="V624" s="4">
        <f>Table1[[#This Row],[Net_Profit]]/Table1[[#This Row],[Net_Sales]]</f>
        <v>7.2346752081219962E-2</v>
      </c>
      <c r="W624" t="s">
        <v>33</v>
      </c>
      <c r="X624" t="s">
        <v>675</v>
      </c>
      <c r="Y624">
        <v>6</v>
      </c>
      <c r="Z624" t="str">
        <f>IF(Table1[[#This Row],[Month_No]]&lt;=6, "H1","H2")</f>
        <v>H1</v>
      </c>
    </row>
    <row r="625" spans="1:26" x14ac:dyDescent="0.25">
      <c r="A625" s="2">
        <v>45818</v>
      </c>
      <c r="B625" t="s">
        <v>703</v>
      </c>
      <c r="C625" t="s">
        <v>36</v>
      </c>
      <c r="D625" t="s">
        <v>85</v>
      </c>
      <c r="E625" t="s">
        <v>57</v>
      </c>
      <c r="F625" t="s">
        <v>46</v>
      </c>
      <c r="G625" t="s">
        <v>71</v>
      </c>
      <c r="H625" t="s">
        <v>41</v>
      </c>
      <c r="I625">
        <v>63</v>
      </c>
      <c r="J625" s="3">
        <v>1934.27</v>
      </c>
      <c r="K625" s="3">
        <f>Table1[[#This Row],[Quantity]]*Table1[[#This Row],[Unit_Price]]</f>
        <v>121859.01</v>
      </c>
      <c r="L625" s="3">
        <v>8035.64</v>
      </c>
      <c r="M625" s="3">
        <f>Table1[[#This Row],[Gross_Sales]]-Table1[[#This Row],[Discount]]</f>
        <v>113823.37</v>
      </c>
      <c r="N625" s="3">
        <v>81163.81</v>
      </c>
      <c r="O625" s="3">
        <v>3242.99</v>
      </c>
      <c r="P625" s="3">
        <v>7443.64</v>
      </c>
      <c r="Q625" s="3">
        <v>4007.96</v>
      </c>
      <c r="R625" s="3">
        <v>2436.88</v>
      </c>
      <c r="S625" s="3">
        <f>SUM(Table1[[#This Row],[Product_Cost]:[Other_Cost]])</f>
        <v>98295.280000000013</v>
      </c>
      <c r="T625" s="3">
        <f>Table1[[#This Row],[Net_Sales]]-Table1[[#This Row],[Product_Cost]]</f>
        <v>32659.559999999998</v>
      </c>
      <c r="U625" s="3">
        <f>Table1[[#This Row],[Net_Sales]]-Table1[[#This Row],[Total_Cost]]</f>
        <v>15528.089999999982</v>
      </c>
      <c r="V625" s="4">
        <f>Table1[[#This Row],[Net_Profit]]/Table1[[#This Row],[Net_Sales]]</f>
        <v>0.1364226871862956</v>
      </c>
      <c r="W625" t="s">
        <v>33</v>
      </c>
      <c r="X625" t="s">
        <v>675</v>
      </c>
      <c r="Y625">
        <v>6</v>
      </c>
      <c r="Z625" t="str">
        <f>IF(Table1[[#This Row],[Month_No]]&lt;=6, "H1","H2")</f>
        <v>H1</v>
      </c>
    </row>
    <row r="626" spans="1:26" x14ac:dyDescent="0.25">
      <c r="A626" s="2">
        <v>45818</v>
      </c>
      <c r="B626" t="s">
        <v>704</v>
      </c>
      <c r="C626" t="s">
        <v>63</v>
      </c>
      <c r="D626" t="s">
        <v>50</v>
      </c>
      <c r="E626" t="s">
        <v>51</v>
      </c>
      <c r="F626" t="s">
        <v>52</v>
      </c>
      <c r="G626" t="s">
        <v>86</v>
      </c>
      <c r="H626" t="s">
        <v>32</v>
      </c>
      <c r="I626">
        <v>43</v>
      </c>
      <c r="J626" s="3">
        <v>874.3</v>
      </c>
      <c r="K626" s="3">
        <f>Table1[[#This Row],[Quantity]]*Table1[[#This Row],[Unit_Price]]</f>
        <v>37594.9</v>
      </c>
      <c r="L626" s="3">
        <v>2980.96</v>
      </c>
      <c r="M626" s="3">
        <f>Table1[[#This Row],[Gross_Sales]]-Table1[[#This Row],[Discount]]</f>
        <v>34613.94</v>
      </c>
      <c r="N626" s="3">
        <v>23504.2</v>
      </c>
      <c r="O626" s="3">
        <v>819.61</v>
      </c>
      <c r="P626" s="3">
        <v>2447.8000000000002</v>
      </c>
      <c r="Q626" s="3">
        <v>1441.71</v>
      </c>
      <c r="R626" s="3">
        <v>1040.32</v>
      </c>
      <c r="S626" s="3">
        <f>SUM(Table1[[#This Row],[Product_Cost]:[Other_Cost]])</f>
        <v>29253.64</v>
      </c>
      <c r="T626" s="3">
        <f>Table1[[#This Row],[Net_Sales]]-Table1[[#This Row],[Product_Cost]]</f>
        <v>11109.740000000002</v>
      </c>
      <c r="U626" s="3">
        <f>Table1[[#This Row],[Net_Sales]]-Table1[[#This Row],[Total_Cost]]</f>
        <v>5360.3000000000029</v>
      </c>
      <c r="V626" s="4">
        <f>Table1[[#This Row],[Net_Profit]]/Table1[[#This Row],[Net_Sales]]</f>
        <v>0.15485957391732932</v>
      </c>
      <c r="W626" t="s">
        <v>33</v>
      </c>
      <c r="X626" t="s">
        <v>675</v>
      </c>
      <c r="Y626">
        <v>6</v>
      </c>
      <c r="Z626" t="str">
        <f>IF(Table1[[#This Row],[Month_No]]&lt;=6, "H1","H2")</f>
        <v>H1</v>
      </c>
    </row>
    <row r="627" spans="1:26" x14ac:dyDescent="0.25">
      <c r="A627" s="2">
        <v>45818</v>
      </c>
      <c r="B627" t="s">
        <v>705</v>
      </c>
      <c r="C627" t="s">
        <v>49</v>
      </c>
      <c r="D627" t="s">
        <v>44</v>
      </c>
      <c r="E627" t="s">
        <v>45</v>
      </c>
      <c r="F627" t="s">
        <v>30</v>
      </c>
      <c r="G627" t="s">
        <v>31</v>
      </c>
      <c r="H627" t="s">
        <v>47</v>
      </c>
      <c r="I627">
        <v>73</v>
      </c>
      <c r="J627" s="3">
        <v>4613.22</v>
      </c>
      <c r="K627" s="3">
        <f>Table1[[#This Row],[Quantity]]*Table1[[#This Row],[Unit_Price]]</f>
        <v>336765.06</v>
      </c>
      <c r="L627" s="3">
        <v>26375.63</v>
      </c>
      <c r="M627" s="3">
        <f>Table1[[#This Row],[Gross_Sales]]-Table1[[#This Row],[Discount]]</f>
        <v>310389.43</v>
      </c>
      <c r="N627" s="3">
        <v>225613.96</v>
      </c>
      <c r="O627" s="3">
        <v>11631.74</v>
      </c>
      <c r="P627" s="3">
        <v>18303.060000000001</v>
      </c>
      <c r="Q627" s="3">
        <v>13006.06</v>
      </c>
      <c r="R627" s="3">
        <v>8315.41</v>
      </c>
      <c r="S627" s="3">
        <f>SUM(Table1[[#This Row],[Product_Cost]:[Other_Cost]])</f>
        <v>276870.23</v>
      </c>
      <c r="T627" s="3">
        <f>Table1[[#This Row],[Net_Sales]]-Table1[[#This Row],[Product_Cost]]</f>
        <v>84775.47</v>
      </c>
      <c r="U627" s="3">
        <f>Table1[[#This Row],[Net_Sales]]-Table1[[#This Row],[Total_Cost]]</f>
        <v>33519.200000000012</v>
      </c>
      <c r="V627" s="4">
        <f>Table1[[#This Row],[Net_Profit]]/Table1[[#This Row],[Net_Sales]]</f>
        <v>0.10799079079464791</v>
      </c>
      <c r="W627" t="s">
        <v>33</v>
      </c>
      <c r="X627" t="s">
        <v>675</v>
      </c>
      <c r="Y627">
        <v>6</v>
      </c>
      <c r="Z627" t="str">
        <f>IF(Table1[[#This Row],[Month_No]]&lt;=6, "H1","H2")</f>
        <v>H1</v>
      </c>
    </row>
    <row r="628" spans="1:26" x14ac:dyDescent="0.25">
      <c r="A628" s="2">
        <v>45818</v>
      </c>
      <c r="B628" t="s">
        <v>706</v>
      </c>
      <c r="C628" t="s">
        <v>49</v>
      </c>
      <c r="D628" t="s">
        <v>85</v>
      </c>
      <c r="E628" t="s">
        <v>57</v>
      </c>
      <c r="F628" t="s">
        <v>52</v>
      </c>
      <c r="G628" t="s">
        <v>31</v>
      </c>
      <c r="H628" t="s">
        <v>32</v>
      </c>
      <c r="I628">
        <v>82</v>
      </c>
      <c r="J628" s="3">
        <v>2027.97</v>
      </c>
      <c r="K628" s="3">
        <f>Table1[[#This Row],[Quantity]]*Table1[[#This Row],[Unit_Price]]</f>
        <v>166293.54</v>
      </c>
      <c r="L628" s="3">
        <v>14289.5</v>
      </c>
      <c r="M628" s="3">
        <f>Table1[[#This Row],[Gross_Sales]]-Table1[[#This Row],[Discount]]</f>
        <v>152004.04</v>
      </c>
      <c r="N628" s="3">
        <v>102709.9</v>
      </c>
      <c r="O628" s="3">
        <v>4145.1099999999997</v>
      </c>
      <c r="P628" s="3">
        <v>10261.5</v>
      </c>
      <c r="Q628" s="3">
        <v>6284.24</v>
      </c>
      <c r="R628" s="3">
        <v>4856.92</v>
      </c>
      <c r="S628" s="3">
        <f>SUM(Table1[[#This Row],[Product_Cost]:[Other_Cost]])</f>
        <v>128257.67</v>
      </c>
      <c r="T628" s="3">
        <f>Table1[[#This Row],[Net_Sales]]-Table1[[#This Row],[Product_Cost]]</f>
        <v>49294.140000000014</v>
      </c>
      <c r="U628" s="3">
        <f>Table1[[#This Row],[Net_Sales]]-Table1[[#This Row],[Total_Cost]]</f>
        <v>23746.37000000001</v>
      </c>
      <c r="V628" s="4">
        <f>Table1[[#This Row],[Net_Profit]]/Table1[[#This Row],[Net_Sales]]</f>
        <v>0.15622196620563511</v>
      </c>
      <c r="W628" t="s">
        <v>33</v>
      </c>
      <c r="X628" t="s">
        <v>675</v>
      </c>
      <c r="Y628">
        <v>6</v>
      </c>
      <c r="Z628" t="str">
        <f>IF(Table1[[#This Row],[Month_No]]&lt;=6, "H1","H2")</f>
        <v>H1</v>
      </c>
    </row>
    <row r="629" spans="1:26" x14ac:dyDescent="0.25">
      <c r="A629" s="2">
        <v>45819</v>
      </c>
      <c r="B629" t="s">
        <v>707</v>
      </c>
      <c r="C629" t="s">
        <v>36</v>
      </c>
      <c r="D629" t="s">
        <v>50</v>
      </c>
      <c r="E629" t="s">
        <v>51</v>
      </c>
      <c r="F629" t="s">
        <v>39</v>
      </c>
      <c r="G629" t="s">
        <v>86</v>
      </c>
      <c r="H629" t="s">
        <v>41</v>
      </c>
      <c r="I629">
        <v>58</v>
      </c>
      <c r="J629" s="3">
        <v>890.29</v>
      </c>
      <c r="K629" s="3">
        <f>Table1[[#This Row],[Quantity]]*Table1[[#This Row],[Unit_Price]]</f>
        <v>51636.82</v>
      </c>
      <c r="L629" s="3">
        <v>3949.4</v>
      </c>
      <c r="M629" s="3">
        <f>Table1[[#This Row],[Gross_Sales]]-Table1[[#This Row],[Discount]]</f>
        <v>47687.42</v>
      </c>
      <c r="N629" s="3">
        <v>31628.2</v>
      </c>
      <c r="O629" s="3">
        <v>1850.79</v>
      </c>
      <c r="P629" s="3">
        <v>2801.82</v>
      </c>
      <c r="Q629" s="3">
        <v>1768.55</v>
      </c>
      <c r="R629" s="3">
        <v>1338.21</v>
      </c>
      <c r="S629" s="3">
        <f>SUM(Table1[[#This Row],[Product_Cost]:[Other_Cost]])</f>
        <v>39387.57</v>
      </c>
      <c r="T629" s="3">
        <f>Table1[[#This Row],[Net_Sales]]-Table1[[#This Row],[Product_Cost]]</f>
        <v>16059.219999999998</v>
      </c>
      <c r="U629" s="3">
        <f>Table1[[#This Row],[Net_Sales]]-Table1[[#This Row],[Total_Cost]]</f>
        <v>8299.8499999999985</v>
      </c>
      <c r="V629" s="4">
        <f>Table1[[#This Row],[Net_Profit]]/Table1[[#This Row],[Net_Sales]]</f>
        <v>0.17404694990838251</v>
      </c>
      <c r="W629" t="s">
        <v>72</v>
      </c>
      <c r="X629" t="s">
        <v>675</v>
      </c>
      <c r="Y629">
        <v>6</v>
      </c>
      <c r="Z629" t="str">
        <f>IF(Table1[[#This Row],[Month_No]]&lt;=6, "H1","H2")</f>
        <v>H1</v>
      </c>
    </row>
    <row r="630" spans="1:26" x14ac:dyDescent="0.25">
      <c r="A630" s="2">
        <v>45819</v>
      </c>
      <c r="B630" t="s">
        <v>708</v>
      </c>
      <c r="C630" t="s">
        <v>117</v>
      </c>
      <c r="D630" t="s">
        <v>66</v>
      </c>
      <c r="E630" t="s">
        <v>51</v>
      </c>
      <c r="F630" t="s">
        <v>52</v>
      </c>
      <c r="G630" t="s">
        <v>40</v>
      </c>
      <c r="H630" t="s">
        <v>47</v>
      </c>
      <c r="I630">
        <v>59</v>
      </c>
      <c r="J630" s="3">
        <v>1509.5</v>
      </c>
      <c r="K630" s="3">
        <f>Table1[[#This Row],[Quantity]]*Table1[[#This Row],[Unit_Price]]</f>
        <v>89060.5</v>
      </c>
      <c r="L630" s="3">
        <v>6262.59</v>
      </c>
      <c r="M630" s="3">
        <f>Table1[[#This Row],[Gross_Sales]]-Table1[[#This Row],[Discount]]</f>
        <v>82797.91</v>
      </c>
      <c r="N630" s="3">
        <v>45179.96</v>
      </c>
      <c r="O630" s="3">
        <v>2145.73</v>
      </c>
      <c r="P630" s="3">
        <v>4620.99</v>
      </c>
      <c r="Q630" s="3">
        <v>3217.87</v>
      </c>
      <c r="R630" s="3">
        <v>2225.91</v>
      </c>
      <c r="S630" s="3">
        <f>SUM(Table1[[#This Row],[Product_Cost]:[Other_Cost]])</f>
        <v>57390.460000000006</v>
      </c>
      <c r="T630" s="3">
        <f>Table1[[#This Row],[Net_Sales]]-Table1[[#This Row],[Product_Cost]]</f>
        <v>37617.950000000004</v>
      </c>
      <c r="U630" s="3">
        <f>Table1[[#This Row],[Net_Sales]]-Table1[[#This Row],[Total_Cost]]</f>
        <v>25407.449999999997</v>
      </c>
      <c r="V630" s="4">
        <f>Table1[[#This Row],[Net_Profit]]/Table1[[#This Row],[Net_Sales]]</f>
        <v>0.30686100651574411</v>
      </c>
      <c r="W630" t="s">
        <v>33</v>
      </c>
      <c r="X630" t="s">
        <v>675</v>
      </c>
      <c r="Y630">
        <v>6</v>
      </c>
      <c r="Z630" t="str">
        <f>IF(Table1[[#This Row],[Month_No]]&lt;=6, "H1","H2")</f>
        <v>H1</v>
      </c>
    </row>
    <row r="631" spans="1:26" x14ac:dyDescent="0.25">
      <c r="A631" s="2">
        <v>45819</v>
      </c>
      <c r="B631" t="s">
        <v>709</v>
      </c>
      <c r="C631" t="s">
        <v>36</v>
      </c>
      <c r="D631" t="s">
        <v>100</v>
      </c>
      <c r="E631" t="s">
        <v>75</v>
      </c>
      <c r="F631" t="s">
        <v>46</v>
      </c>
      <c r="G631" t="s">
        <v>31</v>
      </c>
      <c r="H631" t="s">
        <v>47</v>
      </c>
      <c r="I631">
        <v>62</v>
      </c>
      <c r="J631" s="3">
        <v>7159.59</v>
      </c>
      <c r="K631" s="3">
        <f>Table1[[#This Row],[Quantity]]*Table1[[#This Row],[Unit_Price]]</f>
        <v>443894.58</v>
      </c>
      <c r="L631" s="3">
        <v>29705.39</v>
      </c>
      <c r="M631" s="3">
        <f>Table1[[#This Row],[Gross_Sales]]-Table1[[#This Row],[Discount]]</f>
        <v>414189.19</v>
      </c>
      <c r="N631" s="3">
        <v>258413.28</v>
      </c>
      <c r="O631" s="3">
        <v>12040.21</v>
      </c>
      <c r="P631" s="3">
        <v>24836.65</v>
      </c>
      <c r="Q631" s="3">
        <v>14948.83</v>
      </c>
      <c r="R631" s="3">
        <v>10116.99</v>
      </c>
      <c r="S631" s="3">
        <f>SUM(Table1[[#This Row],[Product_Cost]:[Other_Cost]])</f>
        <v>320355.96000000002</v>
      </c>
      <c r="T631" s="3">
        <f>Table1[[#This Row],[Net_Sales]]-Table1[[#This Row],[Product_Cost]]</f>
        <v>155775.91</v>
      </c>
      <c r="U631" s="3">
        <f>Table1[[#This Row],[Net_Sales]]-Table1[[#This Row],[Total_Cost]]</f>
        <v>93833.229999999981</v>
      </c>
      <c r="V631" s="4">
        <f>Table1[[#This Row],[Net_Profit]]/Table1[[#This Row],[Net_Sales]]</f>
        <v>0.22654678650594426</v>
      </c>
      <c r="W631" t="s">
        <v>33</v>
      </c>
      <c r="X631" t="s">
        <v>675</v>
      </c>
      <c r="Y631">
        <v>6</v>
      </c>
      <c r="Z631" t="str">
        <f>IF(Table1[[#This Row],[Month_No]]&lt;=6, "H1","H2")</f>
        <v>H1</v>
      </c>
    </row>
    <row r="632" spans="1:26" x14ac:dyDescent="0.25">
      <c r="A632" s="2">
        <v>45819</v>
      </c>
      <c r="B632" t="s">
        <v>710</v>
      </c>
      <c r="C632" t="s">
        <v>83</v>
      </c>
      <c r="D632" t="s">
        <v>37</v>
      </c>
      <c r="E632" t="s">
        <v>38</v>
      </c>
      <c r="F632" t="s">
        <v>46</v>
      </c>
      <c r="G632" t="s">
        <v>64</v>
      </c>
      <c r="H632" t="s">
        <v>47</v>
      </c>
      <c r="I632">
        <v>74</v>
      </c>
      <c r="J632" s="3">
        <v>4414</v>
      </c>
      <c r="K632" s="3">
        <f>Table1[[#This Row],[Quantity]]*Table1[[#This Row],[Unit_Price]]</f>
        <v>326636</v>
      </c>
      <c r="L632" s="3">
        <v>29122.46</v>
      </c>
      <c r="M632" s="3">
        <f>Table1[[#This Row],[Gross_Sales]]-Table1[[#This Row],[Discount]]</f>
        <v>297513.53999999998</v>
      </c>
      <c r="N632" s="3">
        <v>222544.07</v>
      </c>
      <c r="O632" s="3">
        <v>9720.42</v>
      </c>
      <c r="P632" s="3">
        <v>20979.06</v>
      </c>
      <c r="Q632" s="3">
        <v>14252.13</v>
      </c>
      <c r="R632" s="3">
        <v>7473.32</v>
      </c>
      <c r="S632" s="3">
        <f>SUM(Table1[[#This Row],[Product_Cost]:[Other_Cost]])</f>
        <v>274969</v>
      </c>
      <c r="T632" s="3">
        <f>Table1[[#This Row],[Net_Sales]]-Table1[[#This Row],[Product_Cost]]</f>
        <v>74969.469999999972</v>
      </c>
      <c r="U632" s="3">
        <f>Table1[[#This Row],[Net_Sales]]-Table1[[#This Row],[Total_Cost]]</f>
        <v>22544.539999999979</v>
      </c>
      <c r="V632" s="4">
        <f>Table1[[#This Row],[Net_Profit]]/Table1[[#This Row],[Net_Sales]]</f>
        <v>7.577651759983757E-2</v>
      </c>
      <c r="W632" t="s">
        <v>33</v>
      </c>
      <c r="X632" t="s">
        <v>675</v>
      </c>
      <c r="Y632">
        <v>6</v>
      </c>
      <c r="Z632" t="str">
        <f>IF(Table1[[#This Row],[Month_No]]&lt;=6, "H1","H2")</f>
        <v>H1</v>
      </c>
    </row>
    <row r="633" spans="1:26" x14ac:dyDescent="0.25">
      <c r="A633" s="2">
        <v>45819</v>
      </c>
      <c r="B633" t="s">
        <v>711</v>
      </c>
      <c r="C633" t="s">
        <v>83</v>
      </c>
      <c r="D633" t="s">
        <v>68</v>
      </c>
      <c r="E633" t="s">
        <v>29</v>
      </c>
      <c r="F633" t="s">
        <v>46</v>
      </c>
      <c r="G633" t="s">
        <v>76</v>
      </c>
      <c r="H633" t="s">
        <v>41</v>
      </c>
      <c r="I633">
        <v>116</v>
      </c>
      <c r="J633" s="3">
        <v>379.28</v>
      </c>
      <c r="K633" s="3">
        <f>Table1[[#This Row],[Quantity]]*Table1[[#This Row],[Unit_Price]]</f>
        <v>43996.479999999996</v>
      </c>
      <c r="L633" s="3">
        <v>3056.16</v>
      </c>
      <c r="M633" s="3">
        <f>Table1[[#This Row],[Gross_Sales]]-Table1[[#This Row],[Discount]]</f>
        <v>40940.319999999992</v>
      </c>
      <c r="N633" s="3">
        <v>32006.73</v>
      </c>
      <c r="O633" s="3">
        <v>1274.24</v>
      </c>
      <c r="P633" s="3">
        <v>2634.63</v>
      </c>
      <c r="Q633" s="3">
        <v>2074.54</v>
      </c>
      <c r="R633" s="3">
        <v>1133.0999999999999</v>
      </c>
      <c r="S633" s="3">
        <f>SUM(Table1[[#This Row],[Product_Cost]:[Other_Cost]])</f>
        <v>39123.24</v>
      </c>
      <c r="T633" s="3">
        <f>Table1[[#This Row],[Net_Sales]]-Table1[[#This Row],[Product_Cost]]</f>
        <v>8933.5899999999929</v>
      </c>
      <c r="U633" s="3">
        <f>Table1[[#This Row],[Net_Sales]]-Table1[[#This Row],[Total_Cost]]</f>
        <v>1817.0799999999945</v>
      </c>
      <c r="V633" s="4">
        <f>Table1[[#This Row],[Net_Profit]]/Table1[[#This Row],[Net_Sales]]</f>
        <v>4.438362963455085E-2</v>
      </c>
      <c r="W633" t="s">
        <v>33</v>
      </c>
      <c r="X633" t="s">
        <v>675</v>
      </c>
      <c r="Y633">
        <v>6</v>
      </c>
      <c r="Z633" t="str">
        <f>IF(Table1[[#This Row],[Month_No]]&lt;=6, "H1","H2")</f>
        <v>H1</v>
      </c>
    </row>
    <row r="634" spans="1:26" x14ac:dyDescent="0.25">
      <c r="A634" s="2">
        <v>45820</v>
      </c>
      <c r="B634" t="s">
        <v>712</v>
      </c>
      <c r="C634" t="s">
        <v>27</v>
      </c>
      <c r="D634" t="s">
        <v>74</v>
      </c>
      <c r="E634" t="s">
        <v>75</v>
      </c>
      <c r="F634" t="s">
        <v>52</v>
      </c>
      <c r="G634" t="s">
        <v>31</v>
      </c>
      <c r="H634" t="s">
        <v>41</v>
      </c>
      <c r="I634">
        <v>87</v>
      </c>
      <c r="J634" s="3">
        <v>5542.09</v>
      </c>
      <c r="K634" s="3">
        <f>Table1[[#This Row],[Quantity]]*Table1[[#This Row],[Unit_Price]]</f>
        <v>482161.83</v>
      </c>
      <c r="L634" s="3">
        <v>41693.120000000003</v>
      </c>
      <c r="M634" s="3">
        <f>Table1[[#This Row],[Gross_Sales]]-Table1[[#This Row],[Discount]]</f>
        <v>440468.71</v>
      </c>
      <c r="N634" s="3">
        <v>328844.75</v>
      </c>
      <c r="O634" s="3">
        <v>11019.33</v>
      </c>
      <c r="P634" s="3">
        <v>27346.93</v>
      </c>
      <c r="Q634" s="3">
        <v>16404.11</v>
      </c>
      <c r="R634" s="3">
        <v>9782.4</v>
      </c>
      <c r="S634" s="3">
        <f>SUM(Table1[[#This Row],[Product_Cost]:[Other_Cost]])</f>
        <v>393397.52</v>
      </c>
      <c r="T634" s="3">
        <f>Table1[[#This Row],[Net_Sales]]-Table1[[#This Row],[Product_Cost]]</f>
        <v>111623.96000000002</v>
      </c>
      <c r="U634" s="3">
        <f>Table1[[#This Row],[Net_Sales]]-Table1[[#This Row],[Total_Cost]]</f>
        <v>47071.19</v>
      </c>
      <c r="V634" s="4">
        <f>Table1[[#This Row],[Net_Profit]]/Table1[[#This Row],[Net_Sales]]</f>
        <v>0.1068661381190959</v>
      </c>
      <c r="W634" t="s">
        <v>72</v>
      </c>
      <c r="X634" t="s">
        <v>675</v>
      </c>
      <c r="Y634">
        <v>6</v>
      </c>
      <c r="Z634" t="str">
        <f>IF(Table1[[#This Row],[Month_No]]&lt;=6, "H1","H2")</f>
        <v>H1</v>
      </c>
    </row>
    <row r="635" spans="1:26" x14ac:dyDescent="0.25">
      <c r="A635" s="2">
        <v>45820</v>
      </c>
      <c r="B635" t="s">
        <v>713</v>
      </c>
      <c r="C635" t="s">
        <v>117</v>
      </c>
      <c r="D635" t="s">
        <v>44</v>
      </c>
      <c r="E635" t="s">
        <v>45</v>
      </c>
      <c r="F635" t="s">
        <v>46</v>
      </c>
      <c r="G635" t="s">
        <v>58</v>
      </c>
      <c r="H635" t="s">
        <v>59</v>
      </c>
      <c r="I635">
        <v>73</v>
      </c>
      <c r="J635" s="3">
        <v>4523.8599999999997</v>
      </c>
      <c r="K635" s="3">
        <f>Table1[[#This Row],[Quantity]]*Table1[[#This Row],[Unit_Price]]</f>
        <v>330241.77999999997</v>
      </c>
      <c r="L635" s="3">
        <v>22789.31</v>
      </c>
      <c r="M635" s="3">
        <f>Table1[[#This Row],[Gross_Sales]]-Table1[[#This Row],[Discount]]</f>
        <v>307452.46999999997</v>
      </c>
      <c r="N635" s="3">
        <v>224837.91</v>
      </c>
      <c r="O635" s="3">
        <v>9975.4500000000007</v>
      </c>
      <c r="P635" s="3">
        <v>18405.080000000002</v>
      </c>
      <c r="Q635" s="3">
        <v>12106.21</v>
      </c>
      <c r="R635" s="3">
        <v>6503.33</v>
      </c>
      <c r="S635" s="3">
        <f>SUM(Table1[[#This Row],[Product_Cost]:[Other_Cost]])</f>
        <v>271827.98000000004</v>
      </c>
      <c r="T635" s="3">
        <f>Table1[[#This Row],[Net_Sales]]-Table1[[#This Row],[Product_Cost]]</f>
        <v>82614.559999999969</v>
      </c>
      <c r="U635" s="3">
        <f>Table1[[#This Row],[Net_Sales]]-Table1[[#This Row],[Total_Cost]]</f>
        <v>35624.489999999932</v>
      </c>
      <c r="V635" s="4">
        <f>Table1[[#This Row],[Net_Profit]]/Table1[[#This Row],[Net_Sales]]</f>
        <v>0.11586990990835083</v>
      </c>
      <c r="W635" t="s">
        <v>72</v>
      </c>
      <c r="X635" t="s">
        <v>675</v>
      </c>
      <c r="Y635">
        <v>6</v>
      </c>
      <c r="Z635" t="str">
        <f>IF(Table1[[#This Row],[Month_No]]&lt;=6, "H1","H2")</f>
        <v>H1</v>
      </c>
    </row>
    <row r="636" spans="1:26" x14ac:dyDescent="0.25">
      <c r="A636" s="2">
        <v>45820</v>
      </c>
      <c r="B636" t="s">
        <v>714</v>
      </c>
      <c r="C636" t="s">
        <v>117</v>
      </c>
      <c r="D636" t="s">
        <v>100</v>
      </c>
      <c r="E636" t="s">
        <v>75</v>
      </c>
      <c r="F636" t="s">
        <v>46</v>
      </c>
      <c r="G636" t="s">
        <v>40</v>
      </c>
      <c r="H636" t="s">
        <v>32</v>
      </c>
      <c r="I636">
        <v>82</v>
      </c>
      <c r="J636" s="3">
        <v>7251.41</v>
      </c>
      <c r="K636" s="3">
        <f>Table1[[#This Row],[Quantity]]*Table1[[#This Row],[Unit_Price]]</f>
        <v>594615.62</v>
      </c>
      <c r="L636" s="3">
        <v>51617.31</v>
      </c>
      <c r="M636" s="3">
        <f>Table1[[#This Row],[Gross_Sales]]-Table1[[#This Row],[Discount]]</f>
        <v>542998.31000000006</v>
      </c>
      <c r="N636" s="3">
        <v>323689.75</v>
      </c>
      <c r="O636" s="3">
        <v>16225.91</v>
      </c>
      <c r="P636" s="3">
        <v>34663.629999999997</v>
      </c>
      <c r="Q636" s="3">
        <v>23111.52</v>
      </c>
      <c r="R636" s="3">
        <v>16336.43</v>
      </c>
      <c r="S636" s="3">
        <f>SUM(Table1[[#This Row],[Product_Cost]:[Other_Cost]])</f>
        <v>414027.24</v>
      </c>
      <c r="T636" s="3">
        <f>Table1[[#This Row],[Net_Sales]]-Table1[[#This Row],[Product_Cost]]</f>
        <v>219308.56000000006</v>
      </c>
      <c r="U636" s="3">
        <f>Table1[[#This Row],[Net_Sales]]-Table1[[#This Row],[Total_Cost]]</f>
        <v>128971.07000000007</v>
      </c>
      <c r="V636" s="4">
        <f>Table1[[#This Row],[Net_Profit]]/Table1[[#This Row],[Net_Sales]]</f>
        <v>0.23751652192066686</v>
      </c>
      <c r="W636" t="s">
        <v>33</v>
      </c>
      <c r="X636" t="s">
        <v>675</v>
      </c>
      <c r="Y636">
        <v>6</v>
      </c>
      <c r="Z636" t="str">
        <f>IF(Table1[[#This Row],[Month_No]]&lt;=6, "H1","H2")</f>
        <v>H1</v>
      </c>
    </row>
    <row r="637" spans="1:26" x14ac:dyDescent="0.25">
      <c r="A637" s="2">
        <v>45820</v>
      </c>
      <c r="B637" t="s">
        <v>715</v>
      </c>
      <c r="C637" t="s">
        <v>117</v>
      </c>
      <c r="D637" t="s">
        <v>56</v>
      </c>
      <c r="E637" t="s">
        <v>57</v>
      </c>
      <c r="F637" t="s">
        <v>52</v>
      </c>
      <c r="G637" t="s">
        <v>86</v>
      </c>
      <c r="H637" t="s">
        <v>59</v>
      </c>
      <c r="I637">
        <v>107</v>
      </c>
      <c r="J637" s="3">
        <v>3131.04</v>
      </c>
      <c r="K637" s="3">
        <f>Table1[[#This Row],[Quantity]]*Table1[[#This Row],[Unit_Price]]</f>
        <v>335021.27999999997</v>
      </c>
      <c r="L637" s="3">
        <v>19408.75</v>
      </c>
      <c r="M637" s="3">
        <f>Table1[[#This Row],[Gross_Sales]]-Table1[[#This Row],[Discount]]</f>
        <v>315612.52999999997</v>
      </c>
      <c r="N637" s="3">
        <v>185333.02</v>
      </c>
      <c r="O637" s="3">
        <v>7703.41</v>
      </c>
      <c r="P637" s="3">
        <v>17503.05</v>
      </c>
      <c r="Q637" s="3">
        <v>11539.82</v>
      </c>
      <c r="R637" s="3">
        <v>9458.08</v>
      </c>
      <c r="S637" s="3">
        <f>SUM(Table1[[#This Row],[Product_Cost]:[Other_Cost]])</f>
        <v>231537.37999999998</v>
      </c>
      <c r="T637" s="3">
        <f>Table1[[#This Row],[Net_Sales]]-Table1[[#This Row],[Product_Cost]]</f>
        <v>130279.50999999998</v>
      </c>
      <c r="U637" s="3">
        <f>Table1[[#This Row],[Net_Sales]]-Table1[[#This Row],[Total_Cost]]</f>
        <v>84075.15</v>
      </c>
      <c r="V637" s="4">
        <f>Table1[[#This Row],[Net_Profit]]/Table1[[#This Row],[Net_Sales]]</f>
        <v>0.26638723754091764</v>
      </c>
      <c r="W637" t="s">
        <v>33</v>
      </c>
      <c r="X637" t="s">
        <v>675</v>
      </c>
      <c r="Y637">
        <v>6</v>
      </c>
      <c r="Z637" t="str">
        <f>IF(Table1[[#This Row],[Month_No]]&lt;=6, "H1","H2")</f>
        <v>H1</v>
      </c>
    </row>
    <row r="638" spans="1:26" x14ac:dyDescent="0.25">
      <c r="A638" s="2">
        <v>45821</v>
      </c>
      <c r="B638" t="s">
        <v>716</v>
      </c>
      <c r="C638" t="s">
        <v>117</v>
      </c>
      <c r="D638" t="s">
        <v>68</v>
      </c>
      <c r="E638" t="s">
        <v>29</v>
      </c>
      <c r="F638" t="s">
        <v>46</v>
      </c>
      <c r="G638" t="s">
        <v>58</v>
      </c>
      <c r="H638" t="s">
        <v>32</v>
      </c>
      <c r="I638">
        <v>144</v>
      </c>
      <c r="J638" s="3">
        <v>382.57</v>
      </c>
      <c r="K638" s="3">
        <f>Table1[[#This Row],[Quantity]]*Table1[[#This Row],[Unit_Price]]</f>
        <v>55090.080000000002</v>
      </c>
      <c r="L638" s="3">
        <v>4838.32</v>
      </c>
      <c r="M638" s="3">
        <f>Table1[[#This Row],[Gross_Sales]]-Table1[[#This Row],[Discount]]</f>
        <v>50251.76</v>
      </c>
      <c r="N638" s="3">
        <v>39933.67</v>
      </c>
      <c r="O638" s="3">
        <v>1422.34</v>
      </c>
      <c r="P638" s="3">
        <v>3238.28</v>
      </c>
      <c r="Q638" s="3">
        <v>2703.14</v>
      </c>
      <c r="R638" s="3">
        <v>1356.33</v>
      </c>
      <c r="S638" s="3">
        <f>SUM(Table1[[#This Row],[Product_Cost]:[Other_Cost]])</f>
        <v>48653.759999999995</v>
      </c>
      <c r="T638" s="3">
        <f>Table1[[#This Row],[Net_Sales]]-Table1[[#This Row],[Product_Cost]]</f>
        <v>10318.090000000004</v>
      </c>
      <c r="U638" s="3">
        <f>Table1[[#This Row],[Net_Sales]]-Table1[[#This Row],[Total_Cost]]</f>
        <v>1598.0000000000073</v>
      </c>
      <c r="V638" s="4">
        <f>Table1[[#This Row],[Net_Profit]]/Table1[[#This Row],[Net_Sales]]</f>
        <v>3.1799881237990615E-2</v>
      </c>
      <c r="W638" t="s">
        <v>72</v>
      </c>
      <c r="X638" t="s">
        <v>675</v>
      </c>
      <c r="Y638">
        <v>6</v>
      </c>
      <c r="Z638" t="str">
        <f>IF(Table1[[#This Row],[Month_No]]&lt;=6, "H1","H2")</f>
        <v>H1</v>
      </c>
    </row>
    <row r="639" spans="1:26" x14ac:dyDescent="0.25">
      <c r="A639" s="2">
        <v>45821</v>
      </c>
      <c r="B639" t="s">
        <v>717</v>
      </c>
      <c r="C639" t="s">
        <v>117</v>
      </c>
      <c r="D639" t="s">
        <v>44</v>
      </c>
      <c r="E639" t="s">
        <v>45</v>
      </c>
      <c r="F639" t="s">
        <v>52</v>
      </c>
      <c r="G639" t="s">
        <v>86</v>
      </c>
      <c r="H639" t="s">
        <v>47</v>
      </c>
      <c r="I639">
        <v>47</v>
      </c>
      <c r="J639" s="3">
        <v>4481.8900000000003</v>
      </c>
      <c r="K639" s="3">
        <f>Table1[[#This Row],[Quantity]]*Table1[[#This Row],[Unit_Price]]</f>
        <v>210648.83000000002</v>
      </c>
      <c r="L639" s="3">
        <v>13143.2</v>
      </c>
      <c r="M639" s="3">
        <f>Table1[[#This Row],[Gross_Sales]]-Table1[[#This Row],[Discount]]</f>
        <v>197505.63</v>
      </c>
      <c r="N639" s="3">
        <v>146858.91</v>
      </c>
      <c r="O639" s="3">
        <v>5556.96</v>
      </c>
      <c r="P639" s="3">
        <v>13378.92</v>
      </c>
      <c r="Q639" s="3">
        <v>7505.72</v>
      </c>
      <c r="R639" s="3">
        <v>5295.21</v>
      </c>
      <c r="S639" s="3">
        <f>SUM(Table1[[#This Row],[Product_Cost]:[Other_Cost]])</f>
        <v>178595.72</v>
      </c>
      <c r="T639" s="3">
        <f>Table1[[#This Row],[Net_Sales]]-Table1[[#This Row],[Product_Cost]]</f>
        <v>50646.720000000001</v>
      </c>
      <c r="U639" s="3">
        <f>Table1[[#This Row],[Net_Sales]]-Table1[[#This Row],[Total_Cost]]</f>
        <v>18909.910000000003</v>
      </c>
      <c r="V639" s="4">
        <f>Table1[[#This Row],[Net_Profit]]/Table1[[#This Row],[Net_Sales]]</f>
        <v>9.5743650446825257E-2</v>
      </c>
      <c r="W639" t="s">
        <v>33</v>
      </c>
      <c r="X639" t="s">
        <v>675</v>
      </c>
      <c r="Y639">
        <v>6</v>
      </c>
      <c r="Z639" t="str">
        <f>IF(Table1[[#This Row],[Month_No]]&lt;=6, "H1","H2")</f>
        <v>H1</v>
      </c>
    </row>
    <row r="640" spans="1:26" x14ac:dyDescent="0.25">
      <c r="A640" s="2">
        <v>45821</v>
      </c>
      <c r="B640" t="s">
        <v>718</v>
      </c>
      <c r="C640" t="s">
        <v>107</v>
      </c>
      <c r="D640" t="s">
        <v>50</v>
      </c>
      <c r="E640" t="s">
        <v>51</v>
      </c>
      <c r="F640" t="s">
        <v>52</v>
      </c>
      <c r="G640" t="s">
        <v>58</v>
      </c>
      <c r="H640" t="s">
        <v>59</v>
      </c>
      <c r="I640">
        <v>62</v>
      </c>
      <c r="J640" s="3">
        <v>893.3</v>
      </c>
      <c r="K640" s="3">
        <f>Table1[[#This Row],[Quantity]]*Table1[[#This Row],[Unit_Price]]</f>
        <v>55384.6</v>
      </c>
      <c r="L640" s="3">
        <v>4515.1000000000004</v>
      </c>
      <c r="M640" s="3">
        <f>Table1[[#This Row],[Gross_Sales]]-Table1[[#This Row],[Discount]]</f>
        <v>50869.5</v>
      </c>
      <c r="N640" s="3">
        <v>34259.730000000003</v>
      </c>
      <c r="O640" s="3">
        <v>1203.19</v>
      </c>
      <c r="P640" s="3">
        <v>3348.96</v>
      </c>
      <c r="Q640" s="3">
        <v>1922.99</v>
      </c>
      <c r="R640" s="3">
        <v>1440.36</v>
      </c>
      <c r="S640" s="3">
        <f>SUM(Table1[[#This Row],[Product_Cost]:[Other_Cost]])</f>
        <v>42175.23</v>
      </c>
      <c r="T640" s="3">
        <f>Table1[[#This Row],[Net_Sales]]-Table1[[#This Row],[Product_Cost]]</f>
        <v>16609.769999999997</v>
      </c>
      <c r="U640" s="3">
        <f>Table1[[#This Row],[Net_Sales]]-Table1[[#This Row],[Total_Cost]]</f>
        <v>8694.2699999999968</v>
      </c>
      <c r="V640" s="4">
        <f>Table1[[#This Row],[Net_Profit]]/Table1[[#This Row],[Net_Sales]]</f>
        <v>0.17091321911951163</v>
      </c>
      <c r="W640" t="s">
        <v>33</v>
      </c>
      <c r="X640" t="s">
        <v>675</v>
      </c>
      <c r="Y640">
        <v>6</v>
      </c>
      <c r="Z640" t="str">
        <f>IF(Table1[[#This Row],[Month_No]]&lt;=6, "H1","H2")</f>
        <v>H1</v>
      </c>
    </row>
    <row r="641" spans="1:26" x14ac:dyDescent="0.25">
      <c r="A641" s="2">
        <v>45822</v>
      </c>
      <c r="B641" t="s">
        <v>719</v>
      </c>
      <c r="C641" t="s">
        <v>55</v>
      </c>
      <c r="D641" t="s">
        <v>85</v>
      </c>
      <c r="E641" t="s">
        <v>57</v>
      </c>
      <c r="F641" t="s">
        <v>46</v>
      </c>
      <c r="G641" t="s">
        <v>61</v>
      </c>
      <c r="H641" t="s">
        <v>41</v>
      </c>
      <c r="I641">
        <v>104</v>
      </c>
      <c r="J641" s="3">
        <v>1905.6</v>
      </c>
      <c r="K641" s="3">
        <f>Table1[[#This Row],[Quantity]]*Table1[[#This Row],[Unit_Price]]</f>
        <v>198182.39999999999</v>
      </c>
      <c r="L641" s="3">
        <v>14971.75</v>
      </c>
      <c r="M641" s="3">
        <f>Table1[[#This Row],[Gross_Sales]]-Table1[[#This Row],[Discount]]</f>
        <v>183210.65</v>
      </c>
      <c r="N641" s="3">
        <v>132710.54</v>
      </c>
      <c r="O641" s="3">
        <v>6028.94</v>
      </c>
      <c r="P641" s="3">
        <v>11598.31</v>
      </c>
      <c r="Q641" s="3">
        <v>8473.83</v>
      </c>
      <c r="R641" s="3">
        <v>4386.46</v>
      </c>
      <c r="S641" s="3">
        <f>SUM(Table1[[#This Row],[Product_Cost]:[Other_Cost]])</f>
        <v>163198.07999999999</v>
      </c>
      <c r="T641" s="3">
        <f>Table1[[#This Row],[Net_Sales]]-Table1[[#This Row],[Product_Cost]]</f>
        <v>50500.109999999986</v>
      </c>
      <c r="U641" s="3">
        <f>Table1[[#This Row],[Net_Sales]]-Table1[[#This Row],[Total_Cost]]</f>
        <v>20012.570000000007</v>
      </c>
      <c r="V641" s="4">
        <f>Table1[[#This Row],[Net_Profit]]/Table1[[#This Row],[Net_Sales]]</f>
        <v>0.10923256917651898</v>
      </c>
      <c r="W641" t="s">
        <v>33</v>
      </c>
      <c r="X641" t="s">
        <v>675</v>
      </c>
      <c r="Y641">
        <v>6</v>
      </c>
      <c r="Z641" t="str">
        <f>IF(Table1[[#This Row],[Month_No]]&lt;=6, "H1","H2")</f>
        <v>H1</v>
      </c>
    </row>
    <row r="642" spans="1:26" x14ac:dyDescent="0.25">
      <c r="A642" s="2">
        <v>45822</v>
      </c>
      <c r="B642" t="s">
        <v>720</v>
      </c>
      <c r="C642" t="s">
        <v>117</v>
      </c>
      <c r="D642" t="s">
        <v>68</v>
      </c>
      <c r="E642" t="s">
        <v>29</v>
      </c>
      <c r="F642" t="s">
        <v>52</v>
      </c>
      <c r="G642" t="s">
        <v>76</v>
      </c>
      <c r="H642" t="s">
        <v>41</v>
      </c>
      <c r="I642">
        <v>145</v>
      </c>
      <c r="J642" s="3">
        <v>381.57</v>
      </c>
      <c r="K642" s="3">
        <f>Table1[[#This Row],[Quantity]]*Table1[[#This Row],[Unit_Price]]</f>
        <v>55327.65</v>
      </c>
      <c r="L642" s="3">
        <v>4561.71</v>
      </c>
      <c r="M642" s="3">
        <f>Table1[[#This Row],[Gross_Sales]]-Table1[[#This Row],[Discount]]</f>
        <v>50765.94</v>
      </c>
      <c r="N642" s="3">
        <v>40401.65</v>
      </c>
      <c r="O642" s="3">
        <v>1325.24</v>
      </c>
      <c r="P642" s="3">
        <v>3175.18</v>
      </c>
      <c r="Q642" s="3">
        <v>2677.91</v>
      </c>
      <c r="R642" s="3">
        <v>1192.47</v>
      </c>
      <c r="S642" s="3">
        <f>SUM(Table1[[#This Row],[Product_Cost]:[Other_Cost]])</f>
        <v>48772.45</v>
      </c>
      <c r="T642" s="3">
        <f>Table1[[#This Row],[Net_Sales]]-Table1[[#This Row],[Product_Cost]]</f>
        <v>10364.290000000001</v>
      </c>
      <c r="U642" s="3">
        <f>Table1[[#This Row],[Net_Sales]]-Table1[[#This Row],[Total_Cost]]</f>
        <v>1993.4900000000052</v>
      </c>
      <c r="V642" s="4">
        <f>Table1[[#This Row],[Net_Profit]]/Table1[[#This Row],[Net_Sales]]</f>
        <v>3.9268257418261246E-2</v>
      </c>
      <c r="W642" t="s">
        <v>33</v>
      </c>
      <c r="X642" t="s">
        <v>675</v>
      </c>
      <c r="Y642">
        <v>6</v>
      </c>
      <c r="Z642" t="str">
        <f>IF(Table1[[#This Row],[Month_No]]&lt;=6, "H1","H2")</f>
        <v>H1</v>
      </c>
    </row>
    <row r="643" spans="1:26" x14ac:dyDescent="0.25">
      <c r="A643" s="2">
        <v>45822</v>
      </c>
      <c r="B643" t="s">
        <v>721</v>
      </c>
      <c r="C643" t="s">
        <v>36</v>
      </c>
      <c r="D643" t="s">
        <v>68</v>
      </c>
      <c r="E643" t="s">
        <v>29</v>
      </c>
      <c r="F643" t="s">
        <v>46</v>
      </c>
      <c r="G643" t="s">
        <v>61</v>
      </c>
      <c r="H643" t="s">
        <v>47</v>
      </c>
      <c r="I643">
        <v>58</v>
      </c>
      <c r="J643" s="3">
        <v>381.87</v>
      </c>
      <c r="K643" s="3">
        <f>Table1[[#This Row],[Quantity]]*Table1[[#This Row],[Unit_Price]]</f>
        <v>22148.46</v>
      </c>
      <c r="L643" s="3">
        <v>1806.37</v>
      </c>
      <c r="M643" s="3">
        <f>Table1[[#This Row],[Gross_Sales]]-Table1[[#This Row],[Discount]]</f>
        <v>20342.09</v>
      </c>
      <c r="N643" s="3">
        <v>15570.98</v>
      </c>
      <c r="O643" s="3">
        <v>623.62</v>
      </c>
      <c r="P643" s="3">
        <v>1442.42</v>
      </c>
      <c r="Q643" s="3">
        <v>1036.3900000000001</v>
      </c>
      <c r="R643" s="3">
        <v>411.94</v>
      </c>
      <c r="S643" s="3">
        <f>SUM(Table1[[#This Row],[Product_Cost]:[Other_Cost]])</f>
        <v>19085.349999999999</v>
      </c>
      <c r="T643" s="3">
        <f>Table1[[#This Row],[Net_Sales]]-Table1[[#This Row],[Product_Cost]]</f>
        <v>4771.1100000000006</v>
      </c>
      <c r="U643" s="3">
        <f>Table1[[#This Row],[Net_Sales]]-Table1[[#This Row],[Total_Cost]]</f>
        <v>1256.7400000000016</v>
      </c>
      <c r="V643" s="4">
        <f>Table1[[#This Row],[Net_Profit]]/Table1[[#This Row],[Net_Sales]]</f>
        <v>6.1780279214181118E-2</v>
      </c>
      <c r="W643" t="s">
        <v>33</v>
      </c>
      <c r="X643" t="s">
        <v>675</v>
      </c>
      <c r="Y643">
        <v>6</v>
      </c>
      <c r="Z643" t="str">
        <f>IF(Table1[[#This Row],[Month_No]]&lt;=6, "H1","H2")</f>
        <v>H1</v>
      </c>
    </row>
    <row r="644" spans="1:26" x14ac:dyDescent="0.25">
      <c r="A644" s="2">
        <v>45822</v>
      </c>
      <c r="B644" t="s">
        <v>722</v>
      </c>
      <c r="C644" t="s">
        <v>107</v>
      </c>
      <c r="D644" t="s">
        <v>66</v>
      </c>
      <c r="E644" t="s">
        <v>51</v>
      </c>
      <c r="F644" t="s">
        <v>52</v>
      </c>
      <c r="G644" t="s">
        <v>61</v>
      </c>
      <c r="H644" t="s">
        <v>41</v>
      </c>
      <c r="I644">
        <v>58</v>
      </c>
      <c r="J644" s="3">
        <v>1551.04</v>
      </c>
      <c r="K644" s="3">
        <f>Table1[[#This Row],[Quantity]]*Table1[[#This Row],[Unit_Price]]</f>
        <v>89960.319999999992</v>
      </c>
      <c r="L644" s="3">
        <v>7847.44</v>
      </c>
      <c r="M644" s="3">
        <f>Table1[[#This Row],[Gross_Sales]]-Table1[[#This Row],[Discount]]</f>
        <v>82112.87999999999</v>
      </c>
      <c r="N644" s="3">
        <v>46419.96</v>
      </c>
      <c r="O644" s="3">
        <v>2330.34</v>
      </c>
      <c r="P644" s="3">
        <v>5564.19</v>
      </c>
      <c r="Q644" s="3">
        <v>3458.9</v>
      </c>
      <c r="R644" s="3">
        <v>2303.08</v>
      </c>
      <c r="S644" s="3">
        <f>SUM(Table1[[#This Row],[Product_Cost]:[Other_Cost]])</f>
        <v>60076.470000000008</v>
      </c>
      <c r="T644" s="3">
        <f>Table1[[#This Row],[Net_Sales]]-Table1[[#This Row],[Product_Cost]]</f>
        <v>35692.919999999991</v>
      </c>
      <c r="U644" s="3">
        <f>Table1[[#This Row],[Net_Sales]]-Table1[[#This Row],[Total_Cost]]</f>
        <v>22036.409999999982</v>
      </c>
      <c r="V644" s="4">
        <f>Table1[[#This Row],[Net_Profit]]/Table1[[#This Row],[Net_Sales]]</f>
        <v>0.2683672768510858</v>
      </c>
      <c r="W644" t="s">
        <v>33</v>
      </c>
      <c r="X644" t="s">
        <v>675</v>
      </c>
      <c r="Y644">
        <v>6</v>
      </c>
      <c r="Z644" t="str">
        <f>IF(Table1[[#This Row],[Month_No]]&lt;=6, "H1","H2")</f>
        <v>H1</v>
      </c>
    </row>
    <row r="645" spans="1:26" x14ac:dyDescent="0.25">
      <c r="A645" s="2">
        <v>45822</v>
      </c>
      <c r="B645" t="s">
        <v>723</v>
      </c>
      <c r="C645" t="s">
        <v>27</v>
      </c>
      <c r="D645" t="s">
        <v>81</v>
      </c>
      <c r="E645" t="s">
        <v>45</v>
      </c>
      <c r="F645" t="s">
        <v>30</v>
      </c>
      <c r="G645" t="s">
        <v>58</v>
      </c>
      <c r="H645" t="s">
        <v>59</v>
      </c>
      <c r="I645">
        <v>64</v>
      </c>
      <c r="J645" s="3">
        <v>6940.09</v>
      </c>
      <c r="K645" s="3">
        <f>Table1[[#This Row],[Quantity]]*Table1[[#This Row],[Unit_Price]]</f>
        <v>444165.76</v>
      </c>
      <c r="L645" s="3">
        <v>37635.83</v>
      </c>
      <c r="M645" s="3">
        <f>Table1[[#This Row],[Gross_Sales]]-Table1[[#This Row],[Discount]]</f>
        <v>406529.93</v>
      </c>
      <c r="N645" s="3">
        <v>233193.05</v>
      </c>
      <c r="O645" s="3">
        <v>15754.49</v>
      </c>
      <c r="P645" s="3">
        <v>30339.4</v>
      </c>
      <c r="Q645" s="3">
        <v>17862.64</v>
      </c>
      <c r="R645" s="3">
        <v>11161.38</v>
      </c>
      <c r="S645" s="3">
        <f>SUM(Table1[[#This Row],[Product_Cost]:[Other_Cost]])</f>
        <v>308310.96000000002</v>
      </c>
      <c r="T645" s="3">
        <f>Table1[[#This Row],[Net_Sales]]-Table1[[#This Row],[Product_Cost]]</f>
        <v>173336.88</v>
      </c>
      <c r="U645" s="3">
        <f>Table1[[#This Row],[Net_Sales]]-Table1[[#This Row],[Total_Cost]]</f>
        <v>98218.969999999972</v>
      </c>
      <c r="V645" s="4">
        <f>Table1[[#This Row],[Net_Profit]]/Table1[[#This Row],[Net_Sales]]</f>
        <v>0.2416032935139609</v>
      </c>
      <c r="W645" t="s">
        <v>33</v>
      </c>
      <c r="X645" t="s">
        <v>675</v>
      </c>
      <c r="Y645">
        <v>6</v>
      </c>
      <c r="Z645" t="str">
        <f>IF(Table1[[#This Row],[Month_No]]&lt;=6, "H1","H2")</f>
        <v>H1</v>
      </c>
    </row>
    <row r="646" spans="1:26" x14ac:dyDescent="0.25">
      <c r="A646" s="2">
        <v>45822</v>
      </c>
      <c r="B646" t="s">
        <v>724</v>
      </c>
      <c r="C646" t="s">
        <v>98</v>
      </c>
      <c r="D646" t="s">
        <v>37</v>
      </c>
      <c r="E646" t="s">
        <v>38</v>
      </c>
      <c r="F646" t="s">
        <v>39</v>
      </c>
      <c r="G646" t="s">
        <v>64</v>
      </c>
      <c r="H646" t="s">
        <v>47</v>
      </c>
      <c r="I646">
        <v>32</v>
      </c>
      <c r="J646" s="3">
        <v>4683</v>
      </c>
      <c r="K646" s="3">
        <f>Table1[[#This Row],[Quantity]]*Table1[[#This Row],[Unit_Price]]</f>
        <v>149856</v>
      </c>
      <c r="L646" s="3">
        <v>11199.88</v>
      </c>
      <c r="M646" s="3">
        <f>Table1[[#This Row],[Gross_Sales]]-Table1[[#This Row],[Discount]]</f>
        <v>138656.12</v>
      </c>
      <c r="N646" s="3">
        <v>104645</v>
      </c>
      <c r="O646" s="3">
        <v>5451.37</v>
      </c>
      <c r="P646" s="3">
        <v>7857.96</v>
      </c>
      <c r="Q646" s="3">
        <v>6608.36</v>
      </c>
      <c r="R646" s="3">
        <v>3851.14</v>
      </c>
      <c r="S646" s="3">
        <f>SUM(Table1[[#This Row],[Product_Cost]:[Other_Cost]])</f>
        <v>128413.83</v>
      </c>
      <c r="T646" s="3">
        <f>Table1[[#This Row],[Net_Sales]]-Table1[[#This Row],[Product_Cost]]</f>
        <v>34011.119999999995</v>
      </c>
      <c r="U646" s="3">
        <f>Table1[[#This Row],[Net_Sales]]-Table1[[#This Row],[Total_Cost]]</f>
        <v>10242.289999999994</v>
      </c>
      <c r="V646" s="4">
        <f>Table1[[#This Row],[Net_Profit]]/Table1[[#This Row],[Net_Sales]]</f>
        <v>7.3868286520638204E-2</v>
      </c>
      <c r="W646" t="s">
        <v>33</v>
      </c>
      <c r="X646" t="s">
        <v>675</v>
      </c>
      <c r="Y646">
        <v>6</v>
      </c>
      <c r="Z646" t="str">
        <f>IF(Table1[[#This Row],[Month_No]]&lt;=6, "H1","H2")</f>
        <v>H1</v>
      </c>
    </row>
    <row r="647" spans="1:26" x14ac:dyDescent="0.25">
      <c r="A647" s="2">
        <v>45823</v>
      </c>
      <c r="B647" t="s">
        <v>725</v>
      </c>
      <c r="C647" t="s">
        <v>36</v>
      </c>
      <c r="D647" t="s">
        <v>44</v>
      </c>
      <c r="E647" t="s">
        <v>45</v>
      </c>
      <c r="F647" t="s">
        <v>52</v>
      </c>
      <c r="G647" t="s">
        <v>40</v>
      </c>
      <c r="H647" t="s">
        <v>47</v>
      </c>
      <c r="I647">
        <v>49</v>
      </c>
      <c r="J647" s="3">
        <v>4412.3500000000004</v>
      </c>
      <c r="K647" s="3">
        <f>Table1[[#This Row],[Quantity]]*Table1[[#This Row],[Unit_Price]]</f>
        <v>216205.15000000002</v>
      </c>
      <c r="L647" s="3">
        <v>17657.72</v>
      </c>
      <c r="M647" s="3">
        <f>Table1[[#This Row],[Gross_Sales]]-Table1[[#This Row],[Discount]]</f>
        <v>198547.43000000002</v>
      </c>
      <c r="N647" s="3">
        <v>147505.15</v>
      </c>
      <c r="O647" s="3">
        <v>5643.83</v>
      </c>
      <c r="P647" s="3">
        <v>11223.07</v>
      </c>
      <c r="Q647" s="3">
        <v>10078.530000000001</v>
      </c>
      <c r="R647" s="3">
        <v>6009.82</v>
      </c>
      <c r="S647" s="3">
        <f>SUM(Table1[[#This Row],[Product_Cost]:[Other_Cost]])</f>
        <v>180460.4</v>
      </c>
      <c r="T647" s="3">
        <f>Table1[[#This Row],[Net_Sales]]-Table1[[#This Row],[Product_Cost]]</f>
        <v>51042.280000000028</v>
      </c>
      <c r="U647" s="3">
        <f>Table1[[#This Row],[Net_Sales]]-Table1[[#This Row],[Total_Cost]]</f>
        <v>18087.030000000028</v>
      </c>
      <c r="V647" s="4">
        <f>Table1[[#This Row],[Net_Profit]]/Table1[[#This Row],[Net_Sales]]</f>
        <v>9.1096772191914172E-2</v>
      </c>
      <c r="W647" t="s">
        <v>33</v>
      </c>
      <c r="X647" t="s">
        <v>675</v>
      </c>
      <c r="Y647">
        <v>6</v>
      </c>
      <c r="Z647" t="str">
        <f>IF(Table1[[#This Row],[Month_No]]&lt;=6, "H1","H2")</f>
        <v>H1</v>
      </c>
    </row>
    <row r="648" spans="1:26" x14ac:dyDescent="0.25">
      <c r="A648" s="2">
        <v>45823</v>
      </c>
      <c r="B648" t="s">
        <v>726</v>
      </c>
      <c r="C648" t="s">
        <v>43</v>
      </c>
      <c r="D648" t="s">
        <v>50</v>
      </c>
      <c r="E648" t="s">
        <v>51</v>
      </c>
      <c r="F648" t="s">
        <v>52</v>
      </c>
      <c r="G648" t="s">
        <v>58</v>
      </c>
      <c r="H648" t="s">
        <v>32</v>
      </c>
      <c r="I648">
        <v>42</v>
      </c>
      <c r="J648" s="3">
        <v>839.17</v>
      </c>
      <c r="K648" s="3">
        <f>Table1[[#This Row],[Quantity]]*Table1[[#This Row],[Unit_Price]]</f>
        <v>35245.14</v>
      </c>
      <c r="L648" s="3">
        <v>3312.96</v>
      </c>
      <c r="M648" s="3">
        <f>Table1[[#This Row],[Gross_Sales]]-Table1[[#This Row],[Discount]]</f>
        <v>31932.18</v>
      </c>
      <c r="N648" s="3">
        <v>21795.86</v>
      </c>
      <c r="O648" s="3">
        <v>898.48</v>
      </c>
      <c r="P648" s="3">
        <v>1867.25</v>
      </c>
      <c r="Q648" s="3">
        <v>1402.08</v>
      </c>
      <c r="R648" s="3">
        <v>770.15</v>
      </c>
      <c r="S648" s="3">
        <f>SUM(Table1[[#This Row],[Product_Cost]:[Other_Cost]])</f>
        <v>26733.82</v>
      </c>
      <c r="T648" s="3">
        <f>Table1[[#This Row],[Net_Sales]]-Table1[[#This Row],[Product_Cost]]</f>
        <v>10136.32</v>
      </c>
      <c r="U648" s="3">
        <f>Table1[[#This Row],[Net_Sales]]-Table1[[#This Row],[Total_Cost]]</f>
        <v>5198.3600000000006</v>
      </c>
      <c r="V648" s="4">
        <f>Table1[[#This Row],[Net_Profit]]/Table1[[#This Row],[Net_Sales]]</f>
        <v>0.16279377104851597</v>
      </c>
      <c r="W648" t="s">
        <v>33</v>
      </c>
      <c r="X648" t="s">
        <v>675</v>
      </c>
      <c r="Y648">
        <v>6</v>
      </c>
      <c r="Z648" t="str">
        <f>IF(Table1[[#This Row],[Month_No]]&lt;=6, "H1","H2")</f>
        <v>H1</v>
      </c>
    </row>
    <row r="649" spans="1:26" x14ac:dyDescent="0.25">
      <c r="A649" s="2">
        <v>45823</v>
      </c>
      <c r="B649" t="s">
        <v>727</v>
      </c>
      <c r="C649" t="s">
        <v>43</v>
      </c>
      <c r="D649" t="s">
        <v>66</v>
      </c>
      <c r="E649" t="s">
        <v>51</v>
      </c>
      <c r="F649" t="s">
        <v>52</v>
      </c>
      <c r="G649" t="s">
        <v>58</v>
      </c>
      <c r="H649" t="s">
        <v>47</v>
      </c>
      <c r="I649">
        <v>42</v>
      </c>
      <c r="J649" s="3">
        <v>1457.84</v>
      </c>
      <c r="K649" s="3">
        <f>Table1[[#This Row],[Quantity]]*Table1[[#This Row],[Unit_Price]]</f>
        <v>61229.279999999999</v>
      </c>
      <c r="L649" s="3">
        <v>4139.08</v>
      </c>
      <c r="M649" s="3">
        <f>Table1[[#This Row],[Gross_Sales]]-Table1[[#This Row],[Discount]]</f>
        <v>57090.2</v>
      </c>
      <c r="N649" s="3">
        <v>30477.31</v>
      </c>
      <c r="O649" s="3">
        <v>1346.74</v>
      </c>
      <c r="P649" s="3">
        <v>4068.49</v>
      </c>
      <c r="Q649" s="3">
        <v>2214.9499999999998</v>
      </c>
      <c r="R649" s="3">
        <v>1368.92</v>
      </c>
      <c r="S649" s="3">
        <f>SUM(Table1[[#This Row],[Product_Cost]:[Other_Cost]])</f>
        <v>39476.409999999996</v>
      </c>
      <c r="T649" s="3">
        <f>Table1[[#This Row],[Net_Sales]]-Table1[[#This Row],[Product_Cost]]</f>
        <v>26612.889999999996</v>
      </c>
      <c r="U649" s="3">
        <f>Table1[[#This Row],[Net_Sales]]-Table1[[#This Row],[Total_Cost]]</f>
        <v>17613.79</v>
      </c>
      <c r="V649" s="4">
        <f>Table1[[#This Row],[Net_Profit]]/Table1[[#This Row],[Net_Sales]]</f>
        <v>0.30852563136930683</v>
      </c>
      <c r="W649" t="s">
        <v>72</v>
      </c>
      <c r="X649" t="s">
        <v>675</v>
      </c>
      <c r="Y649">
        <v>6</v>
      </c>
      <c r="Z649" t="str">
        <f>IF(Table1[[#This Row],[Month_No]]&lt;=6, "H1","H2")</f>
        <v>H1</v>
      </c>
    </row>
    <row r="650" spans="1:26" x14ac:dyDescent="0.25">
      <c r="A650" s="2">
        <v>45823</v>
      </c>
      <c r="B650" t="s">
        <v>728</v>
      </c>
      <c r="C650" t="s">
        <v>63</v>
      </c>
      <c r="D650" t="s">
        <v>85</v>
      </c>
      <c r="E650" t="s">
        <v>57</v>
      </c>
      <c r="F650" t="s">
        <v>30</v>
      </c>
      <c r="G650" t="s">
        <v>64</v>
      </c>
      <c r="H650" t="s">
        <v>41</v>
      </c>
      <c r="I650">
        <v>87</v>
      </c>
      <c r="J650" s="3">
        <v>2025.84</v>
      </c>
      <c r="K650" s="3">
        <f>Table1[[#This Row],[Quantity]]*Table1[[#This Row],[Unit_Price]]</f>
        <v>176248.08</v>
      </c>
      <c r="L650" s="3">
        <v>15358.64</v>
      </c>
      <c r="M650" s="3">
        <f>Table1[[#This Row],[Gross_Sales]]-Table1[[#This Row],[Discount]]</f>
        <v>160889.44</v>
      </c>
      <c r="N650" s="3">
        <v>110282.04</v>
      </c>
      <c r="O650" s="3">
        <v>6328.62</v>
      </c>
      <c r="P650" s="3">
        <v>11935.33</v>
      </c>
      <c r="Q650" s="3">
        <v>6835.83</v>
      </c>
      <c r="R650" s="3">
        <v>5136.5600000000004</v>
      </c>
      <c r="S650" s="3">
        <f>SUM(Table1[[#This Row],[Product_Cost]:[Other_Cost]])</f>
        <v>140518.37999999998</v>
      </c>
      <c r="T650" s="3">
        <f>Table1[[#This Row],[Net_Sales]]-Table1[[#This Row],[Product_Cost]]</f>
        <v>50607.400000000009</v>
      </c>
      <c r="U650" s="3">
        <f>Table1[[#This Row],[Net_Sales]]-Table1[[#This Row],[Total_Cost]]</f>
        <v>20371.060000000027</v>
      </c>
      <c r="V650" s="4">
        <f>Table1[[#This Row],[Net_Profit]]/Table1[[#This Row],[Net_Sales]]</f>
        <v>0.1266152707101226</v>
      </c>
      <c r="W650" t="s">
        <v>72</v>
      </c>
      <c r="X650" t="s">
        <v>675</v>
      </c>
      <c r="Y650">
        <v>6</v>
      </c>
      <c r="Z650" t="str">
        <f>IF(Table1[[#This Row],[Month_No]]&lt;=6, "H1","H2")</f>
        <v>H1</v>
      </c>
    </row>
    <row r="651" spans="1:26" x14ac:dyDescent="0.25">
      <c r="A651" s="2">
        <v>45824</v>
      </c>
      <c r="B651" t="s">
        <v>729</v>
      </c>
      <c r="C651" t="s">
        <v>78</v>
      </c>
      <c r="D651" t="s">
        <v>100</v>
      </c>
      <c r="E651" t="s">
        <v>75</v>
      </c>
      <c r="F651" t="s">
        <v>30</v>
      </c>
      <c r="G651" t="s">
        <v>86</v>
      </c>
      <c r="H651" t="s">
        <v>47</v>
      </c>
      <c r="I651">
        <v>64</v>
      </c>
      <c r="J651" s="3">
        <v>6762.38</v>
      </c>
      <c r="K651" s="3">
        <f>Table1[[#This Row],[Quantity]]*Table1[[#This Row],[Unit_Price]]</f>
        <v>432792.32000000001</v>
      </c>
      <c r="L651" s="3">
        <v>30013.79</v>
      </c>
      <c r="M651" s="3">
        <f>Table1[[#This Row],[Gross_Sales]]-Table1[[#This Row],[Discount]]</f>
        <v>402778.53</v>
      </c>
      <c r="N651" s="3">
        <v>250699.18</v>
      </c>
      <c r="O651" s="3">
        <v>14609.49</v>
      </c>
      <c r="P651" s="3">
        <v>29548.13</v>
      </c>
      <c r="Q651" s="3">
        <v>16730.810000000001</v>
      </c>
      <c r="R651" s="3">
        <v>11159.11</v>
      </c>
      <c r="S651" s="3">
        <f>SUM(Table1[[#This Row],[Product_Cost]:[Other_Cost]])</f>
        <v>322746.71999999997</v>
      </c>
      <c r="T651" s="3">
        <f>Table1[[#This Row],[Net_Sales]]-Table1[[#This Row],[Product_Cost]]</f>
        <v>152079.35000000003</v>
      </c>
      <c r="U651" s="3">
        <f>Table1[[#This Row],[Net_Sales]]-Table1[[#This Row],[Total_Cost]]</f>
        <v>80031.810000000056</v>
      </c>
      <c r="V651" s="4">
        <f>Table1[[#This Row],[Net_Profit]]/Table1[[#This Row],[Net_Sales]]</f>
        <v>0.1986992951188338</v>
      </c>
      <c r="W651" t="s">
        <v>33</v>
      </c>
      <c r="X651" t="s">
        <v>675</v>
      </c>
      <c r="Y651">
        <v>6</v>
      </c>
      <c r="Z651" t="str">
        <f>IF(Table1[[#This Row],[Month_No]]&lt;=6, "H1","H2")</f>
        <v>H1</v>
      </c>
    </row>
    <row r="652" spans="1:26" x14ac:dyDescent="0.25">
      <c r="A652" s="2">
        <v>45824</v>
      </c>
      <c r="B652" t="s">
        <v>730</v>
      </c>
      <c r="C652" t="s">
        <v>117</v>
      </c>
      <c r="D652" t="s">
        <v>74</v>
      </c>
      <c r="E652" t="s">
        <v>75</v>
      </c>
      <c r="F652" t="s">
        <v>46</v>
      </c>
      <c r="G652" t="s">
        <v>86</v>
      </c>
      <c r="H652" t="s">
        <v>32</v>
      </c>
      <c r="I652">
        <v>104</v>
      </c>
      <c r="J652" s="3">
        <v>5648.81</v>
      </c>
      <c r="K652" s="3">
        <f>Table1[[#This Row],[Quantity]]*Table1[[#This Row],[Unit_Price]]</f>
        <v>587476.24</v>
      </c>
      <c r="L652" s="3">
        <v>53169.65</v>
      </c>
      <c r="M652" s="3">
        <f>Table1[[#This Row],[Gross_Sales]]-Table1[[#This Row],[Discount]]</f>
        <v>534306.59</v>
      </c>
      <c r="N652" s="3">
        <v>401877.64</v>
      </c>
      <c r="O652" s="3">
        <v>17325.580000000002</v>
      </c>
      <c r="P652" s="3">
        <v>36441.449999999997</v>
      </c>
      <c r="Q652" s="3">
        <v>28751.54</v>
      </c>
      <c r="R652" s="3">
        <v>11537.84</v>
      </c>
      <c r="S652" s="3">
        <f>SUM(Table1[[#This Row],[Product_Cost]:[Other_Cost]])</f>
        <v>495934.05000000005</v>
      </c>
      <c r="T652" s="3">
        <f>Table1[[#This Row],[Net_Sales]]-Table1[[#This Row],[Product_Cost]]</f>
        <v>132428.94999999995</v>
      </c>
      <c r="U652" s="3">
        <f>Table1[[#This Row],[Net_Sales]]-Table1[[#This Row],[Total_Cost]]</f>
        <v>38372.539999999921</v>
      </c>
      <c r="V652" s="4">
        <f>Table1[[#This Row],[Net_Profit]]/Table1[[#This Row],[Net_Sales]]</f>
        <v>7.1817455966620064E-2</v>
      </c>
      <c r="W652" t="s">
        <v>33</v>
      </c>
      <c r="X652" t="s">
        <v>675</v>
      </c>
      <c r="Y652">
        <v>6</v>
      </c>
      <c r="Z652" t="str">
        <f>IF(Table1[[#This Row],[Month_No]]&lt;=6, "H1","H2")</f>
        <v>H1</v>
      </c>
    </row>
    <row r="653" spans="1:26" x14ac:dyDescent="0.25">
      <c r="A653" s="2">
        <v>45825</v>
      </c>
      <c r="B653" t="s">
        <v>731</v>
      </c>
      <c r="C653" t="s">
        <v>107</v>
      </c>
      <c r="D653" t="s">
        <v>74</v>
      </c>
      <c r="E653" t="s">
        <v>75</v>
      </c>
      <c r="F653" t="s">
        <v>46</v>
      </c>
      <c r="G653" t="s">
        <v>40</v>
      </c>
      <c r="H653" t="s">
        <v>47</v>
      </c>
      <c r="I653">
        <v>55</v>
      </c>
      <c r="J653" s="3">
        <v>5850.9</v>
      </c>
      <c r="K653" s="3">
        <f>Table1[[#This Row],[Quantity]]*Table1[[#This Row],[Unit_Price]]</f>
        <v>321799.5</v>
      </c>
      <c r="L653" s="3">
        <v>20868.14</v>
      </c>
      <c r="M653" s="3">
        <f>Table1[[#This Row],[Gross_Sales]]-Table1[[#This Row],[Discount]]</f>
        <v>300931.36</v>
      </c>
      <c r="N653" s="3">
        <v>217207.43</v>
      </c>
      <c r="O653" s="3">
        <v>9876.91</v>
      </c>
      <c r="P653" s="3">
        <v>22217.38</v>
      </c>
      <c r="Q653" s="3">
        <v>13629.72</v>
      </c>
      <c r="R653" s="3">
        <v>8182.57</v>
      </c>
      <c r="S653" s="3">
        <f>SUM(Table1[[#This Row],[Product_Cost]:[Other_Cost]])</f>
        <v>271114.01</v>
      </c>
      <c r="T653" s="3">
        <f>Table1[[#This Row],[Net_Sales]]-Table1[[#This Row],[Product_Cost]]</f>
        <v>83723.929999999993</v>
      </c>
      <c r="U653" s="3">
        <f>Table1[[#This Row],[Net_Sales]]-Table1[[#This Row],[Total_Cost]]</f>
        <v>29817.349999999977</v>
      </c>
      <c r="V653" s="4">
        <f>Table1[[#This Row],[Net_Profit]]/Table1[[#This Row],[Net_Sales]]</f>
        <v>9.9083558456652635E-2</v>
      </c>
      <c r="W653" t="s">
        <v>33</v>
      </c>
      <c r="X653" t="s">
        <v>675</v>
      </c>
      <c r="Y653">
        <v>6</v>
      </c>
      <c r="Z653" t="str">
        <f>IF(Table1[[#This Row],[Month_No]]&lt;=6, "H1","H2")</f>
        <v>H1</v>
      </c>
    </row>
    <row r="654" spans="1:26" x14ac:dyDescent="0.25">
      <c r="A654" s="2">
        <v>45825</v>
      </c>
      <c r="B654" t="s">
        <v>732</v>
      </c>
      <c r="C654" t="s">
        <v>107</v>
      </c>
      <c r="D654" t="s">
        <v>44</v>
      </c>
      <c r="E654" t="s">
        <v>45</v>
      </c>
      <c r="F654" t="s">
        <v>39</v>
      </c>
      <c r="G654" t="s">
        <v>86</v>
      </c>
      <c r="H654" t="s">
        <v>59</v>
      </c>
      <c r="I654">
        <v>73</v>
      </c>
      <c r="J654" s="3">
        <v>4695.55</v>
      </c>
      <c r="K654" s="3">
        <f>Table1[[#This Row],[Quantity]]*Table1[[#This Row],[Unit_Price]]</f>
        <v>342775.15</v>
      </c>
      <c r="L654" s="3">
        <v>22259.52</v>
      </c>
      <c r="M654" s="3">
        <f>Table1[[#This Row],[Gross_Sales]]-Table1[[#This Row],[Discount]]</f>
        <v>320515.63</v>
      </c>
      <c r="N654" s="3">
        <v>233637.11</v>
      </c>
      <c r="O654" s="3">
        <v>13602.82</v>
      </c>
      <c r="P654" s="3">
        <v>17861.419999999998</v>
      </c>
      <c r="Q654" s="3">
        <v>15213.16</v>
      </c>
      <c r="R654" s="3">
        <v>8960.4500000000007</v>
      </c>
      <c r="S654" s="3">
        <f>SUM(Table1[[#This Row],[Product_Cost]:[Other_Cost]])</f>
        <v>289274.95999999996</v>
      </c>
      <c r="T654" s="3">
        <f>Table1[[#This Row],[Net_Sales]]-Table1[[#This Row],[Product_Cost]]</f>
        <v>86878.520000000019</v>
      </c>
      <c r="U654" s="3">
        <f>Table1[[#This Row],[Net_Sales]]-Table1[[#This Row],[Total_Cost]]</f>
        <v>31240.670000000042</v>
      </c>
      <c r="V654" s="4">
        <f>Table1[[#This Row],[Net_Profit]]/Table1[[#This Row],[Net_Sales]]</f>
        <v>9.7470036016652425E-2</v>
      </c>
      <c r="W654" t="s">
        <v>72</v>
      </c>
      <c r="X654" t="s">
        <v>675</v>
      </c>
      <c r="Y654">
        <v>6</v>
      </c>
      <c r="Z654" t="str">
        <f>IF(Table1[[#This Row],[Month_No]]&lt;=6, "H1","H2")</f>
        <v>H1</v>
      </c>
    </row>
    <row r="655" spans="1:26" x14ac:dyDescent="0.25">
      <c r="A655" s="2">
        <v>45825</v>
      </c>
      <c r="B655" t="s">
        <v>733</v>
      </c>
      <c r="C655" t="s">
        <v>78</v>
      </c>
      <c r="D655" t="s">
        <v>44</v>
      </c>
      <c r="E655" t="s">
        <v>45</v>
      </c>
      <c r="F655" t="s">
        <v>30</v>
      </c>
      <c r="G655" t="s">
        <v>64</v>
      </c>
      <c r="H655" t="s">
        <v>59</v>
      </c>
      <c r="I655">
        <v>68</v>
      </c>
      <c r="J655" s="3">
        <v>4477.6099999999997</v>
      </c>
      <c r="K655" s="3">
        <f>Table1[[#This Row],[Quantity]]*Table1[[#This Row],[Unit_Price]]</f>
        <v>304477.48</v>
      </c>
      <c r="L655" s="3">
        <v>19336.63</v>
      </c>
      <c r="M655" s="3">
        <f>Table1[[#This Row],[Gross_Sales]]-Table1[[#This Row],[Discount]]</f>
        <v>285140.84999999998</v>
      </c>
      <c r="N655" s="3">
        <v>208238.92</v>
      </c>
      <c r="O655" s="3">
        <v>9793.98</v>
      </c>
      <c r="P655" s="3">
        <v>20248.88</v>
      </c>
      <c r="Q655" s="3">
        <v>15634.93</v>
      </c>
      <c r="R655" s="3">
        <v>6125.44</v>
      </c>
      <c r="S655" s="3">
        <f>SUM(Table1[[#This Row],[Product_Cost]:[Other_Cost]])</f>
        <v>260042.15000000002</v>
      </c>
      <c r="T655" s="3">
        <f>Table1[[#This Row],[Net_Sales]]-Table1[[#This Row],[Product_Cost]]</f>
        <v>76901.929999999964</v>
      </c>
      <c r="U655" s="3">
        <f>Table1[[#This Row],[Net_Sales]]-Table1[[#This Row],[Total_Cost]]</f>
        <v>25098.699999999953</v>
      </c>
      <c r="V655" s="4">
        <f>Table1[[#This Row],[Net_Profit]]/Table1[[#This Row],[Net_Sales]]</f>
        <v>8.802211258050173E-2</v>
      </c>
      <c r="W655" t="s">
        <v>33</v>
      </c>
      <c r="X655" t="s">
        <v>675</v>
      </c>
      <c r="Y655">
        <v>6</v>
      </c>
      <c r="Z655" t="str">
        <f>IF(Table1[[#This Row],[Month_No]]&lt;=6, "H1","H2")</f>
        <v>H1</v>
      </c>
    </row>
    <row r="656" spans="1:26" x14ac:dyDescent="0.25">
      <c r="A656" s="2">
        <v>45825</v>
      </c>
      <c r="B656" t="s">
        <v>734</v>
      </c>
      <c r="C656" t="s">
        <v>78</v>
      </c>
      <c r="D656" t="s">
        <v>85</v>
      </c>
      <c r="E656" t="s">
        <v>57</v>
      </c>
      <c r="F656" t="s">
        <v>30</v>
      </c>
      <c r="G656" t="s">
        <v>40</v>
      </c>
      <c r="H656" t="s">
        <v>47</v>
      </c>
      <c r="I656">
        <v>63</v>
      </c>
      <c r="J656" s="3">
        <v>1893.46</v>
      </c>
      <c r="K656" s="3">
        <f>Table1[[#This Row],[Quantity]]*Table1[[#This Row],[Unit_Price]]</f>
        <v>119287.98</v>
      </c>
      <c r="L656" s="3">
        <v>8903.4</v>
      </c>
      <c r="M656" s="3">
        <f>Table1[[#This Row],[Gross_Sales]]-Table1[[#This Row],[Discount]]</f>
        <v>110384.58</v>
      </c>
      <c r="N656" s="3">
        <v>75519.78</v>
      </c>
      <c r="O656" s="3">
        <v>4315.6899999999996</v>
      </c>
      <c r="P656" s="3">
        <v>7352.46</v>
      </c>
      <c r="Q656" s="3">
        <v>5113.96</v>
      </c>
      <c r="R656" s="3">
        <v>2571.59</v>
      </c>
      <c r="S656" s="3">
        <f>SUM(Table1[[#This Row],[Product_Cost]:[Other_Cost]])</f>
        <v>94873.48000000001</v>
      </c>
      <c r="T656" s="3">
        <f>Table1[[#This Row],[Net_Sales]]-Table1[[#This Row],[Product_Cost]]</f>
        <v>34864.800000000003</v>
      </c>
      <c r="U656" s="3">
        <f>Table1[[#This Row],[Net_Sales]]-Table1[[#This Row],[Total_Cost]]</f>
        <v>15511.099999999991</v>
      </c>
      <c r="V656" s="4">
        <f>Table1[[#This Row],[Net_Profit]]/Table1[[#This Row],[Net_Sales]]</f>
        <v>0.14051872100251675</v>
      </c>
      <c r="W656" t="s">
        <v>33</v>
      </c>
      <c r="X656" t="s">
        <v>675</v>
      </c>
      <c r="Y656">
        <v>6</v>
      </c>
      <c r="Z656" t="str">
        <f>IF(Table1[[#This Row],[Month_No]]&lt;=6, "H1","H2")</f>
        <v>H1</v>
      </c>
    </row>
    <row r="657" spans="1:26" x14ac:dyDescent="0.25">
      <c r="A657" s="2">
        <v>45825</v>
      </c>
      <c r="B657" t="s">
        <v>735</v>
      </c>
      <c r="C657" t="s">
        <v>43</v>
      </c>
      <c r="D657" t="s">
        <v>28</v>
      </c>
      <c r="E657" t="s">
        <v>29</v>
      </c>
      <c r="F657" t="s">
        <v>52</v>
      </c>
      <c r="G657" t="s">
        <v>64</v>
      </c>
      <c r="H657" t="s">
        <v>47</v>
      </c>
      <c r="I657">
        <v>67</v>
      </c>
      <c r="J657" s="3">
        <v>1149.8</v>
      </c>
      <c r="K657" s="3">
        <f>Table1[[#This Row],[Quantity]]*Table1[[#This Row],[Unit_Price]]</f>
        <v>77036.599999999991</v>
      </c>
      <c r="L657" s="3">
        <v>6825.7</v>
      </c>
      <c r="M657" s="3">
        <f>Table1[[#This Row],[Gross_Sales]]-Table1[[#This Row],[Discount]]</f>
        <v>70210.899999999994</v>
      </c>
      <c r="N657" s="3">
        <v>42605.19</v>
      </c>
      <c r="O657" s="3">
        <v>1979.76</v>
      </c>
      <c r="P657" s="3">
        <v>4272.24</v>
      </c>
      <c r="Q657" s="3">
        <v>2734.69</v>
      </c>
      <c r="R657" s="3">
        <v>1668.17</v>
      </c>
      <c r="S657" s="3">
        <f>SUM(Table1[[#This Row],[Product_Cost]:[Other_Cost]])</f>
        <v>53260.05</v>
      </c>
      <c r="T657" s="3">
        <f>Table1[[#This Row],[Net_Sales]]-Table1[[#This Row],[Product_Cost]]</f>
        <v>27605.709999999992</v>
      </c>
      <c r="U657" s="3">
        <f>Table1[[#This Row],[Net_Sales]]-Table1[[#This Row],[Total_Cost]]</f>
        <v>16950.849999999991</v>
      </c>
      <c r="V657" s="4">
        <f>Table1[[#This Row],[Net_Profit]]/Table1[[#This Row],[Net_Sales]]</f>
        <v>0.24142761309141447</v>
      </c>
      <c r="W657" t="s">
        <v>33</v>
      </c>
      <c r="X657" t="s">
        <v>675</v>
      </c>
      <c r="Y657">
        <v>6</v>
      </c>
      <c r="Z657" t="str">
        <f>IF(Table1[[#This Row],[Month_No]]&lt;=6, "H1","H2")</f>
        <v>H1</v>
      </c>
    </row>
    <row r="658" spans="1:26" x14ac:dyDescent="0.25">
      <c r="A658" s="2">
        <v>45826</v>
      </c>
      <c r="B658" t="s">
        <v>736</v>
      </c>
      <c r="C658" t="s">
        <v>36</v>
      </c>
      <c r="D658" t="s">
        <v>44</v>
      </c>
      <c r="E658" t="s">
        <v>45</v>
      </c>
      <c r="F658" t="s">
        <v>39</v>
      </c>
      <c r="G658" t="s">
        <v>64</v>
      </c>
      <c r="H658" t="s">
        <v>41</v>
      </c>
      <c r="I658">
        <v>81</v>
      </c>
      <c r="J658" s="3">
        <v>4473.16</v>
      </c>
      <c r="K658" s="3">
        <f>Table1[[#This Row],[Quantity]]*Table1[[#This Row],[Unit_Price]]</f>
        <v>362325.95999999996</v>
      </c>
      <c r="L658" s="3">
        <v>26639.75</v>
      </c>
      <c r="M658" s="3">
        <f>Table1[[#This Row],[Gross_Sales]]-Table1[[#This Row],[Discount]]</f>
        <v>335686.20999999996</v>
      </c>
      <c r="N658" s="3">
        <v>235087.15</v>
      </c>
      <c r="O658" s="3">
        <v>14804.29</v>
      </c>
      <c r="P658" s="3">
        <v>23100.2</v>
      </c>
      <c r="Q658" s="3">
        <v>13622.31</v>
      </c>
      <c r="R658" s="3">
        <v>7436.77</v>
      </c>
      <c r="S658" s="3">
        <f>SUM(Table1[[#This Row],[Product_Cost]:[Other_Cost]])</f>
        <v>294050.72000000003</v>
      </c>
      <c r="T658" s="3">
        <f>Table1[[#This Row],[Net_Sales]]-Table1[[#This Row],[Product_Cost]]</f>
        <v>100599.05999999997</v>
      </c>
      <c r="U658" s="3">
        <f>Table1[[#This Row],[Net_Sales]]-Table1[[#This Row],[Total_Cost]]</f>
        <v>41635.489999999932</v>
      </c>
      <c r="V658" s="4">
        <f>Table1[[#This Row],[Net_Profit]]/Table1[[#This Row],[Net_Sales]]</f>
        <v>0.12403098119520589</v>
      </c>
      <c r="W658" t="s">
        <v>33</v>
      </c>
      <c r="X658" t="s">
        <v>675</v>
      </c>
      <c r="Y658">
        <v>6</v>
      </c>
      <c r="Z658" t="str">
        <f>IF(Table1[[#This Row],[Month_No]]&lt;=6, "H1","H2")</f>
        <v>H1</v>
      </c>
    </row>
    <row r="659" spans="1:26" x14ac:dyDescent="0.25">
      <c r="A659" s="2">
        <v>45826</v>
      </c>
      <c r="B659" t="s">
        <v>737</v>
      </c>
      <c r="C659" t="s">
        <v>78</v>
      </c>
      <c r="D659" t="s">
        <v>37</v>
      </c>
      <c r="E659" t="s">
        <v>38</v>
      </c>
      <c r="F659" t="s">
        <v>30</v>
      </c>
      <c r="G659" t="s">
        <v>61</v>
      </c>
      <c r="H659" t="s">
        <v>47</v>
      </c>
      <c r="I659">
        <v>38</v>
      </c>
      <c r="J659" s="3">
        <v>4466.9799999999996</v>
      </c>
      <c r="K659" s="3">
        <f>Table1[[#This Row],[Quantity]]*Table1[[#This Row],[Unit_Price]]</f>
        <v>169745.24</v>
      </c>
      <c r="L659" s="3">
        <v>11729.29</v>
      </c>
      <c r="M659" s="3">
        <f>Table1[[#This Row],[Gross_Sales]]-Table1[[#This Row],[Discount]]</f>
        <v>158015.94999999998</v>
      </c>
      <c r="N659" s="3">
        <v>118518.13</v>
      </c>
      <c r="O659" s="3">
        <v>5400.63</v>
      </c>
      <c r="P659" s="3">
        <v>9623.14</v>
      </c>
      <c r="Q659" s="3">
        <v>7792.45</v>
      </c>
      <c r="R659" s="3">
        <v>4231.28</v>
      </c>
      <c r="S659" s="3">
        <f>SUM(Table1[[#This Row],[Product_Cost]:[Other_Cost]])</f>
        <v>145565.63000000003</v>
      </c>
      <c r="T659" s="3">
        <f>Table1[[#This Row],[Net_Sales]]-Table1[[#This Row],[Product_Cost]]</f>
        <v>39497.819999999978</v>
      </c>
      <c r="U659" s="3">
        <f>Table1[[#This Row],[Net_Sales]]-Table1[[#This Row],[Total_Cost]]</f>
        <v>12450.319999999949</v>
      </c>
      <c r="V659" s="4">
        <f>Table1[[#This Row],[Net_Profit]]/Table1[[#This Row],[Net_Sales]]</f>
        <v>7.8791539714819614E-2</v>
      </c>
      <c r="W659" t="s">
        <v>72</v>
      </c>
      <c r="X659" t="s">
        <v>675</v>
      </c>
      <c r="Y659">
        <v>6</v>
      </c>
      <c r="Z659" t="str">
        <f>IF(Table1[[#This Row],[Month_No]]&lt;=6, "H1","H2")</f>
        <v>H1</v>
      </c>
    </row>
    <row r="660" spans="1:26" x14ac:dyDescent="0.25">
      <c r="A660" s="2">
        <v>45826</v>
      </c>
      <c r="B660" t="s">
        <v>738</v>
      </c>
      <c r="C660" t="s">
        <v>70</v>
      </c>
      <c r="D660" t="s">
        <v>85</v>
      </c>
      <c r="E660" t="s">
        <v>57</v>
      </c>
      <c r="F660" t="s">
        <v>30</v>
      </c>
      <c r="G660" t="s">
        <v>58</v>
      </c>
      <c r="H660" t="s">
        <v>41</v>
      </c>
      <c r="I660">
        <v>71</v>
      </c>
      <c r="J660" s="3">
        <v>1935.44</v>
      </c>
      <c r="K660" s="3">
        <f>Table1[[#This Row],[Quantity]]*Table1[[#This Row],[Unit_Price]]</f>
        <v>137416.24</v>
      </c>
      <c r="L660" s="3">
        <v>9491.89</v>
      </c>
      <c r="M660" s="3">
        <f>Table1[[#This Row],[Gross_Sales]]-Table1[[#This Row],[Discount]]</f>
        <v>127924.34999999999</v>
      </c>
      <c r="N660" s="3">
        <v>90496.91</v>
      </c>
      <c r="O660" s="3">
        <v>4778.68</v>
      </c>
      <c r="P660" s="3">
        <v>8588.83</v>
      </c>
      <c r="Q660" s="3">
        <v>6941.15</v>
      </c>
      <c r="R660" s="3">
        <v>3153.92</v>
      </c>
      <c r="S660" s="3">
        <f>SUM(Table1[[#This Row],[Product_Cost]:[Other_Cost]])</f>
        <v>113959.48999999999</v>
      </c>
      <c r="T660" s="3">
        <f>Table1[[#This Row],[Net_Sales]]-Table1[[#This Row],[Product_Cost]]</f>
        <v>37427.439999999988</v>
      </c>
      <c r="U660" s="3">
        <f>Table1[[#This Row],[Net_Sales]]-Table1[[#This Row],[Total_Cost]]</f>
        <v>13964.86</v>
      </c>
      <c r="V660" s="4">
        <f>Table1[[#This Row],[Net_Profit]]/Table1[[#This Row],[Net_Sales]]</f>
        <v>0.10916498696299806</v>
      </c>
      <c r="W660" t="s">
        <v>33</v>
      </c>
      <c r="X660" t="s">
        <v>675</v>
      </c>
      <c r="Y660">
        <v>6</v>
      </c>
      <c r="Z660" t="str">
        <f>IF(Table1[[#This Row],[Month_No]]&lt;=6, "H1","H2")</f>
        <v>H1</v>
      </c>
    </row>
    <row r="661" spans="1:26" x14ac:dyDescent="0.25">
      <c r="A661" s="2">
        <v>45827</v>
      </c>
      <c r="B661" t="s">
        <v>739</v>
      </c>
      <c r="C661" t="s">
        <v>70</v>
      </c>
      <c r="D661" t="s">
        <v>28</v>
      </c>
      <c r="E661" t="s">
        <v>29</v>
      </c>
      <c r="F661" t="s">
        <v>52</v>
      </c>
      <c r="G661" t="s">
        <v>76</v>
      </c>
      <c r="H661" t="s">
        <v>32</v>
      </c>
      <c r="I661">
        <v>89</v>
      </c>
      <c r="J661" s="3">
        <v>1198.01</v>
      </c>
      <c r="K661" s="3">
        <f>Table1[[#This Row],[Quantity]]*Table1[[#This Row],[Unit_Price]]</f>
        <v>106622.89</v>
      </c>
      <c r="L661" s="3">
        <v>8440.51</v>
      </c>
      <c r="M661" s="3">
        <f>Table1[[#This Row],[Gross_Sales]]-Table1[[#This Row],[Discount]]</f>
        <v>98182.38</v>
      </c>
      <c r="N661" s="3">
        <v>59065.13</v>
      </c>
      <c r="O661" s="3">
        <v>2474.67</v>
      </c>
      <c r="P661" s="3">
        <v>5684.72</v>
      </c>
      <c r="Q661" s="3">
        <v>5293.1</v>
      </c>
      <c r="R661" s="3">
        <v>2892.49</v>
      </c>
      <c r="S661" s="3">
        <f>SUM(Table1[[#This Row],[Product_Cost]:[Other_Cost]])</f>
        <v>75410.11</v>
      </c>
      <c r="T661" s="3">
        <f>Table1[[#This Row],[Net_Sales]]-Table1[[#This Row],[Product_Cost]]</f>
        <v>39117.250000000007</v>
      </c>
      <c r="U661" s="3">
        <f>Table1[[#This Row],[Net_Sales]]-Table1[[#This Row],[Total_Cost]]</f>
        <v>22772.270000000004</v>
      </c>
      <c r="V661" s="4">
        <f>Table1[[#This Row],[Net_Profit]]/Table1[[#This Row],[Net_Sales]]</f>
        <v>0.23193845983362801</v>
      </c>
      <c r="W661" t="s">
        <v>33</v>
      </c>
      <c r="X661" t="s">
        <v>675</v>
      </c>
      <c r="Y661">
        <v>6</v>
      </c>
      <c r="Z661" t="str">
        <f>IF(Table1[[#This Row],[Month_No]]&lt;=6, "H1","H2")</f>
        <v>H1</v>
      </c>
    </row>
    <row r="662" spans="1:26" x14ac:dyDescent="0.25">
      <c r="A662" s="2">
        <v>45827</v>
      </c>
      <c r="B662" t="s">
        <v>740</v>
      </c>
      <c r="C662" t="s">
        <v>55</v>
      </c>
      <c r="D662" t="s">
        <v>74</v>
      </c>
      <c r="E662" t="s">
        <v>75</v>
      </c>
      <c r="F662" t="s">
        <v>39</v>
      </c>
      <c r="G662" t="s">
        <v>61</v>
      </c>
      <c r="H662" t="s">
        <v>47</v>
      </c>
      <c r="I662">
        <v>92</v>
      </c>
      <c r="J662" s="3">
        <v>5588.39</v>
      </c>
      <c r="K662" s="3">
        <f>Table1[[#This Row],[Quantity]]*Table1[[#This Row],[Unit_Price]]</f>
        <v>514131.88</v>
      </c>
      <c r="L662" s="3">
        <v>45189.85</v>
      </c>
      <c r="M662" s="3">
        <f>Table1[[#This Row],[Gross_Sales]]-Table1[[#This Row],[Discount]]</f>
        <v>468942.03</v>
      </c>
      <c r="N662" s="3">
        <v>362959.02</v>
      </c>
      <c r="O662" s="3">
        <v>20300.11</v>
      </c>
      <c r="P662" s="3">
        <v>29778.47</v>
      </c>
      <c r="Q662" s="3">
        <v>22269.14</v>
      </c>
      <c r="R662" s="3">
        <v>11790.41</v>
      </c>
      <c r="S662" s="3">
        <f>SUM(Table1[[#This Row],[Product_Cost]:[Other_Cost]])</f>
        <v>447097.14999999997</v>
      </c>
      <c r="T662" s="3">
        <f>Table1[[#This Row],[Net_Sales]]-Table1[[#This Row],[Product_Cost]]</f>
        <v>105983.01000000001</v>
      </c>
      <c r="U662" s="3">
        <f>Table1[[#This Row],[Net_Sales]]-Table1[[#This Row],[Total_Cost]]</f>
        <v>21844.880000000063</v>
      </c>
      <c r="V662" s="4">
        <f>Table1[[#This Row],[Net_Profit]]/Table1[[#This Row],[Net_Sales]]</f>
        <v>4.6583327154531361E-2</v>
      </c>
      <c r="W662" t="s">
        <v>33</v>
      </c>
      <c r="X662" t="s">
        <v>675</v>
      </c>
      <c r="Y662">
        <v>6</v>
      </c>
      <c r="Z662" t="str">
        <f>IF(Table1[[#This Row],[Month_No]]&lt;=6, "H1","H2")</f>
        <v>H1</v>
      </c>
    </row>
    <row r="663" spans="1:26" x14ac:dyDescent="0.25">
      <c r="A663" s="2">
        <v>45827</v>
      </c>
      <c r="B663" t="s">
        <v>741</v>
      </c>
      <c r="C663" t="s">
        <v>36</v>
      </c>
      <c r="D663" t="s">
        <v>81</v>
      </c>
      <c r="E663" t="s">
        <v>45</v>
      </c>
      <c r="F663" t="s">
        <v>52</v>
      </c>
      <c r="G663" t="s">
        <v>40</v>
      </c>
      <c r="H663" t="s">
        <v>41</v>
      </c>
      <c r="I663">
        <v>54</v>
      </c>
      <c r="J663" s="3">
        <v>6445.16</v>
      </c>
      <c r="K663" s="3">
        <f>Table1[[#This Row],[Quantity]]*Table1[[#This Row],[Unit_Price]]</f>
        <v>348038.64</v>
      </c>
      <c r="L663" s="3">
        <v>27588.83</v>
      </c>
      <c r="M663" s="3">
        <f>Table1[[#This Row],[Gross_Sales]]-Table1[[#This Row],[Discount]]</f>
        <v>320449.81</v>
      </c>
      <c r="N663" s="3">
        <v>183704.99</v>
      </c>
      <c r="O663" s="3">
        <v>8056.91</v>
      </c>
      <c r="P663" s="3">
        <v>17771.29</v>
      </c>
      <c r="Q663" s="3">
        <v>11452.77</v>
      </c>
      <c r="R663" s="3">
        <v>7051.28</v>
      </c>
      <c r="S663" s="3">
        <f>SUM(Table1[[#This Row],[Product_Cost]:[Other_Cost]])</f>
        <v>228037.24</v>
      </c>
      <c r="T663" s="3">
        <f>Table1[[#This Row],[Net_Sales]]-Table1[[#This Row],[Product_Cost]]</f>
        <v>136744.82</v>
      </c>
      <c r="U663" s="3">
        <f>Table1[[#This Row],[Net_Sales]]-Table1[[#This Row],[Total_Cost]]</f>
        <v>92412.57</v>
      </c>
      <c r="V663" s="4">
        <f>Table1[[#This Row],[Net_Profit]]/Table1[[#This Row],[Net_Sales]]</f>
        <v>0.28838391260085317</v>
      </c>
      <c r="W663" t="s">
        <v>33</v>
      </c>
      <c r="X663" t="s">
        <v>675</v>
      </c>
      <c r="Y663">
        <v>6</v>
      </c>
      <c r="Z663" t="str">
        <f>IF(Table1[[#This Row],[Month_No]]&lt;=6, "H1","H2")</f>
        <v>H1</v>
      </c>
    </row>
    <row r="664" spans="1:26" x14ac:dyDescent="0.25">
      <c r="A664" s="2">
        <v>45828</v>
      </c>
      <c r="B664" t="s">
        <v>742</v>
      </c>
      <c r="C664" t="s">
        <v>27</v>
      </c>
      <c r="D664" t="s">
        <v>85</v>
      </c>
      <c r="E664" t="s">
        <v>57</v>
      </c>
      <c r="F664" t="s">
        <v>52</v>
      </c>
      <c r="G664" t="s">
        <v>86</v>
      </c>
      <c r="H664" t="s">
        <v>32</v>
      </c>
      <c r="I664">
        <v>84</v>
      </c>
      <c r="J664" s="3">
        <v>1859.07</v>
      </c>
      <c r="K664" s="3">
        <f>Table1[[#This Row],[Quantity]]*Table1[[#This Row],[Unit_Price]]</f>
        <v>156161.88</v>
      </c>
      <c r="L664" s="3">
        <v>14742.17</v>
      </c>
      <c r="M664" s="3">
        <f>Table1[[#This Row],[Gross_Sales]]-Table1[[#This Row],[Discount]]</f>
        <v>141419.71</v>
      </c>
      <c r="N664" s="3">
        <v>100707.6</v>
      </c>
      <c r="O664" s="3">
        <v>3701.9</v>
      </c>
      <c r="P664" s="3">
        <v>10121.24</v>
      </c>
      <c r="Q664" s="3">
        <v>5219.16</v>
      </c>
      <c r="R664" s="3">
        <v>2933.14</v>
      </c>
      <c r="S664" s="3">
        <f>SUM(Table1[[#This Row],[Product_Cost]:[Other_Cost]])</f>
        <v>122683.04000000001</v>
      </c>
      <c r="T664" s="3">
        <f>Table1[[#This Row],[Net_Sales]]-Table1[[#This Row],[Product_Cost]]</f>
        <v>40712.109999999986</v>
      </c>
      <c r="U664" s="3">
        <f>Table1[[#This Row],[Net_Sales]]-Table1[[#This Row],[Total_Cost]]</f>
        <v>18736.669999999984</v>
      </c>
      <c r="V664" s="4">
        <f>Table1[[#This Row],[Net_Profit]]/Table1[[#This Row],[Net_Sales]]</f>
        <v>0.13248980640675889</v>
      </c>
      <c r="W664" t="s">
        <v>33</v>
      </c>
      <c r="X664" t="s">
        <v>675</v>
      </c>
      <c r="Y664">
        <v>6</v>
      </c>
      <c r="Z664" t="str">
        <f>IF(Table1[[#This Row],[Month_No]]&lt;=6, "H1","H2")</f>
        <v>H1</v>
      </c>
    </row>
    <row r="665" spans="1:26" x14ac:dyDescent="0.25">
      <c r="A665" s="2">
        <v>45828</v>
      </c>
      <c r="B665" t="s">
        <v>743</v>
      </c>
      <c r="C665" t="s">
        <v>98</v>
      </c>
      <c r="D665" t="s">
        <v>28</v>
      </c>
      <c r="E665" t="s">
        <v>29</v>
      </c>
      <c r="F665" t="s">
        <v>39</v>
      </c>
      <c r="G665" t="s">
        <v>86</v>
      </c>
      <c r="H665" t="s">
        <v>59</v>
      </c>
      <c r="I665">
        <v>93</v>
      </c>
      <c r="J665" s="3">
        <v>1226.07</v>
      </c>
      <c r="K665" s="3">
        <f>Table1[[#This Row],[Quantity]]*Table1[[#This Row],[Unit_Price]]</f>
        <v>114024.51</v>
      </c>
      <c r="L665" s="3">
        <v>8286.7900000000009</v>
      </c>
      <c r="M665" s="3">
        <f>Table1[[#This Row],[Gross_Sales]]-Table1[[#This Row],[Discount]]</f>
        <v>105737.72</v>
      </c>
      <c r="N665" s="3">
        <v>65102.239999999998</v>
      </c>
      <c r="O665" s="3">
        <v>4817.95</v>
      </c>
      <c r="P665" s="3">
        <v>6184.12</v>
      </c>
      <c r="Q665" s="3">
        <v>5188.93</v>
      </c>
      <c r="R665" s="3">
        <v>3199.93</v>
      </c>
      <c r="S665" s="3">
        <f>SUM(Table1[[#This Row],[Product_Cost]:[Other_Cost]])</f>
        <v>84493.169999999984</v>
      </c>
      <c r="T665" s="3">
        <f>Table1[[#This Row],[Net_Sales]]-Table1[[#This Row],[Product_Cost]]</f>
        <v>40635.480000000003</v>
      </c>
      <c r="U665" s="3">
        <f>Table1[[#This Row],[Net_Sales]]-Table1[[#This Row],[Total_Cost]]</f>
        <v>21244.550000000017</v>
      </c>
      <c r="V665" s="4">
        <f>Table1[[#This Row],[Net_Profit]]/Table1[[#This Row],[Net_Sales]]</f>
        <v>0.20091742095441453</v>
      </c>
      <c r="W665" t="s">
        <v>33</v>
      </c>
      <c r="X665" t="s">
        <v>675</v>
      </c>
      <c r="Y665">
        <v>6</v>
      </c>
      <c r="Z665" t="str">
        <f>IF(Table1[[#This Row],[Month_No]]&lt;=6, "H1","H2")</f>
        <v>H1</v>
      </c>
    </row>
    <row r="666" spans="1:26" x14ac:dyDescent="0.25">
      <c r="A666" s="2">
        <v>45829</v>
      </c>
      <c r="B666" t="s">
        <v>744</v>
      </c>
      <c r="C666" t="s">
        <v>43</v>
      </c>
      <c r="D666" t="s">
        <v>28</v>
      </c>
      <c r="E666" t="s">
        <v>29</v>
      </c>
      <c r="F666" t="s">
        <v>52</v>
      </c>
      <c r="G666" t="s">
        <v>58</v>
      </c>
      <c r="H666" t="s">
        <v>47</v>
      </c>
      <c r="I666">
        <v>62</v>
      </c>
      <c r="J666" s="3">
        <v>1185.1600000000001</v>
      </c>
      <c r="K666" s="3">
        <f>Table1[[#This Row],[Quantity]]*Table1[[#This Row],[Unit_Price]]</f>
        <v>73479.92</v>
      </c>
      <c r="L666" s="3">
        <v>4550.1899999999996</v>
      </c>
      <c r="M666" s="3">
        <f>Table1[[#This Row],[Gross_Sales]]-Table1[[#This Row],[Discount]]</f>
        <v>68929.73</v>
      </c>
      <c r="N666" s="3">
        <v>42109.5</v>
      </c>
      <c r="O666" s="3">
        <v>1805.3</v>
      </c>
      <c r="P666" s="3">
        <v>5106.0600000000004</v>
      </c>
      <c r="Q666" s="3">
        <v>2537.87</v>
      </c>
      <c r="R666" s="3">
        <v>1538.65</v>
      </c>
      <c r="S666" s="3">
        <f>SUM(Table1[[#This Row],[Product_Cost]:[Other_Cost]])</f>
        <v>53097.380000000005</v>
      </c>
      <c r="T666" s="3">
        <f>Table1[[#This Row],[Net_Sales]]-Table1[[#This Row],[Product_Cost]]</f>
        <v>26820.229999999996</v>
      </c>
      <c r="U666" s="3">
        <f>Table1[[#This Row],[Net_Sales]]-Table1[[#This Row],[Total_Cost]]</f>
        <v>15832.349999999991</v>
      </c>
      <c r="V666" s="4">
        <f>Table1[[#This Row],[Net_Profit]]/Table1[[#This Row],[Net_Sales]]</f>
        <v>0.22968826368535017</v>
      </c>
      <c r="W666" t="s">
        <v>33</v>
      </c>
      <c r="X666" t="s">
        <v>675</v>
      </c>
      <c r="Y666">
        <v>6</v>
      </c>
      <c r="Z666" t="str">
        <f>IF(Table1[[#This Row],[Month_No]]&lt;=6, "H1","H2")</f>
        <v>H1</v>
      </c>
    </row>
    <row r="667" spans="1:26" x14ac:dyDescent="0.25">
      <c r="A667" s="2">
        <v>45829</v>
      </c>
      <c r="B667" t="s">
        <v>745</v>
      </c>
      <c r="C667" t="s">
        <v>36</v>
      </c>
      <c r="D667" t="s">
        <v>68</v>
      </c>
      <c r="E667" t="s">
        <v>29</v>
      </c>
      <c r="F667" t="s">
        <v>46</v>
      </c>
      <c r="G667" t="s">
        <v>86</v>
      </c>
      <c r="H667" t="s">
        <v>59</v>
      </c>
      <c r="I667">
        <v>119</v>
      </c>
      <c r="J667" s="3">
        <v>387.21</v>
      </c>
      <c r="K667" s="3">
        <f>Table1[[#This Row],[Quantity]]*Table1[[#This Row],[Unit_Price]]</f>
        <v>46077.99</v>
      </c>
      <c r="L667" s="3">
        <v>2562.6999999999998</v>
      </c>
      <c r="M667" s="3">
        <f>Table1[[#This Row],[Gross_Sales]]-Table1[[#This Row],[Discount]]</f>
        <v>43515.29</v>
      </c>
      <c r="N667" s="3">
        <v>33514.980000000003</v>
      </c>
      <c r="O667" s="3">
        <v>1272.92</v>
      </c>
      <c r="P667" s="3">
        <v>2966.8</v>
      </c>
      <c r="Q667" s="3">
        <v>1851.93</v>
      </c>
      <c r="R667" s="3">
        <v>1158.94</v>
      </c>
      <c r="S667" s="3">
        <f>SUM(Table1[[#This Row],[Product_Cost]:[Other_Cost]])</f>
        <v>40765.570000000007</v>
      </c>
      <c r="T667" s="3">
        <f>Table1[[#This Row],[Net_Sales]]-Table1[[#This Row],[Product_Cost]]</f>
        <v>10000.309999999998</v>
      </c>
      <c r="U667" s="3">
        <f>Table1[[#This Row],[Net_Sales]]-Table1[[#This Row],[Total_Cost]]</f>
        <v>2749.7199999999939</v>
      </c>
      <c r="V667" s="4">
        <f>Table1[[#This Row],[Net_Profit]]/Table1[[#This Row],[Net_Sales]]</f>
        <v>6.3189743191416028E-2</v>
      </c>
      <c r="W667" t="s">
        <v>33</v>
      </c>
      <c r="X667" t="s">
        <v>675</v>
      </c>
      <c r="Y667">
        <v>6</v>
      </c>
      <c r="Z667" t="str">
        <f>IF(Table1[[#This Row],[Month_No]]&lt;=6, "H1","H2")</f>
        <v>H1</v>
      </c>
    </row>
    <row r="668" spans="1:26" x14ac:dyDescent="0.25">
      <c r="A668" s="2">
        <v>45829</v>
      </c>
      <c r="B668" t="s">
        <v>746</v>
      </c>
      <c r="C668" t="s">
        <v>78</v>
      </c>
      <c r="D668" t="s">
        <v>68</v>
      </c>
      <c r="E668" t="s">
        <v>29</v>
      </c>
      <c r="F668" t="s">
        <v>30</v>
      </c>
      <c r="G668" t="s">
        <v>86</v>
      </c>
      <c r="H668" t="s">
        <v>41</v>
      </c>
      <c r="I668">
        <v>162</v>
      </c>
      <c r="J668" s="3">
        <v>372.44</v>
      </c>
      <c r="K668" s="3">
        <f>Table1[[#This Row],[Quantity]]*Table1[[#This Row],[Unit_Price]]</f>
        <v>60335.28</v>
      </c>
      <c r="L668" s="3">
        <v>5026.5600000000004</v>
      </c>
      <c r="M668" s="3">
        <f>Table1[[#This Row],[Gross_Sales]]-Table1[[#This Row],[Discount]]</f>
        <v>55308.72</v>
      </c>
      <c r="N668" s="3">
        <v>44381.41</v>
      </c>
      <c r="O668" s="3">
        <v>1942.07</v>
      </c>
      <c r="P668" s="3">
        <v>3554.64</v>
      </c>
      <c r="Q668" s="3">
        <v>2155.8200000000002</v>
      </c>
      <c r="R668" s="3">
        <v>1536.21</v>
      </c>
      <c r="S668" s="3">
        <f>SUM(Table1[[#This Row],[Product_Cost]:[Other_Cost]])</f>
        <v>53570.15</v>
      </c>
      <c r="T668" s="3">
        <f>Table1[[#This Row],[Net_Sales]]-Table1[[#This Row],[Product_Cost]]</f>
        <v>10927.309999999998</v>
      </c>
      <c r="U668" s="3">
        <f>Table1[[#This Row],[Net_Sales]]-Table1[[#This Row],[Total_Cost]]</f>
        <v>1738.5699999999997</v>
      </c>
      <c r="V668" s="4">
        <f>Table1[[#This Row],[Net_Profit]]/Table1[[#This Row],[Net_Sales]]</f>
        <v>3.1433922173574068E-2</v>
      </c>
      <c r="W668" t="s">
        <v>33</v>
      </c>
      <c r="X668" t="s">
        <v>675</v>
      </c>
      <c r="Y668">
        <v>6</v>
      </c>
      <c r="Z668" t="str">
        <f>IF(Table1[[#This Row],[Month_No]]&lt;=6, "H1","H2")</f>
        <v>H1</v>
      </c>
    </row>
    <row r="669" spans="1:26" x14ac:dyDescent="0.25">
      <c r="A669" s="2">
        <v>45829</v>
      </c>
      <c r="B669" t="s">
        <v>747</v>
      </c>
      <c r="C669" t="s">
        <v>49</v>
      </c>
      <c r="D669" t="s">
        <v>50</v>
      </c>
      <c r="E669" t="s">
        <v>51</v>
      </c>
      <c r="F669" t="s">
        <v>46</v>
      </c>
      <c r="G669" t="s">
        <v>31</v>
      </c>
      <c r="H669" t="s">
        <v>41</v>
      </c>
      <c r="I669">
        <v>100</v>
      </c>
      <c r="J669" s="3">
        <v>831.44</v>
      </c>
      <c r="K669" s="3">
        <f>Table1[[#This Row],[Quantity]]*Table1[[#This Row],[Unit_Price]]</f>
        <v>83144</v>
      </c>
      <c r="L669" s="3">
        <v>5651.98</v>
      </c>
      <c r="M669" s="3">
        <f>Table1[[#This Row],[Gross_Sales]]-Table1[[#This Row],[Discount]]</f>
        <v>77492.02</v>
      </c>
      <c r="N669" s="3">
        <v>50500.87</v>
      </c>
      <c r="O669" s="3">
        <v>2396.71</v>
      </c>
      <c r="P669" s="3">
        <v>5311.53</v>
      </c>
      <c r="Q669" s="3">
        <v>3030.44</v>
      </c>
      <c r="R669" s="3">
        <v>2165.8200000000002</v>
      </c>
      <c r="S669" s="3">
        <f>SUM(Table1[[#This Row],[Product_Cost]:[Other_Cost]])</f>
        <v>63405.37</v>
      </c>
      <c r="T669" s="3">
        <f>Table1[[#This Row],[Net_Sales]]-Table1[[#This Row],[Product_Cost]]</f>
        <v>26991.15</v>
      </c>
      <c r="U669" s="3">
        <f>Table1[[#This Row],[Net_Sales]]-Table1[[#This Row],[Total_Cost]]</f>
        <v>14086.650000000001</v>
      </c>
      <c r="V669" s="4">
        <f>Table1[[#This Row],[Net_Profit]]/Table1[[#This Row],[Net_Sales]]</f>
        <v>0.18178194348269669</v>
      </c>
      <c r="W669" t="s">
        <v>33</v>
      </c>
      <c r="X669" t="s">
        <v>675</v>
      </c>
      <c r="Y669">
        <v>6</v>
      </c>
      <c r="Z669" t="str">
        <f>IF(Table1[[#This Row],[Month_No]]&lt;=6, "H1","H2")</f>
        <v>H1</v>
      </c>
    </row>
    <row r="670" spans="1:26" x14ac:dyDescent="0.25">
      <c r="A670" s="2">
        <v>45830</v>
      </c>
      <c r="B670" t="s">
        <v>748</v>
      </c>
      <c r="C670" t="s">
        <v>107</v>
      </c>
      <c r="D670" t="s">
        <v>74</v>
      </c>
      <c r="E670" t="s">
        <v>75</v>
      </c>
      <c r="F670" t="s">
        <v>46</v>
      </c>
      <c r="G670" t="s">
        <v>40</v>
      </c>
      <c r="H670" t="s">
        <v>32</v>
      </c>
      <c r="I670">
        <v>94</v>
      </c>
      <c r="J670" s="3">
        <v>5705.32</v>
      </c>
      <c r="K670" s="3">
        <f>Table1[[#This Row],[Quantity]]*Table1[[#This Row],[Unit_Price]]</f>
        <v>536300.07999999996</v>
      </c>
      <c r="L670" s="3">
        <v>46172.68</v>
      </c>
      <c r="M670" s="3">
        <f>Table1[[#This Row],[Gross_Sales]]-Table1[[#This Row],[Discount]]</f>
        <v>490127.39999999997</v>
      </c>
      <c r="N670" s="3">
        <v>379583.21</v>
      </c>
      <c r="O670" s="3">
        <v>13811.18</v>
      </c>
      <c r="P670" s="3">
        <v>31403.72</v>
      </c>
      <c r="Q670" s="3">
        <v>17937.66</v>
      </c>
      <c r="R670" s="3">
        <v>12789.23</v>
      </c>
      <c r="S670" s="3">
        <f>SUM(Table1[[#This Row],[Product_Cost]:[Other_Cost]])</f>
        <v>455524.99999999994</v>
      </c>
      <c r="T670" s="3">
        <f>Table1[[#This Row],[Net_Sales]]-Table1[[#This Row],[Product_Cost]]</f>
        <v>110544.18999999994</v>
      </c>
      <c r="U670" s="3">
        <f>Table1[[#This Row],[Net_Sales]]-Table1[[#This Row],[Total_Cost]]</f>
        <v>34602.400000000023</v>
      </c>
      <c r="V670" s="4">
        <f>Table1[[#This Row],[Net_Profit]]/Table1[[#This Row],[Net_Sales]]</f>
        <v>7.059878717247807E-2</v>
      </c>
      <c r="W670" t="s">
        <v>33</v>
      </c>
      <c r="X670" t="s">
        <v>675</v>
      </c>
      <c r="Y670">
        <v>6</v>
      </c>
      <c r="Z670" t="str">
        <f>IF(Table1[[#This Row],[Month_No]]&lt;=6, "H1","H2")</f>
        <v>H1</v>
      </c>
    </row>
    <row r="671" spans="1:26" x14ac:dyDescent="0.25">
      <c r="A671" s="2">
        <v>45830</v>
      </c>
      <c r="B671" t="s">
        <v>749</v>
      </c>
      <c r="C671" t="s">
        <v>43</v>
      </c>
      <c r="D671" t="s">
        <v>44</v>
      </c>
      <c r="E671" t="s">
        <v>45</v>
      </c>
      <c r="F671" t="s">
        <v>30</v>
      </c>
      <c r="G671" t="s">
        <v>86</v>
      </c>
      <c r="H671" t="s">
        <v>47</v>
      </c>
      <c r="I671">
        <v>72</v>
      </c>
      <c r="J671" s="3">
        <v>4602.0200000000004</v>
      </c>
      <c r="K671" s="3">
        <f>Table1[[#This Row],[Quantity]]*Table1[[#This Row],[Unit_Price]]</f>
        <v>331345.44000000006</v>
      </c>
      <c r="L671" s="3">
        <v>29772.959999999999</v>
      </c>
      <c r="M671" s="3">
        <f>Table1[[#This Row],[Gross_Sales]]-Table1[[#This Row],[Discount]]</f>
        <v>301572.48000000004</v>
      </c>
      <c r="N671" s="3">
        <v>221289.85</v>
      </c>
      <c r="O671" s="3">
        <v>10502.92</v>
      </c>
      <c r="P671" s="3">
        <v>21762.5</v>
      </c>
      <c r="Q671" s="3">
        <v>14391.52</v>
      </c>
      <c r="R671" s="3">
        <v>7258.4</v>
      </c>
      <c r="S671" s="3">
        <f>SUM(Table1[[#This Row],[Product_Cost]:[Other_Cost]])</f>
        <v>275205.19000000006</v>
      </c>
      <c r="T671" s="3">
        <f>Table1[[#This Row],[Net_Sales]]-Table1[[#This Row],[Product_Cost]]</f>
        <v>80282.630000000034</v>
      </c>
      <c r="U671" s="3">
        <f>Table1[[#This Row],[Net_Sales]]-Table1[[#This Row],[Total_Cost]]</f>
        <v>26367.289999999979</v>
      </c>
      <c r="V671" s="4">
        <f>Table1[[#This Row],[Net_Profit]]/Table1[[#This Row],[Net_Sales]]</f>
        <v>8.7432679533623145E-2</v>
      </c>
      <c r="W671" t="s">
        <v>33</v>
      </c>
      <c r="X671" t="s">
        <v>675</v>
      </c>
      <c r="Y671">
        <v>6</v>
      </c>
      <c r="Z671" t="str">
        <f>IF(Table1[[#This Row],[Month_No]]&lt;=6, "H1","H2")</f>
        <v>H1</v>
      </c>
    </row>
    <row r="672" spans="1:26" x14ac:dyDescent="0.25">
      <c r="A672" s="2">
        <v>45830</v>
      </c>
      <c r="B672" t="s">
        <v>750</v>
      </c>
      <c r="C672" t="s">
        <v>55</v>
      </c>
      <c r="D672" t="s">
        <v>28</v>
      </c>
      <c r="E672" t="s">
        <v>29</v>
      </c>
      <c r="F672" t="s">
        <v>52</v>
      </c>
      <c r="G672" t="s">
        <v>40</v>
      </c>
      <c r="H672" t="s">
        <v>32</v>
      </c>
      <c r="I672">
        <v>64</v>
      </c>
      <c r="J672" s="3">
        <v>1150.48</v>
      </c>
      <c r="K672" s="3">
        <f>Table1[[#This Row],[Quantity]]*Table1[[#This Row],[Unit_Price]]</f>
        <v>73630.720000000001</v>
      </c>
      <c r="L672" s="3">
        <v>5330.41</v>
      </c>
      <c r="M672" s="3">
        <f>Table1[[#This Row],[Gross_Sales]]-Table1[[#This Row],[Discount]]</f>
        <v>68300.31</v>
      </c>
      <c r="N672" s="3">
        <v>41216.42</v>
      </c>
      <c r="O672" s="3">
        <v>1668.83</v>
      </c>
      <c r="P672" s="3">
        <v>4538.1099999999997</v>
      </c>
      <c r="Q672" s="3">
        <v>3475.68</v>
      </c>
      <c r="R672" s="3">
        <v>1534.62</v>
      </c>
      <c r="S672" s="3">
        <f>SUM(Table1[[#This Row],[Product_Cost]:[Other_Cost]])</f>
        <v>52433.66</v>
      </c>
      <c r="T672" s="3">
        <f>Table1[[#This Row],[Net_Sales]]-Table1[[#This Row],[Product_Cost]]</f>
        <v>27083.89</v>
      </c>
      <c r="U672" s="3">
        <f>Table1[[#This Row],[Net_Sales]]-Table1[[#This Row],[Total_Cost]]</f>
        <v>15866.649999999994</v>
      </c>
      <c r="V672" s="4">
        <f>Table1[[#This Row],[Net_Profit]]/Table1[[#This Row],[Net_Sales]]</f>
        <v>0.23230714472599018</v>
      </c>
      <c r="W672" t="s">
        <v>33</v>
      </c>
      <c r="X672" t="s">
        <v>675</v>
      </c>
      <c r="Y672">
        <v>6</v>
      </c>
      <c r="Z672" t="str">
        <f>IF(Table1[[#This Row],[Month_No]]&lt;=6, "H1","H2")</f>
        <v>H1</v>
      </c>
    </row>
    <row r="673" spans="1:26" x14ac:dyDescent="0.25">
      <c r="A673" s="2">
        <v>45830</v>
      </c>
      <c r="B673" t="s">
        <v>751</v>
      </c>
      <c r="C673" t="s">
        <v>78</v>
      </c>
      <c r="D673" t="s">
        <v>68</v>
      </c>
      <c r="E673" t="s">
        <v>29</v>
      </c>
      <c r="F673" t="s">
        <v>30</v>
      </c>
      <c r="G673" t="s">
        <v>61</v>
      </c>
      <c r="H673" t="s">
        <v>59</v>
      </c>
      <c r="I673">
        <v>126</v>
      </c>
      <c r="J673" s="3">
        <v>390.83</v>
      </c>
      <c r="K673" s="3">
        <f>Table1[[#This Row],[Quantity]]*Table1[[#This Row],[Unit_Price]]</f>
        <v>49244.579999999994</v>
      </c>
      <c r="L673" s="3">
        <v>2716.71</v>
      </c>
      <c r="M673" s="3">
        <f>Table1[[#This Row],[Gross_Sales]]-Table1[[#This Row],[Discount]]</f>
        <v>46527.869999999995</v>
      </c>
      <c r="N673" s="3">
        <v>35598.36</v>
      </c>
      <c r="O673" s="3">
        <v>1773.08</v>
      </c>
      <c r="P673" s="3">
        <v>3098.99</v>
      </c>
      <c r="Q673" s="3">
        <v>2251.96</v>
      </c>
      <c r="R673" s="3">
        <v>1230.5</v>
      </c>
      <c r="S673" s="3">
        <f>SUM(Table1[[#This Row],[Product_Cost]:[Other_Cost]])</f>
        <v>43952.89</v>
      </c>
      <c r="T673" s="3">
        <f>Table1[[#This Row],[Net_Sales]]-Table1[[#This Row],[Product_Cost]]</f>
        <v>10929.509999999995</v>
      </c>
      <c r="U673" s="3">
        <f>Table1[[#This Row],[Net_Sales]]-Table1[[#This Row],[Total_Cost]]</f>
        <v>2574.9799999999959</v>
      </c>
      <c r="V673" s="4">
        <f>Table1[[#This Row],[Net_Profit]]/Table1[[#This Row],[Net_Sales]]</f>
        <v>5.5342744037068452E-2</v>
      </c>
      <c r="W673" t="s">
        <v>33</v>
      </c>
      <c r="X673" t="s">
        <v>675</v>
      </c>
      <c r="Y673">
        <v>6</v>
      </c>
      <c r="Z673" t="str">
        <f>IF(Table1[[#This Row],[Month_No]]&lt;=6, "H1","H2")</f>
        <v>H1</v>
      </c>
    </row>
    <row r="674" spans="1:26" x14ac:dyDescent="0.25">
      <c r="A674" s="2">
        <v>45831</v>
      </c>
      <c r="B674" t="s">
        <v>752</v>
      </c>
      <c r="C674" t="s">
        <v>83</v>
      </c>
      <c r="D674" t="s">
        <v>44</v>
      </c>
      <c r="E674" t="s">
        <v>45</v>
      </c>
      <c r="F674" t="s">
        <v>52</v>
      </c>
      <c r="G674" t="s">
        <v>64</v>
      </c>
      <c r="H674" t="s">
        <v>47</v>
      </c>
      <c r="I674">
        <v>41</v>
      </c>
      <c r="J674" s="3">
        <v>4478.49</v>
      </c>
      <c r="K674" s="3">
        <f>Table1[[#This Row],[Quantity]]*Table1[[#This Row],[Unit_Price]]</f>
        <v>183618.09</v>
      </c>
      <c r="L674" s="3">
        <v>13621.38</v>
      </c>
      <c r="M674" s="3">
        <f>Table1[[#This Row],[Gross_Sales]]-Table1[[#This Row],[Discount]]</f>
        <v>169996.71</v>
      </c>
      <c r="N674" s="3">
        <v>122418.67</v>
      </c>
      <c r="O674" s="3">
        <v>4740.12</v>
      </c>
      <c r="P674" s="3">
        <v>11708.78</v>
      </c>
      <c r="Q674" s="3">
        <v>7423.28</v>
      </c>
      <c r="R674" s="3">
        <v>5026.37</v>
      </c>
      <c r="S674" s="3">
        <f>SUM(Table1[[#This Row],[Product_Cost]:[Other_Cost]])</f>
        <v>151317.22</v>
      </c>
      <c r="T674" s="3">
        <f>Table1[[#This Row],[Net_Sales]]-Table1[[#This Row],[Product_Cost]]</f>
        <v>47578.039999999994</v>
      </c>
      <c r="U674" s="3">
        <f>Table1[[#This Row],[Net_Sales]]-Table1[[#This Row],[Total_Cost]]</f>
        <v>18679.489999999991</v>
      </c>
      <c r="V674" s="4">
        <f>Table1[[#This Row],[Net_Profit]]/Table1[[#This Row],[Net_Sales]]</f>
        <v>0.10988147947098501</v>
      </c>
      <c r="W674" t="s">
        <v>72</v>
      </c>
      <c r="X674" t="s">
        <v>675</v>
      </c>
      <c r="Y674">
        <v>6</v>
      </c>
      <c r="Z674" t="str">
        <f>IF(Table1[[#This Row],[Month_No]]&lt;=6, "H1","H2")</f>
        <v>H1</v>
      </c>
    </row>
    <row r="675" spans="1:26" x14ac:dyDescent="0.25">
      <c r="A675" s="2">
        <v>45831</v>
      </c>
      <c r="B675" t="s">
        <v>753</v>
      </c>
      <c r="C675" t="s">
        <v>63</v>
      </c>
      <c r="D675" t="s">
        <v>85</v>
      </c>
      <c r="E675" t="s">
        <v>57</v>
      </c>
      <c r="F675" t="s">
        <v>30</v>
      </c>
      <c r="G675" t="s">
        <v>76</v>
      </c>
      <c r="H675" t="s">
        <v>59</v>
      </c>
      <c r="I675">
        <v>53</v>
      </c>
      <c r="J675" s="3">
        <v>1870.13</v>
      </c>
      <c r="K675" s="3">
        <f>Table1[[#This Row],[Quantity]]*Table1[[#This Row],[Unit_Price]]</f>
        <v>99116.89</v>
      </c>
      <c r="L675" s="3">
        <v>7877.5</v>
      </c>
      <c r="M675" s="3">
        <f>Table1[[#This Row],[Gross_Sales]]-Table1[[#This Row],[Discount]]</f>
        <v>91239.39</v>
      </c>
      <c r="N675" s="3">
        <v>65092.06</v>
      </c>
      <c r="O675" s="3">
        <v>3456.2</v>
      </c>
      <c r="P675" s="3">
        <v>5731.84</v>
      </c>
      <c r="Q675" s="3">
        <v>4049.19</v>
      </c>
      <c r="R675" s="3">
        <v>2442.9899999999998</v>
      </c>
      <c r="S675" s="3">
        <f>SUM(Table1[[#This Row],[Product_Cost]:[Other_Cost]])</f>
        <v>80772.28</v>
      </c>
      <c r="T675" s="3">
        <f>Table1[[#This Row],[Net_Sales]]-Table1[[#This Row],[Product_Cost]]</f>
        <v>26147.33</v>
      </c>
      <c r="U675" s="3">
        <f>Table1[[#This Row],[Net_Sales]]-Table1[[#This Row],[Total_Cost]]</f>
        <v>10467.11</v>
      </c>
      <c r="V675" s="4">
        <f>Table1[[#This Row],[Net_Profit]]/Table1[[#This Row],[Net_Sales]]</f>
        <v>0.11472139390673261</v>
      </c>
      <c r="W675" t="s">
        <v>33</v>
      </c>
      <c r="X675" t="s">
        <v>675</v>
      </c>
      <c r="Y675">
        <v>6</v>
      </c>
      <c r="Z675" t="str">
        <f>IF(Table1[[#This Row],[Month_No]]&lt;=6, "H1","H2")</f>
        <v>H1</v>
      </c>
    </row>
    <row r="676" spans="1:26" x14ac:dyDescent="0.25">
      <c r="A676" s="2">
        <v>45831</v>
      </c>
      <c r="B676" t="s">
        <v>754</v>
      </c>
      <c r="C676" t="s">
        <v>55</v>
      </c>
      <c r="D676" t="s">
        <v>81</v>
      </c>
      <c r="E676" t="s">
        <v>45</v>
      </c>
      <c r="F676" t="s">
        <v>30</v>
      </c>
      <c r="G676" t="s">
        <v>58</v>
      </c>
      <c r="H676" t="s">
        <v>59</v>
      </c>
      <c r="I676">
        <v>97</v>
      </c>
      <c r="J676" s="3">
        <v>6726.8</v>
      </c>
      <c r="K676" s="3">
        <f>Table1[[#This Row],[Quantity]]*Table1[[#This Row],[Unit_Price]]</f>
        <v>652499.6</v>
      </c>
      <c r="L676" s="3">
        <v>55353.11</v>
      </c>
      <c r="M676" s="3">
        <f>Table1[[#This Row],[Gross_Sales]]-Table1[[#This Row],[Discount]]</f>
        <v>597146.49</v>
      </c>
      <c r="N676" s="3">
        <v>357750.02</v>
      </c>
      <c r="O676" s="3">
        <v>19958.32</v>
      </c>
      <c r="P676" s="3">
        <v>44096.23</v>
      </c>
      <c r="Q676" s="3">
        <v>28158.89</v>
      </c>
      <c r="R676" s="3">
        <v>16237.92</v>
      </c>
      <c r="S676" s="3">
        <f>SUM(Table1[[#This Row],[Product_Cost]:[Other_Cost]])</f>
        <v>466201.38</v>
      </c>
      <c r="T676" s="3">
        <f>Table1[[#This Row],[Net_Sales]]-Table1[[#This Row],[Product_Cost]]</f>
        <v>239396.46999999997</v>
      </c>
      <c r="U676" s="3">
        <f>Table1[[#This Row],[Net_Sales]]-Table1[[#This Row],[Total_Cost]]</f>
        <v>130945.10999999999</v>
      </c>
      <c r="V676" s="4">
        <f>Table1[[#This Row],[Net_Profit]]/Table1[[#This Row],[Net_Sales]]</f>
        <v>0.21928473530841652</v>
      </c>
      <c r="W676" t="s">
        <v>33</v>
      </c>
      <c r="X676" t="s">
        <v>675</v>
      </c>
      <c r="Y676">
        <v>6</v>
      </c>
      <c r="Z676" t="str">
        <f>IF(Table1[[#This Row],[Month_No]]&lt;=6, "H1","H2")</f>
        <v>H1</v>
      </c>
    </row>
    <row r="677" spans="1:26" x14ac:dyDescent="0.25">
      <c r="A677" s="2">
        <v>45831</v>
      </c>
      <c r="B677" t="s">
        <v>755</v>
      </c>
      <c r="C677" t="s">
        <v>36</v>
      </c>
      <c r="D677" t="s">
        <v>68</v>
      </c>
      <c r="E677" t="s">
        <v>29</v>
      </c>
      <c r="F677" t="s">
        <v>52</v>
      </c>
      <c r="G677" t="s">
        <v>86</v>
      </c>
      <c r="H677" t="s">
        <v>41</v>
      </c>
      <c r="I677">
        <v>107</v>
      </c>
      <c r="J677" s="3">
        <v>383.46</v>
      </c>
      <c r="K677" s="3">
        <f>Table1[[#This Row],[Quantity]]*Table1[[#This Row],[Unit_Price]]</f>
        <v>41030.22</v>
      </c>
      <c r="L677" s="3">
        <v>2766.95</v>
      </c>
      <c r="M677" s="3">
        <f>Table1[[#This Row],[Gross_Sales]]-Table1[[#This Row],[Discount]]</f>
        <v>38263.270000000004</v>
      </c>
      <c r="N677" s="3">
        <v>29788.29</v>
      </c>
      <c r="O677" s="3">
        <v>911.52</v>
      </c>
      <c r="P677" s="3">
        <v>2576.13</v>
      </c>
      <c r="Q677" s="3">
        <v>1580.39</v>
      </c>
      <c r="R677" s="3">
        <v>977.85</v>
      </c>
      <c r="S677" s="3">
        <f>SUM(Table1[[#This Row],[Product_Cost]:[Other_Cost]])</f>
        <v>35834.18</v>
      </c>
      <c r="T677" s="3">
        <f>Table1[[#This Row],[Net_Sales]]-Table1[[#This Row],[Product_Cost]]</f>
        <v>8474.9800000000032</v>
      </c>
      <c r="U677" s="3">
        <f>Table1[[#This Row],[Net_Sales]]-Table1[[#This Row],[Total_Cost]]</f>
        <v>2429.0900000000038</v>
      </c>
      <c r="V677" s="4">
        <f>Table1[[#This Row],[Net_Profit]]/Table1[[#This Row],[Net_Sales]]</f>
        <v>6.3483596671168027E-2</v>
      </c>
      <c r="W677" t="s">
        <v>33</v>
      </c>
      <c r="X677" t="s">
        <v>675</v>
      </c>
      <c r="Y677">
        <v>6</v>
      </c>
      <c r="Z677" t="str">
        <f>IF(Table1[[#This Row],[Month_No]]&lt;=6, "H1","H2")</f>
        <v>H1</v>
      </c>
    </row>
    <row r="678" spans="1:26" x14ac:dyDescent="0.25">
      <c r="A678" s="2">
        <v>45831</v>
      </c>
      <c r="B678" t="s">
        <v>756</v>
      </c>
      <c r="C678" t="s">
        <v>63</v>
      </c>
      <c r="D678" t="s">
        <v>85</v>
      </c>
      <c r="E678" t="s">
        <v>57</v>
      </c>
      <c r="F678" t="s">
        <v>30</v>
      </c>
      <c r="G678" t="s">
        <v>86</v>
      </c>
      <c r="H678" t="s">
        <v>47</v>
      </c>
      <c r="I678">
        <v>104</v>
      </c>
      <c r="J678" s="3">
        <v>1885.95</v>
      </c>
      <c r="K678" s="3">
        <f>Table1[[#This Row],[Quantity]]*Table1[[#This Row],[Unit_Price]]</f>
        <v>196138.80000000002</v>
      </c>
      <c r="L678" s="3">
        <v>16762.86</v>
      </c>
      <c r="M678" s="3">
        <f>Table1[[#This Row],[Gross_Sales]]-Table1[[#This Row],[Discount]]</f>
        <v>179375.94</v>
      </c>
      <c r="N678" s="3">
        <v>120779.93</v>
      </c>
      <c r="O678" s="3">
        <v>6842.73</v>
      </c>
      <c r="P678" s="3">
        <v>13397.38</v>
      </c>
      <c r="Q678" s="3">
        <v>7913.99</v>
      </c>
      <c r="R678" s="3">
        <v>3950.23</v>
      </c>
      <c r="S678" s="3">
        <f>SUM(Table1[[#This Row],[Product_Cost]:[Other_Cost]])</f>
        <v>152884.25999999998</v>
      </c>
      <c r="T678" s="3">
        <f>Table1[[#This Row],[Net_Sales]]-Table1[[#This Row],[Product_Cost]]</f>
        <v>58596.010000000009</v>
      </c>
      <c r="U678" s="3">
        <f>Table1[[#This Row],[Net_Sales]]-Table1[[#This Row],[Total_Cost]]</f>
        <v>26491.680000000022</v>
      </c>
      <c r="V678" s="4">
        <f>Table1[[#This Row],[Net_Profit]]/Table1[[#This Row],[Net_Sales]]</f>
        <v>0.14768803441531803</v>
      </c>
      <c r="W678" t="s">
        <v>33</v>
      </c>
      <c r="X678" t="s">
        <v>675</v>
      </c>
      <c r="Y678">
        <v>6</v>
      </c>
      <c r="Z678" t="str">
        <f>IF(Table1[[#This Row],[Month_No]]&lt;=6, "H1","H2")</f>
        <v>H1</v>
      </c>
    </row>
    <row r="679" spans="1:26" x14ac:dyDescent="0.25">
      <c r="A679" s="2">
        <v>45832</v>
      </c>
      <c r="B679" t="s">
        <v>757</v>
      </c>
      <c r="C679" t="s">
        <v>70</v>
      </c>
      <c r="D679" t="s">
        <v>68</v>
      </c>
      <c r="E679" t="s">
        <v>29</v>
      </c>
      <c r="F679" t="s">
        <v>46</v>
      </c>
      <c r="G679" t="s">
        <v>86</v>
      </c>
      <c r="H679" t="s">
        <v>41</v>
      </c>
      <c r="I679">
        <v>113</v>
      </c>
      <c r="J679" s="3">
        <v>385.03</v>
      </c>
      <c r="K679" s="3">
        <f>Table1[[#This Row],[Quantity]]*Table1[[#This Row],[Unit_Price]]</f>
        <v>43508.39</v>
      </c>
      <c r="L679" s="3">
        <v>2912.32</v>
      </c>
      <c r="M679" s="3">
        <f>Table1[[#This Row],[Gross_Sales]]-Table1[[#This Row],[Discount]]</f>
        <v>40596.07</v>
      </c>
      <c r="N679" s="3">
        <v>32089.55</v>
      </c>
      <c r="O679" s="3">
        <v>1197.3399999999999</v>
      </c>
      <c r="P679" s="3">
        <v>2881.2</v>
      </c>
      <c r="Q679" s="3">
        <v>1516.77</v>
      </c>
      <c r="R679" s="3">
        <v>960.94</v>
      </c>
      <c r="S679" s="3">
        <f>SUM(Table1[[#This Row],[Product_Cost]:[Other_Cost]])</f>
        <v>38645.799999999996</v>
      </c>
      <c r="T679" s="3">
        <f>Table1[[#This Row],[Net_Sales]]-Table1[[#This Row],[Product_Cost]]</f>
        <v>8506.52</v>
      </c>
      <c r="U679" s="3">
        <f>Table1[[#This Row],[Net_Sales]]-Table1[[#This Row],[Total_Cost]]</f>
        <v>1950.2700000000041</v>
      </c>
      <c r="V679" s="4">
        <f>Table1[[#This Row],[Net_Profit]]/Table1[[#This Row],[Net_Sales]]</f>
        <v>4.8040857156862821E-2</v>
      </c>
      <c r="W679" t="s">
        <v>33</v>
      </c>
      <c r="X679" t="s">
        <v>675</v>
      </c>
      <c r="Y679">
        <v>6</v>
      </c>
      <c r="Z679" t="str">
        <f>IF(Table1[[#This Row],[Month_No]]&lt;=6, "H1","H2")</f>
        <v>H1</v>
      </c>
    </row>
    <row r="680" spans="1:26" x14ac:dyDescent="0.25">
      <c r="A680" s="2">
        <v>45832</v>
      </c>
      <c r="B680" t="s">
        <v>758</v>
      </c>
      <c r="C680" t="s">
        <v>63</v>
      </c>
      <c r="D680" t="s">
        <v>183</v>
      </c>
      <c r="E680" t="s">
        <v>38</v>
      </c>
      <c r="F680" t="s">
        <v>52</v>
      </c>
      <c r="G680" t="s">
        <v>61</v>
      </c>
      <c r="H680" t="s">
        <v>59</v>
      </c>
      <c r="I680">
        <v>50</v>
      </c>
      <c r="J680" s="3">
        <v>6431.51</v>
      </c>
      <c r="K680" s="3">
        <f>Table1[[#This Row],[Quantity]]*Table1[[#This Row],[Unit_Price]]</f>
        <v>321575.5</v>
      </c>
      <c r="L680" s="3">
        <v>20693.169999999998</v>
      </c>
      <c r="M680" s="3">
        <f>Table1[[#This Row],[Gross_Sales]]-Table1[[#This Row],[Discount]]</f>
        <v>300882.33</v>
      </c>
      <c r="N680" s="3">
        <v>171346.7</v>
      </c>
      <c r="O680" s="3">
        <v>8249.1</v>
      </c>
      <c r="P680" s="3">
        <v>19086.439999999999</v>
      </c>
      <c r="Q680" s="3">
        <v>14812.68</v>
      </c>
      <c r="R680" s="3">
        <v>6462.35</v>
      </c>
      <c r="S680" s="3">
        <f>SUM(Table1[[#This Row],[Product_Cost]:[Other_Cost]])</f>
        <v>219957.27000000002</v>
      </c>
      <c r="T680" s="3">
        <f>Table1[[#This Row],[Net_Sales]]-Table1[[#This Row],[Product_Cost]]</f>
        <v>129535.63</v>
      </c>
      <c r="U680" s="3">
        <f>Table1[[#This Row],[Net_Sales]]-Table1[[#This Row],[Total_Cost]]</f>
        <v>80925.06</v>
      </c>
      <c r="V680" s="4">
        <f>Table1[[#This Row],[Net_Profit]]/Table1[[#This Row],[Net_Sales]]</f>
        <v>0.26895916420216498</v>
      </c>
      <c r="W680" t="s">
        <v>33</v>
      </c>
      <c r="X680" t="s">
        <v>675</v>
      </c>
      <c r="Y680">
        <v>6</v>
      </c>
      <c r="Z680" t="str">
        <f>IF(Table1[[#This Row],[Month_No]]&lt;=6, "H1","H2")</f>
        <v>H1</v>
      </c>
    </row>
    <row r="681" spans="1:26" x14ac:dyDescent="0.25">
      <c r="A681" s="2">
        <v>45832</v>
      </c>
      <c r="B681" t="s">
        <v>759</v>
      </c>
      <c r="C681" t="s">
        <v>83</v>
      </c>
      <c r="D681" t="s">
        <v>37</v>
      </c>
      <c r="E681" t="s">
        <v>38</v>
      </c>
      <c r="F681" t="s">
        <v>52</v>
      </c>
      <c r="G681" t="s">
        <v>71</v>
      </c>
      <c r="H681" t="s">
        <v>47</v>
      </c>
      <c r="I681">
        <v>98</v>
      </c>
      <c r="J681" s="3">
        <v>4363.25</v>
      </c>
      <c r="K681" s="3">
        <f>Table1[[#This Row],[Quantity]]*Table1[[#This Row],[Unit_Price]]</f>
        <v>427598.5</v>
      </c>
      <c r="L681" s="3">
        <v>34088.65</v>
      </c>
      <c r="M681" s="3">
        <f>Table1[[#This Row],[Gross_Sales]]-Table1[[#This Row],[Discount]]</f>
        <v>393509.85</v>
      </c>
      <c r="N681" s="3">
        <v>293267.5</v>
      </c>
      <c r="O681" s="3">
        <v>9318.99</v>
      </c>
      <c r="P681" s="3">
        <v>22516.12</v>
      </c>
      <c r="Q681" s="3">
        <v>21064.080000000002</v>
      </c>
      <c r="R681" s="3">
        <v>12058.23</v>
      </c>
      <c r="S681" s="3">
        <f>SUM(Table1[[#This Row],[Product_Cost]:[Other_Cost]])</f>
        <v>358224.92</v>
      </c>
      <c r="T681" s="3">
        <f>Table1[[#This Row],[Net_Sales]]-Table1[[#This Row],[Product_Cost]]</f>
        <v>100242.34999999998</v>
      </c>
      <c r="U681" s="3">
        <f>Table1[[#This Row],[Net_Sales]]-Table1[[#This Row],[Total_Cost]]</f>
        <v>35284.929999999993</v>
      </c>
      <c r="V681" s="4">
        <f>Table1[[#This Row],[Net_Profit]]/Table1[[#This Row],[Net_Sales]]</f>
        <v>8.9667209092732986E-2</v>
      </c>
      <c r="W681" t="s">
        <v>72</v>
      </c>
      <c r="X681" t="s">
        <v>675</v>
      </c>
      <c r="Y681">
        <v>6</v>
      </c>
      <c r="Z681" t="str">
        <f>IF(Table1[[#This Row],[Month_No]]&lt;=6, "H1","H2")</f>
        <v>H1</v>
      </c>
    </row>
    <row r="682" spans="1:26" x14ac:dyDescent="0.25">
      <c r="A682" s="2">
        <v>45832</v>
      </c>
      <c r="B682" t="s">
        <v>760</v>
      </c>
      <c r="C682" t="s">
        <v>107</v>
      </c>
      <c r="D682" t="s">
        <v>100</v>
      </c>
      <c r="E682" t="s">
        <v>75</v>
      </c>
      <c r="F682" t="s">
        <v>39</v>
      </c>
      <c r="G682" t="s">
        <v>58</v>
      </c>
      <c r="H682" t="s">
        <v>47</v>
      </c>
      <c r="I682">
        <v>57</v>
      </c>
      <c r="J682" s="3">
        <v>7325.1</v>
      </c>
      <c r="K682" s="3">
        <f>Table1[[#This Row],[Quantity]]*Table1[[#This Row],[Unit_Price]]</f>
        <v>417530.7</v>
      </c>
      <c r="L682" s="3">
        <v>37399.620000000003</v>
      </c>
      <c r="M682" s="3">
        <f>Table1[[#This Row],[Gross_Sales]]-Table1[[#This Row],[Discount]]</f>
        <v>380131.08</v>
      </c>
      <c r="N682" s="3">
        <v>231009.48</v>
      </c>
      <c r="O682" s="3">
        <v>15372.18</v>
      </c>
      <c r="P682" s="3">
        <v>28068.43</v>
      </c>
      <c r="Q682" s="3">
        <v>19599.75</v>
      </c>
      <c r="R682" s="3">
        <v>8713.52</v>
      </c>
      <c r="S682" s="3">
        <f>SUM(Table1[[#This Row],[Product_Cost]:[Other_Cost]])</f>
        <v>302763.36000000004</v>
      </c>
      <c r="T682" s="3">
        <f>Table1[[#This Row],[Net_Sales]]-Table1[[#This Row],[Product_Cost]]</f>
        <v>149121.60000000001</v>
      </c>
      <c r="U682" s="3">
        <f>Table1[[#This Row],[Net_Sales]]-Table1[[#This Row],[Total_Cost]]</f>
        <v>77367.719999999972</v>
      </c>
      <c r="V682" s="4">
        <f>Table1[[#This Row],[Net_Profit]]/Table1[[#This Row],[Net_Sales]]</f>
        <v>0.20352905634551105</v>
      </c>
      <c r="W682" t="s">
        <v>72</v>
      </c>
      <c r="X682" t="s">
        <v>675</v>
      </c>
      <c r="Y682">
        <v>6</v>
      </c>
      <c r="Z682" t="str">
        <f>IF(Table1[[#This Row],[Month_No]]&lt;=6, "H1","H2")</f>
        <v>H1</v>
      </c>
    </row>
    <row r="683" spans="1:26" x14ac:dyDescent="0.25">
      <c r="A683" s="2">
        <v>45833</v>
      </c>
      <c r="B683" t="s">
        <v>761</v>
      </c>
      <c r="C683" t="s">
        <v>83</v>
      </c>
      <c r="D683" t="s">
        <v>74</v>
      </c>
      <c r="E683" t="s">
        <v>75</v>
      </c>
      <c r="F683" t="s">
        <v>46</v>
      </c>
      <c r="G683" t="s">
        <v>64</v>
      </c>
      <c r="H683" t="s">
        <v>59</v>
      </c>
      <c r="I683">
        <v>55</v>
      </c>
      <c r="J683" s="3">
        <v>5505.94</v>
      </c>
      <c r="K683" s="3">
        <f>Table1[[#This Row],[Quantity]]*Table1[[#This Row],[Unit_Price]]</f>
        <v>302826.69999999995</v>
      </c>
      <c r="L683" s="3">
        <v>22311.14</v>
      </c>
      <c r="M683" s="3">
        <f>Table1[[#This Row],[Gross_Sales]]-Table1[[#This Row],[Discount]]</f>
        <v>280515.55999999994</v>
      </c>
      <c r="N683" s="3">
        <v>209953.66</v>
      </c>
      <c r="O683" s="3">
        <v>8733.1299999999992</v>
      </c>
      <c r="P683" s="3">
        <v>19084.86</v>
      </c>
      <c r="Q683" s="3">
        <v>11445.06</v>
      </c>
      <c r="R683" s="3">
        <v>5872.42</v>
      </c>
      <c r="S683" s="3">
        <f>SUM(Table1[[#This Row],[Product_Cost]:[Other_Cost]])</f>
        <v>255089.13000000003</v>
      </c>
      <c r="T683" s="3">
        <f>Table1[[#This Row],[Net_Sales]]-Table1[[#This Row],[Product_Cost]]</f>
        <v>70561.899999999936</v>
      </c>
      <c r="U683" s="3">
        <f>Table1[[#This Row],[Net_Sales]]-Table1[[#This Row],[Total_Cost]]</f>
        <v>25426.429999999906</v>
      </c>
      <c r="V683" s="4">
        <f>Table1[[#This Row],[Net_Profit]]/Table1[[#This Row],[Net_Sales]]</f>
        <v>9.0641781154670753E-2</v>
      </c>
      <c r="W683" t="s">
        <v>33</v>
      </c>
      <c r="X683" t="s">
        <v>675</v>
      </c>
      <c r="Y683">
        <v>6</v>
      </c>
      <c r="Z683" t="str">
        <f>IF(Table1[[#This Row],[Month_No]]&lt;=6, "H1","H2")</f>
        <v>H1</v>
      </c>
    </row>
    <row r="684" spans="1:26" x14ac:dyDescent="0.25">
      <c r="A684" s="2">
        <v>45834</v>
      </c>
      <c r="B684" t="s">
        <v>762</v>
      </c>
      <c r="C684" t="s">
        <v>36</v>
      </c>
      <c r="D684" t="s">
        <v>50</v>
      </c>
      <c r="E684" t="s">
        <v>51</v>
      </c>
      <c r="F684" t="s">
        <v>52</v>
      </c>
      <c r="G684" t="s">
        <v>71</v>
      </c>
      <c r="H684" t="s">
        <v>59</v>
      </c>
      <c r="I684">
        <v>70</v>
      </c>
      <c r="J684" s="3">
        <v>851.59</v>
      </c>
      <c r="K684" s="3">
        <f>Table1[[#This Row],[Quantity]]*Table1[[#This Row],[Unit_Price]]</f>
        <v>59611.3</v>
      </c>
      <c r="L684" s="3">
        <v>4565.5600000000004</v>
      </c>
      <c r="M684" s="3">
        <f>Table1[[#This Row],[Gross_Sales]]-Table1[[#This Row],[Discount]]</f>
        <v>55045.740000000005</v>
      </c>
      <c r="N684" s="3">
        <v>38215.5</v>
      </c>
      <c r="O684" s="3">
        <v>1296.7</v>
      </c>
      <c r="P684" s="3">
        <v>4062.55</v>
      </c>
      <c r="Q684" s="3">
        <v>2175.61</v>
      </c>
      <c r="R684" s="3">
        <v>1546.04</v>
      </c>
      <c r="S684" s="3">
        <f>SUM(Table1[[#This Row],[Product_Cost]:[Other_Cost]])</f>
        <v>47296.4</v>
      </c>
      <c r="T684" s="3">
        <f>Table1[[#This Row],[Net_Sales]]-Table1[[#This Row],[Product_Cost]]</f>
        <v>16830.240000000005</v>
      </c>
      <c r="U684" s="3">
        <f>Table1[[#This Row],[Net_Sales]]-Table1[[#This Row],[Total_Cost]]</f>
        <v>7749.3400000000038</v>
      </c>
      <c r="V684" s="4">
        <f>Table1[[#This Row],[Net_Profit]]/Table1[[#This Row],[Net_Sales]]</f>
        <v>0.14078001313089811</v>
      </c>
      <c r="W684" t="s">
        <v>33</v>
      </c>
      <c r="X684" t="s">
        <v>675</v>
      </c>
      <c r="Y684">
        <v>6</v>
      </c>
      <c r="Z684" t="str">
        <f>IF(Table1[[#This Row],[Month_No]]&lt;=6, "H1","H2")</f>
        <v>H1</v>
      </c>
    </row>
    <row r="685" spans="1:26" x14ac:dyDescent="0.25">
      <c r="A685" s="2">
        <v>45834</v>
      </c>
      <c r="B685" t="s">
        <v>763</v>
      </c>
      <c r="C685" t="s">
        <v>83</v>
      </c>
      <c r="D685" t="s">
        <v>66</v>
      </c>
      <c r="E685" t="s">
        <v>51</v>
      </c>
      <c r="F685" t="s">
        <v>30</v>
      </c>
      <c r="G685" t="s">
        <v>86</v>
      </c>
      <c r="H685" t="s">
        <v>41</v>
      </c>
      <c r="I685">
        <v>34</v>
      </c>
      <c r="J685" s="3">
        <v>1503.24</v>
      </c>
      <c r="K685" s="3">
        <f>Table1[[#This Row],[Quantity]]*Table1[[#This Row],[Unit_Price]]</f>
        <v>51110.16</v>
      </c>
      <c r="L685" s="3">
        <v>4680.1499999999996</v>
      </c>
      <c r="M685" s="3">
        <f>Table1[[#This Row],[Gross_Sales]]-Table1[[#This Row],[Discount]]</f>
        <v>46430.01</v>
      </c>
      <c r="N685" s="3">
        <v>25132.93</v>
      </c>
      <c r="O685" s="3">
        <v>1756.6</v>
      </c>
      <c r="P685" s="3">
        <v>2913.68</v>
      </c>
      <c r="Q685" s="3">
        <v>2145.98</v>
      </c>
      <c r="R685" s="3">
        <v>1214.98</v>
      </c>
      <c r="S685" s="3">
        <f>SUM(Table1[[#This Row],[Product_Cost]:[Other_Cost]])</f>
        <v>33164.17</v>
      </c>
      <c r="T685" s="3">
        <f>Table1[[#This Row],[Net_Sales]]-Table1[[#This Row],[Product_Cost]]</f>
        <v>21297.08</v>
      </c>
      <c r="U685" s="3">
        <f>Table1[[#This Row],[Net_Sales]]-Table1[[#This Row],[Total_Cost]]</f>
        <v>13265.840000000004</v>
      </c>
      <c r="V685" s="4">
        <f>Table1[[#This Row],[Net_Profit]]/Table1[[#This Row],[Net_Sales]]</f>
        <v>0.28571693178614443</v>
      </c>
      <c r="W685" t="s">
        <v>33</v>
      </c>
      <c r="X685" t="s">
        <v>675</v>
      </c>
      <c r="Y685">
        <v>6</v>
      </c>
      <c r="Z685" t="str">
        <f>IF(Table1[[#This Row],[Month_No]]&lt;=6, "H1","H2")</f>
        <v>H1</v>
      </c>
    </row>
    <row r="686" spans="1:26" x14ac:dyDescent="0.25">
      <c r="A686" s="2">
        <v>45835</v>
      </c>
      <c r="B686" t="s">
        <v>764</v>
      </c>
      <c r="C686" t="s">
        <v>83</v>
      </c>
      <c r="D686" t="s">
        <v>74</v>
      </c>
      <c r="E686" t="s">
        <v>75</v>
      </c>
      <c r="F686" t="s">
        <v>52</v>
      </c>
      <c r="G686" t="s">
        <v>64</v>
      </c>
      <c r="H686" t="s">
        <v>59</v>
      </c>
      <c r="I686">
        <v>68</v>
      </c>
      <c r="J686" s="3">
        <v>5685.39</v>
      </c>
      <c r="K686" s="3">
        <f>Table1[[#This Row],[Quantity]]*Table1[[#This Row],[Unit_Price]]</f>
        <v>386606.52</v>
      </c>
      <c r="L686" s="3">
        <v>28579.24</v>
      </c>
      <c r="M686" s="3">
        <f>Table1[[#This Row],[Gross_Sales]]-Table1[[#This Row],[Discount]]</f>
        <v>358027.28</v>
      </c>
      <c r="N686" s="3">
        <v>261615.97</v>
      </c>
      <c r="O686" s="3">
        <v>9433.99</v>
      </c>
      <c r="P686" s="3">
        <v>25488.16</v>
      </c>
      <c r="Q686" s="3">
        <v>19232.66</v>
      </c>
      <c r="R686" s="3">
        <v>10501.5</v>
      </c>
      <c r="S686" s="3">
        <f>SUM(Table1[[#This Row],[Product_Cost]:[Other_Cost]])</f>
        <v>326272.27999999997</v>
      </c>
      <c r="T686" s="3">
        <f>Table1[[#This Row],[Net_Sales]]-Table1[[#This Row],[Product_Cost]]</f>
        <v>96411.310000000027</v>
      </c>
      <c r="U686" s="3">
        <f>Table1[[#This Row],[Net_Sales]]-Table1[[#This Row],[Total_Cost]]</f>
        <v>31755.000000000058</v>
      </c>
      <c r="V686" s="4">
        <f>Table1[[#This Row],[Net_Profit]]/Table1[[#This Row],[Net_Sales]]</f>
        <v>8.869435870920242E-2</v>
      </c>
      <c r="W686" t="s">
        <v>33</v>
      </c>
      <c r="X686" t="s">
        <v>675</v>
      </c>
      <c r="Y686">
        <v>6</v>
      </c>
      <c r="Z686" t="str">
        <f>IF(Table1[[#This Row],[Month_No]]&lt;=6, "H1","H2")</f>
        <v>H1</v>
      </c>
    </row>
    <row r="687" spans="1:26" x14ac:dyDescent="0.25">
      <c r="A687" s="2">
        <v>45835</v>
      </c>
      <c r="B687" t="s">
        <v>765</v>
      </c>
      <c r="C687" t="s">
        <v>43</v>
      </c>
      <c r="D687" t="s">
        <v>68</v>
      </c>
      <c r="E687" t="s">
        <v>29</v>
      </c>
      <c r="F687" t="s">
        <v>52</v>
      </c>
      <c r="G687" t="s">
        <v>76</v>
      </c>
      <c r="H687" t="s">
        <v>59</v>
      </c>
      <c r="I687">
        <v>113</v>
      </c>
      <c r="J687" s="3">
        <v>378.71</v>
      </c>
      <c r="K687" s="3">
        <f>Table1[[#This Row],[Quantity]]*Table1[[#This Row],[Unit_Price]]</f>
        <v>42794.229999999996</v>
      </c>
      <c r="L687" s="3">
        <v>2935.85</v>
      </c>
      <c r="M687" s="3">
        <f>Table1[[#This Row],[Gross_Sales]]-Table1[[#This Row],[Discount]]</f>
        <v>39858.379999999997</v>
      </c>
      <c r="N687" s="3">
        <v>30041.52</v>
      </c>
      <c r="O687" s="3">
        <v>970.39</v>
      </c>
      <c r="P687" s="3">
        <v>2465.77</v>
      </c>
      <c r="Q687" s="3">
        <v>1969.52</v>
      </c>
      <c r="R687" s="3">
        <v>1251.3900000000001</v>
      </c>
      <c r="S687" s="3">
        <f>SUM(Table1[[#This Row],[Product_Cost]:[Other_Cost]])</f>
        <v>36698.589999999997</v>
      </c>
      <c r="T687" s="3">
        <f>Table1[[#This Row],[Net_Sales]]-Table1[[#This Row],[Product_Cost]]</f>
        <v>9816.8599999999969</v>
      </c>
      <c r="U687" s="3">
        <f>Table1[[#This Row],[Net_Sales]]-Table1[[#This Row],[Total_Cost]]</f>
        <v>3159.7900000000009</v>
      </c>
      <c r="V687" s="4">
        <f>Table1[[#This Row],[Net_Profit]]/Table1[[#This Row],[Net_Sales]]</f>
        <v>7.9275424640941283E-2</v>
      </c>
      <c r="W687" t="s">
        <v>33</v>
      </c>
      <c r="X687" t="s">
        <v>675</v>
      </c>
      <c r="Y687">
        <v>6</v>
      </c>
      <c r="Z687" t="str">
        <f>IF(Table1[[#This Row],[Month_No]]&lt;=6, "H1","H2")</f>
        <v>H1</v>
      </c>
    </row>
    <row r="688" spans="1:26" x14ac:dyDescent="0.25">
      <c r="A688" s="2">
        <v>45835</v>
      </c>
      <c r="B688" t="s">
        <v>766</v>
      </c>
      <c r="C688" t="s">
        <v>63</v>
      </c>
      <c r="D688" t="s">
        <v>68</v>
      </c>
      <c r="E688" t="s">
        <v>29</v>
      </c>
      <c r="F688" t="s">
        <v>46</v>
      </c>
      <c r="G688" t="s">
        <v>61</v>
      </c>
      <c r="H688" t="s">
        <v>47</v>
      </c>
      <c r="I688">
        <v>143</v>
      </c>
      <c r="J688" s="3">
        <v>369</v>
      </c>
      <c r="K688" s="3">
        <f>Table1[[#This Row],[Quantity]]*Table1[[#This Row],[Unit_Price]]</f>
        <v>52767</v>
      </c>
      <c r="L688" s="3">
        <v>3505.22</v>
      </c>
      <c r="M688" s="3">
        <f>Table1[[#This Row],[Gross_Sales]]-Table1[[#This Row],[Discount]]</f>
        <v>49261.78</v>
      </c>
      <c r="N688" s="3">
        <v>38058.94</v>
      </c>
      <c r="O688" s="3">
        <v>1601.98</v>
      </c>
      <c r="P688" s="3">
        <v>3545.3</v>
      </c>
      <c r="Q688" s="3">
        <v>2619.9</v>
      </c>
      <c r="R688" s="3">
        <v>1300.73</v>
      </c>
      <c r="S688" s="3">
        <f>SUM(Table1[[#This Row],[Product_Cost]:[Other_Cost]])</f>
        <v>47126.850000000013</v>
      </c>
      <c r="T688" s="3">
        <f>Table1[[#This Row],[Net_Sales]]-Table1[[#This Row],[Product_Cost]]</f>
        <v>11202.839999999997</v>
      </c>
      <c r="U688" s="3">
        <f>Table1[[#This Row],[Net_Sales]]-Table1[[#This Row],[Total_Cost]]</f>
        <v>2134.9299999999857</v>
      </c>
      <c r="V688" s="4">
        <f>Table1[[#This Row],[Net_Profit]]/Table1[[#This Row],[Net_Sales]]</f>
        <v>4.3338466454114849E-2</v>
      </c>
      <c r="W688" t="s">
        <v>33</v>
      </c>
      <c r="X688" t="s">
        <v>675</v>
      </c>
      <c r="Y688">
        <v>6</v>
      </c>
      <c r="Z688" t="str">
        <f>IF(Table1[[#This Row],[Month_No]]&lt;=6, "H1","H2")</f>
        <v>H1</v>
      </c>
    </row>
    <row r="689" spans="1:26" x14ac:dyDescent="0.25">
      <c r="A689" s="2">
        <v>45835</v>
      </c>
      <c r="B689" t="s">
        <v>767</v>
      </c>
      <c r="C689" t="s">
        <v>78</v>
      </c>
      <c r="D689" t="s">
        <v>28</v>
      </c>
      <c r="E689" t="s">
        <v>29</v>
      </c>
      <c r="F689" t="s">
        <v>52</v>
      </c>
      <c r="G689" t="s">
        <v>86</v>
      </c>
      <c r="H689" t="s">
        <v>41</v>
      </c>
      <c r="I689">
        <v>60</v>
      </c>
      <c r="J689" s="3">
        <v>1212.3900000000001</v>
      </c>
      <c r="K689" s="3">
        <f>Table1[[#This Row],[Quantity]]*Table1[[#This Row],[Unit_Price]]</f>
        <v>72743.400000000009</v>
      </c>
      <c r="L689" s="3">
        <v>6205.58</v>
      </c>
      <c r="M689" s="3">
        <f>Table1[[#This Row],[Gross_Sales]]-Table1[[#This Row],[Discount]]</f>
        <v>66537.820000000007</v>
      </c>
      <c r="N689" s="3">
        <v>40326.879999999997</v>
      </c>
      <c r="O689" s="3">
        <v>1689.53</v>
      </c>
      <c r="P689" s="3">
        <v>3977.2</v>
      </c>
      <c r="Q689" s="3">
        <v>3015.09</v>
      </c>
      <c r="R689" s="3">
        <v>1457.85</v>
      </c>
      <c r="S689" s="3">
        <f>SUM(Table1[[#This Row],[Product_Cost]:[Other_Cost]])</f>
        <v>50466.549999999996</v>
      </c>
      <c r="T689" s="3">
        <f>Table1[[#This Row],[Net_Sales]]-Table1[[#This Row],[Product_Cost]]</f>
        <v>26210.94000000001</v>
      </c>
      <c r="U689" s="3">
        <f>Table1[[#This Row],[Net_Sales]]-Table1[[#This Row],[Total_Cost]]</f>
        <v>16071.270000000011</v>
      </c>
      <c r="V689" s="4">
        <f>Table1[[#This Row],[Net_Profit]]/Table1[[#This Row],[Net_Sales]]</f>
        <v>0.24153586636893137</v>
      </c>
      <c r="W689" t="s">
        <v>72</v>
      </c>
      <c r="X689" t="s">
        <v>675</v>
      </c>
      <c r="Y689">
        <v>6</v>
      </c>
      <c r="Z689" t="str">
        <f>IF(Table1[[#This Row],[Month_No]]&lt;=6, "H1","H2")</f>
        <v>H1</v>
      </c>
    </row>
    <row r="690" spans="1:26" x14ac:dyDescent="0.25">
      <c r="A690" s="2">
        <v>45835</v>
      </c>
      <c r="B690" t="s">
        <v>768</v>
      </c>
      <c r="C690" t="s">
        <v>36</v>
      </c>
      <c r="D690" t="s">
        <v>28</v>
      </c>
      <c r="E690" t="s">
        <v>29</v>
      </c>
      <c r="F690" t="s">
        <v>52</v>
      </c>
      <c r="G690" t="s">
        <v>71</v>
      </c>
      <c r="H690" t="s">
        <v>47</v>
      </c>
      <c r="I690">
        <v>48</v>
      </c>
      <c r="J690" s="3">
        <v>1160.1500000000001</v>
      </c>
      <c r="K690" s="3">
        <f>Table1[[#This Row],[Quantity]]*Table1[[#This Row],[Unit_Price]]</f>
        <v>55687.200000000004</v>
      </c>
      <c r="L690" s="3">
        <v>4010.13</v>
      </c>
      <c r="M690" s="3">
        <f>Table1[[#This Row],[Gross_Sales]]-Table1[[#This Row],[Discount]]</f>
        <v>51677.070000000007</v>
      </c>
      <c r="N690" s="3">
        <v>31346.74</v>
      </c>
      <c r="O690" s="3">
        <v>1408.76</v>
      </c>
      <c r="P690" s="3">
        <v>3230.48</v>
      </c>
      <c r="Q690" s="3">
        <v>2715.56</v>
      </c>
      <c r="R690" s="3">
        <v>1605.86</v>
      </c>
      <c r="S690" s="3">
        <f>SUM(Table1[[#This Row],[Product_Cost]:[Other_Cost]])</f>
        <v>40307.4</v>
      </c>
      <c r="T690" s="3">
        <f>Table1[[#This Row],[Net_Sales]]-Table1[[#This Row],[Product_Cost]]</f>
        <v>20330.330000000005</v>
      </c>
      <c r="U690" s="3">
        <f>Table1[[#This Row],[Net_Sales]]-Table1[[#This Row],[Total_Cost]]</f>
        <v>11369.670000000006</v>
      </c>
      <c r="V690" s="4">
        <f>Table1[[#This Row],[Net_Profit]]/Table1[[#This Row],[Net_Sales]]</f>
        <v>0.22001382818337037</v>
      </c>
      <c r="W690" t="s">
        <v>33</v>
      </c>
      <c r="X690" t="s">
        <v>675</v>
      </c>
      <c r="Y690">
        <v>6</v>
      </c>
      <c r="Z690" t="str">
        <f>IF(Table1[[#This Row],[Month_No]]&lt;=6, "H1","H2")</f>
        <v>H1</v>
      </c>
    </row>
    <row r="691" spans="1:26" x14ac:dyDescent="0.25">
      <c r="A691" s="2">
        <v>45835</v>
      </c>
      <c r="B691" t="s">
        <v>769</v>
      </c>
      <c r="C691" t="s">
        <v>63</v>
      </c>
      <c r="D691" t="s">
        <v>81</v>
      </c>
      <c r="E691" t="s">
        <v>45</v>
      </c>
      <c r="F691" t="s">
        <v>39</v>
      </c>
      <c r="G691" t="s">
        <v>40</v>
      </c>
      <c r="H691" t="s">
        <v>59</v>
      </c>
      <c r="I691">
        <v>64</v>
      </c>
      <c r="J691" s="3">
        <v>6981.43</v>
      </c>
      <c r="K691" s="3">
        <f>Table1[[#This Row],[Quantity]]*Table1[[#This Row],[Unit_Price]]</f>
        <v>446811.52</v>
      </c>
      <c r="L691" s="3">
        <v>32467.14</v>
      </c>
      <c r="M691" s="3">
        <f>Table1[[#This Row],[Gross_Sales]]-Table1[[#This Row],[Discount]]</f>
        <v>414344.38</v>
      </c>
      <c r="N691" s="3">
        <v>239596.35</v>
      </c>
      <c r="O691" s="3">
        <v>17458.64</v>
      </c>
      <c r="P691" s="3">
        <v>26511.69</v>
      </c>
      <c r="Q691" s="3">
        <v>21180.720000000001</v>
      </c>
      <c r="R691" s="3">
        <v>8903.4699999999993</v>
      </c>
      <c r="S691" s="3">
        <f>SUM(Table1[[#This Row],[Product_Cost]:[Other_Cost]])</f>
        <v>313650.87</v>
      </c>
      <c r="T691" s="3">
        <f>Table1[[#This Row],[Net_Sales]]-Table1[[#This Row],[Product_Cost]]</f>
        <v>174748.03</v>
      </c>
      <c r="U691" s="3">
        <f>Table1[[#This Row],[Net_Sales]]-Table1[[#This Row],[Total_Cost]]</f>
        <v>100693.51000000001</v>
      </c>
      <c r="V691" s="4">
        <f>Table1[[#This Row],[Net_Profit]]/Table1[[#This Row],[Net_Sales]]</f>
        <v>0.2430188868496298</v>
      </c>
      <c r="W691" t="s">
        <v>33</v>
      </c>
      <c r="X691" t="s">
        <v>675</v>
      </c>
      <c r="Y691">
        <v>6</v>
      </c>
      <c r="Z691" t="str">
        <f>IF(Table1[[#This Row],[Month_No]]&lt;=6, "H1","H2")</f>
        <v>H1</v>
      </c>
    </row>
    <row r="692" spans="1:26" x14ac:dyDescent="0.25">
      <c r="A692" s="2">
        <v>45836</v>
      </c>
      <c r="B692" t="s">
        <v>770</v>
      </c>
      <c r="C692" t="s">
        <v>117</v>
      </c>
      <c r="D692" t="s">
        <v>56</v>
      </c>
      <c r="E692" t="s">
        <v>57</v>
      </c>
      <c r="F692" t="s">
        <v>30</v>
      </c>
      <c r="G692" t="s">
        <v>61</v>
      </c>
      <c r="H692" t="s">
        <v>59</v>
      </c>
      <c r="I692">
        <v>37</v>
      </c>
      <c r="J692" s="3">
        <v>3105.63</v>
      </c>
      <c r="K692" s="3">
        <f>Table1[[#This Row],[Quantity]]*Table1[[#This Row],[Unit_Price]]</f>
        <v>114908.31</v>
      </c>
      <c r="L692" s="3">
        <v>7892.43</v>
      </c>
      <c r="M692" s="3">
        <f>Table1[[#This Row],[Gross_Sales]]-Table1[[#This Row],[Discount]]</f>
        <v>107015.88</v>
      </c>
      <c r="N692" s="3">
        <v>58787.57</v>
      </c>
      <c r="O692" s="3">
        <v>4211.29</v>
      </c>
      <c r="P692" s="3">
        <v>6152.97</v>
      </c>
      <c r="Q692" s="3">
        <v>4404.16</v>
      </c>
      <c r="R692" s="3">
        <v>2319.65</v>
      </c>
      <c r="S692" s="3">
        <f>SUM(Table1[[#This Row],[Product_Cost]:[Other_Cost]])</f>
        <v>75875.64</v>
      </c>
      <c r="T692" s="3">
        <f>Table1[[#This Row],[Net_Sales]]-Table1[[#This Row],[Product_Cost]]</f>
        <v>48228.310000000005</v>
      </c>
      <c r="U692" s="3">
        <f>Table1[[#This Row],[Net_Sales]]-Table1[[#This Row],[Total_Cost]]</f>
        <v>31140.240000000005</v>
      </c>
      <c r="V692" s="4">
        <f>Table1[[#This Row],[Net_Profit]]/Table1[[#This Row],[Net_Sales]]</f>
        <v>0.2909870946255827</v>
      </c>
      <c r="W692" t="s">
        <v>33</v>
      </c>
      <c r="X692" t="s">
        <v>675</v>
      </c>
      <c r="Y692">
        <v>6</v>
      </c>
      <c r="Z692" t="str">
        <f>IF(Table1[[#This Row],[Month_No]]&lt;=6, "H1","H2")</f>
        <v>H1</v>
      </c>
    </row>
    <row r="693" spans="1:26" x14ac:dyDescent="0.25">
      <c r="A693" s="2">
        <v>45836</v>
      </c>
      <c r="B693" t="s">
        <v>771</v>
      </c>
      <c r="C693" t="s">
        <v>27</v>
      </c>
      <c r="D693" t="s">
        <v>44</v>
      </c>
      <c r="E693" t="s">
        <v>45</v>
      </c>
      <c r="F693" t="s">
        <v>52</v>
      </c>
      <c r="G693" t="s">
        <v>40</v>
      </c>
      <c r="H693" t="s">
        <v>47</v>
      </c>
      <c r="I693">
        <v>114</v>
      </c>
      <c r="J693" s="3">
        <v>4335.5</v>
      </c>
      <c r="K693" s="3">
        <f>Table1[[#This Row],[Quantity]]*Table1[[#This Row],[Unit_Price]]</f>
        <v>494247</v>
      </c>
      <c r="L693" s="3">
        <v>43778.33</v>
      </c>
      <c r="M693" s="3">
        <f>Table1[[#This Row],[Gross_Sales]]-Table1[[#This Row],[Discount]]</f>
        <v>450468.67</v>
      </c>
      <c r="N693" s="3">
        <v>318552.24</v>
      </c>
      <c r="O693" s="3">
        <v>12241.08</v>
      </c>
      <c r="P693" s="3">
        <v>26471.38</v>
      </c>
      <c r="Q693" s="3">
        <v>22758.26</v>
      </c>
      <c r="R693" s="3">
        <v>9873.44</v>
      </c>
      <c r="S693" s="3">
        <f>SUM(Table1[[#This Row],[Product_Cost]:[Other_Cost]])</f>
        <v>389896.4</v>
      </c>
      <c r="T693" s="3">
        <f>Table1[[#This Row],[Net_Sales]]-Table1[[#This Row],[Product_Cost]]</f>
        <v>131916.43</v>
      </c>
      <c r="U693" s="3">
        <f>Table1[[#This Row],[Net_Sales]]-Table1[[#This Row],[Total_Cost]]</f>
        <v>60572.26999999996</v>
      </c>
      <c r="V693" s="4">
        <f>Table1[[#This Row],[Net_Profit]]/Table1[[#This Row],[Net_Sales]]</f>
        <v>0.13446500064033301</v>
      </c>
      <c r="W693" t="s">
        <v>33</v>
      </c>
      <c r="X693" t="s">
        <v>675</v>
      </c>
      <c r="Y693">
        <v>6</v>
      </c>
      <c r="Z693" t="str">
        <f>IF(Table1[[#This Row],[Month_No]]&lt;=6, "H1","H2")</f>
        <v>H1</v>
      </c>
    </row>
    <row r="694" spans="1:26" x14ac:dyDescent="0.25">
      <c r="A694" s="2">
        <v>45836</v>
      </c>
      <c r="B694" t="s">
        <v>772</v>
      </c>
      <c r="C694" t="s">
        <v>36</v>
      </c>
      <c r="D694" t="s">
        <v>81</v>
      </c>
      <c r="E694" t="s">
        <v>45</v>
      </c>
      <c r="F694" t="s">
        <v>46</v>
      </c>
      <c r="G694" t="s">
        <v>86</v>
      </c>
      <c r="H694" t="s">
        <v>41</v>
      </c>
      <c r="I694">
        <v>85</v>
      </c>
      <c r="J694" s="3">
        <v>6825.99</v>
      </c>
      <c r="K694" s="3">
        <f>Table1[[#This Row],[Quantity]]*Table1[[#This Row],[Unit_Price]]</f>
        <v>580209.15</v>
      </c>
      <c r="L694" s="3">
        <v>44761.47</v>
      </c>
      <c r="M694" s="3">
        <f>Table1[[#This Row],[Gross_Sales]]-Table1[[#This Row],[Discount]]</f>
        <v>535447.68000000005</v>
      </c>
      <c r="N694" s="3">
        <v>313361.37</v>
      </c>
      <c r="O694" s="3">
        <v>17538.64</v>
      </c>
      <c r="P694" s="3">
        <v>33140.86</v>
      </c>
      <c r="Q694" s="3">
        <v>21713.119999999999</v>
      </c>
      <c r="R694" s="3">
        <v>13423.86</v>
      </c>
      <c r="S694" s="3">
        <f>SUM(Table1[[#This Row],[Product_Cost]:[Other_Cost]])</f>
        <v>399177.85</v>
      </c>
      <c r="T694" s="3">
        <f>Table1[[#This Row],[Net_Sales]]-Table1[[#This Row],[Product_Cost]]</f>
        <v>222086.31000000006</v>
      </c>
      <c r="U694" s="3">
        <f>Table1[[#This Row],[Net_Sales]]-Table1[[#This Row],[Total_Cost]]</f>
        <v>136269.83000000007</v>
      </c>
      <c r="V694" s="4">
        <f>Table1[[#This Row],[Net_Profit]]/Table1[[#This Row],[Net_Sales]]</f>
        <v>0.25449700332999869</v>
      </c>
      <c r="W694" t="s">
        <v>33</v>
      </c>
      <c r="X694" t="s">
        <v>675</v>
      </c>
      <c r="Y694">
        <v>6</v>
      </c>
      <c r="Z694" t="str">
        <f>IF(Table1[[#This Row],[Month_No]]&lt;=6, "H1","H2")</f>
        <v>H1</v>
      </c>
    </row>
    <row r="695" spans="1:26" x14ac:dyDescent="0.25">
      <c r="A695" s="2">
        <v>45836</v>
      </c>
      <c r="B695" t="s">
        <v>773</v>
      </c>
      <c r="C695" t="s">
        <v>117</v>
      </c>
      <c r="D695" t="s">
        <v>100</v>
      </c>
      <c r="E695" t="s">
        <v>75</v>
      </c>
      <c r="F695" t="s">
        <v>52</v>
      </c>
      <c r="G695" t="s">
        <v>61</v>
      </c>
      <c r="H695" t="s">
        <v>59</v>
      </c>
      <c r="I695">
        <v>82</v>
      </c>
      <c r="J695" s="3">
        <v>6986.63</v>
      </c>
      <c r="K695" s="3">
        <f>Table1[[#This Row],[Quantity]]*Table1[[#This Row],[Unit_Price]]</f>
        <v>572903.66</v>
      </c>
      <c r="L695" s="3">
        <v>34911.040000000001</v>
      </c>
      <c r="M695" s="3">
        <f>Table1[[#This Row],[Gross_Sales]]-Table1[[#This Row],[Discount]]</f>
        <v>537992.62</v>
      </c>
      <c r="N695" s="3">
        <v>315302.46000000002</v>
      </c>
      <c r="O695" s="3">
        <v>14278.74</v>
      </c>
      <c r="P695" s="3">
        <v>32195.27</v>
      </c>
      <c r="Q695" s="3">
        <v>21862.02</v>
      </c>
      <c r="R695" s="3">
        <v>16721.86</v>
      </c>
      <c r="S695" s="3">
        <f>SUM(Table1[[#This Row],[Product_Cost]:[Other_Cost]])</f>
        <v>400360.35000000003</v>
      </c>
      <c r="T695" s="3">
        <f>Table1[[#This Row],[Net_Sales]]-Table1[[#This Row],[Product_Cost]]</f>
        <v>222690.15999999997</v>
      </c>
      <c r="U695" s="3">
        <f>Table1[[#This Row],[Net_Sales]]-Table1[[#This Row],[Total_Cost]]</f>
        <v>137632.26999999996</v>
      </c>
      <c r="V695" s="4">
        <f>Table1[[#This Row],[Net_Profit]]/Table1[[#This Row],[Net_Sales]]</f>
        <v>0.25582557247718374</v>
      </c>
      <c r="W695" t="s">
        <v>33</v>
      </c>
      <c r="X695" t="s">
        <v>675</v>
      </c>
      <c r="Y695">
        <v>6</v>
      </c>
      <c r="Z695" t="str">
        <f>IF(Table1[[#This Row],[Month_No]]&lt;=6, "H1","H2")</f>
        <v>H1</v>
      </c>
    </row>
    <row r="696" spans="1:26" x14ac:dyDescent="0.25">
      <c r="A696" s="2">
        <v>45836</v>
      </c>
      <c r="B696" t="s">
        <v>774</v>
      </c>
      <c r="C696" t="s">
        <v>49</v>
      </c>
      <c r="D696" t="s">
        <v>50</v>
      </c>
      <c r="E696" t="s">
        <v>51</v>
      </c>
      <c r="F696" t="s">
        <v>30</v>
      </c>
      <c r="G696" t="s">
        <v>40</v>
      </c>
      <c r="H696" t="s">
        <v>59</v>
      </c>
      <c r="I696">
        <v>51</v>
      </c>
      <c r="J696" s="3">
        <v>886.01</v>
      </c>
      <c r="K696" s="3">
        <f>Table1[[#This Row],[Quantity]]*Table1[[#This Row],[Unit_Price]]</f>
        <v>45186.51</v>
      </c>
      <c r="L696" s="3">
        <v>2969.56</v>
      </c>
      <c r="M696" s="3">
        <f>Table1[[#This Row],[Gross_Sales]]-Table1[[#This Row],[Discount]]</f>
        <v>42216.950000000004</v>
      </c>
      <c r="N696" s="3">
        <v>27908.67</v>
      </c>
      <c r="O696" s="3">
        <v>1596.58</v>
      </c>
      <c r="P696" s="3">
        <v>2592.1999999999998</v>
      </c>
      <c r="Q696" s="3">
        <v>1697.19</v>
      </c>
      <c r="R696" s="3">
        <v>1334.17</v>
      </c>
      <c r="S696" s="3">
        <f>SUM(Table1[[#This Row],[Product_Cost]:[Other_Cost]])</f>
        <v>35128.81</v>
      </c>
      <c r="T696" s="3">
        <f>Table1[[#This Row],[Net_Sales]]-Table1[[#This Row],[Product_Cost]]</f>
        <v>14308.280000000006</v>
      </c>
      <c r="U696" s="3">
        <f>Table1[[#This Row],[Net_Sales]]-Table1[[#This Row],[Total_Cost]]</f>
        <v>7088.1400000000067</v>
      </c>
      <c r="V696" s="4">
        <f>Table1[[#This Row],[Net_Profit]]/Table1[[#This Row],[Net_Sales]]</f>
        <v>0.16789796515380684</v>
      </c>
      <c r="W696" t="s">
        <v>72</v>
      </c>
      <c r="X696" t="s">
        <v>675</v>
      </c>
      <c r="Y696">
        <v>6</v>
      </c>
      <c r="Z696" t="str">
        <f>IF(Table1[[#This Row],[Month_No]]&lt;=6, "H1","H2")</f>
        <v>H1</v>
      </c>
    </row>
    <row r="697" spans="1:26" x14ac:dyDescent="0.25">
      <c r="A697" s="2">
        <v>45836</v>
      </c>
      <c r="B697" t="s">
        <v>775</v>
      </c>
      <c r="C697" t="s">
        <v>43</v>
      </c>
      <c r="D697" t="s">
        <v>68</v>
      </c>
      <c r="E697" t="s">
        <v>29</v>
      </c>
      <c r="F697" t="s">
        <v>39</v>
      </c>
      <c r="G697" t="s">
        <v>40</v>
      </c>
      <c r="H697" t="s">
        <v>59</v>
      </c>
      <c r="I697">
        <v>91</v>
      </c>
      <c r="J697" s="3">
        <v>384.63</v>
      </c>
      <c r="K697" s="3">
        <f>Table1[[#This Row],[Quantity]]*Table1[[#This Row],[Unit_Price]]</f>
        <v>35001.33</v>
      </c>
      <c r="L697" s="3">
        <v>2171.66</v>
      </c>
      <c r="M697" s="3">
        <f>Table1[[#This Row],[Gross_Sales]]-Table1[[#This Row],[Discount]]</f>
        <v>32829.67</v>
      </c>
      <c r="N697" s="3">
        <v>25190.22</v>
      </c>
      <c r="O697" s="3">
        <v>1488.54</v>
      </c>
      <c r="P697" s="3">
        <v>1815.69</v>
      </c>
      <c r="Q697" s="3">
        <v>1359.55</v>
      </c>
      <c r="R697" s="3">
        <v>965.91</v>
      </c>
      <c r="S697" s="3">
        <f>SUM(Table1[[#This Row],[Product_Cost]:[Other_Cost]])</f>
        <v>30819.91</v>
      </c>
      <c r="T697" s="3">
        <f>Table1[[#This Row],[Net_Sales]]-Table1[[#This Row],[Product_Cost]]</f>
        <v>7639.4499999999971</v>
      </c>
      <c r="U697" s="3">
        <f>Table1[[#This Row],[Net_Sales]]-Table1[[#This Row],[Total_Cost]]</f>
        <v>2009.7599999999984</v>
      </c>
      <c r="V697" s="4">
        <f>Table1[[#This Row],[Net_Profit]]/Table1[[#This Row],[Net_Sales]]</f>
        <v>6.1217794756998734E-2</v>
      </c>
      <c r="W697" t="s">
        <v>33</v>
      </c>
      <c r="X697" t="s">
        <v>675</v>
      </c>
      <c r="Y697">
        <v>6</v>
      </c>
      <c r="Z697" t="str">
        <f>IF(Table1[[#This Row],[Month_No]]&lt;=6, "H1","H2")</f>
        <v>H1</v>
      </c>
    </row>
    <row r="698" spans="1:26" x14ac:dyDescent="0.25">
      <c r="A698" s="2">
        <v>45837</v>
      </c>
      <c r="B698" t="s">
        <v>776</v>
      </c>
      <c r="C698" t="s">
        <v>27</v>
      </c>
      <c r="D698" t="s">
        <v>85</v>
      </c>
      <c r="E698" t="s">
        <v>57</v>
      </c>
      <c r="F698" t="s">
        <v>52</v>
      </c>
      <c r="G698" t="s">
        <v>58</v>
      </c>
      <c r="H698" t="s">
        <v>41</v>
      </c>
      <c r="I698">
        <v>66</v>
      </c>
      <c r="J698" s="3">
        <v>1918.87</v>
      </c>
      <c r="K698" s="3">
        <f>Table1[[#This Row],[Quantity]]*Table1[[#This Row],[Unit_Price]]</f>
        <v>126645.42</v>
      </c>
      <c r="L698" s="3">
        <v>8289.09</v>
      </c>
      <c r="M698" s="3">
        <f>Table1[[#This Row],[Gross_Sales]]-Table1[[#This Row],[Discount]]</f>
        <v>118356.33</v>
      </c>
      <c r="N698" s="3">
        <v>81429.100000000006</v>
      </c>
      <c r="O698" s="3">
        <v>3089.27</v>
      </c>
      <c r="P698" s="3">
        <v>7629.74</v>
      </c>
      <c r="Q698" s="3">
        <v>6397.85</v>
      </c>
      <c r="R698" s="3">
        <v>2854.39</v>
      </c>
      <c r="S698" s="3">
        <f>SUM(Table1[[#This Row],[Product_Cost]:[Other_Cost]])</f>
        <v>101400.35000000002</v>
      </c>
      <c r="T698" s="3">
        <f>Table1[[#This Row],[Net_Sales]]-Table1[[#This Row],[Product_Cost]]</f>
        <v>36927.229999999996</v>
      </c>
      <c r="U698" s="3">
        <f>Table1[[#This Row],[Net_Sales]]-Table1[[#This Row],[Total_Cost]]</f>
        <v>16955.979999999981</v>
      </c>
      <c r="V698" s="4">
        <f>Table1[[#This Row],[Net_Profit]]/Table1[[#This Row],[Net_Sales]]</f>
        <v>0.14326213055102319</v>
      </c>
      <c r="W698" t="s">
        <v>72</v>
      </c>
      <c r="X698" t="s">
        <v>675</v>
      </c>
      <c r="Y698">
        <v>6</v>
      </c>
      <c r="Z698" t="str">
        <f>IF(Table1[[#This Row],[Month_No]]&lt;=6, "H1","H2")</f>
        <v>H1</v>
      </c>
    </row>
    <row r="699" spans="1:26" x14ac:dyDescent="0.25">
      <c r="A699" s="2">
        <v>45837</v>
      </c>
      <c r="B699" t="s">
        <v>777</v>
      </c>
      <c r="C699" t="s">
        <v>43</v>
      </c>
      <c r="D699" t="s">
        <v>37</v>
      </c>
      <c r="E699" t="s">
        <v>38</v>
      </c>
      <c r="F699" t="s">
        <v>30</v>
      </c>
      <c r="G699" t="s">
        <v>71</v>
      </c>
      <c r="H699" t="s">
        <v>41</v>
      </c>
      <c r="I699">
        <v>59</v>
      </c>
      <c r="J699" s="3">
        <v>4698.3500000000004</v>
      </c>
      <c r="K699" s="3">
        <f>Table1[[#This Row],[Quantity]]*Table1[[#This Row],[Unit_Price]]</f>
        <v>277202.65000000002</v>
      </c>
      <c r="L699" s="3">
        <v>23152.99</v>
      </c>
      <c r="M699" s="3">
        <f>Table1[[#This Row],[Gross_Sales]]-Table1[[#This Row],[Discount]]</f>
        <v>254049.66000000003</v>
      </c>
      <c r="N699" s="3">
        <v>186248.17</v>
      </c>
      <c r="O699" s="3">
        <v>9696.23</v>
      </c>
      <c r="P699" s="3">
        <v>15140.68</v>
      </c>
      <c r="Q699" s="3">
        <v>9902.74</v>
      </c>
      <c r="R699" s="3">
        <v>6398.79</v>
      </c>
      <c r="S699" s="3">
        <f>SUM(Table1[[#This Row],[Product_Cost]:[Other_Cost]])</f>
        <v>227386.61000000002</v>
      </c>
      <c r="T699" s="3">
        <f>Table1[[#This Row],[Net_Sales]]-Table1[[#This Row],[Product_Cost]]</f>
        <v>67801.49000000002</v>
      </c>
      <c r="U699" s="3">
        <f>Table1[[#This Row],[Net_Sales]]-Table1[[#This Row],[Total_Cost]]</f>
        <v>26663.050000000017</v>
      </c>
      <c r="V699" s="4">
        <f>Table1[[#This Row],[Net_Profit]]/Table1[[#This Row],[Net_Sales]]</f>
        <v>0.10495211841653326</v>
      </c>
      <c r="W699" t="s">
        <v>72</v>
      </c>
      <c r="X699" t="s">
        <v>675</v>
      </c>
      <c r="Y699">
        <v>6</v>
      </c>
      <c r="Z699" t="str">
        <f>IF(Table1[[#This Row],[Month_No]]&lt;=6, "H1","H2")</f>
        <v>H1</v>
      </c>
    </row>
    <row r="700" spans="1:26" x14ac:dyDescent="0.25">
      <c r="A700" s="2">
        <v>45837</v>
      </c>
      <c r="B700" t="s">
        <v>778</v>
      </c>
      <c r="C700" t="s">
        <v>49</v>
      </c>
      <c r="D700" t="s">
        <v>68</v>
      </c>
      <c r="E700" t="s">
        <v>29</v>
      </c>
      <c r="F700" t="s">
        <v>52</v>
      </c>
      <c r="G700" t="s">
        <v>64</v>
      </c>
      <c r="H700" t="s">
        <v>41</v>
      </c>
      <c r="I700">
        <v>121</v>
      </c>
      <c r="J700" s="3">
        <v>388.4</v>
      </c>
      <c r="K700" s="3">
        <f>Table1[[#This Row],[Quantity]]*Table1[[#This Row],[Unit_Price]]</f>
        <v>46996.399999999994</v>
      </c>
      <c r="L700" s="3">
        <v>3066.9</v>
      </c>
      <c r="M700" s="3">
        <f>Table1[[#This Row],[Gross_Sales]]-Table1[[#This Row],[Discount]]</f>
        <v>43929.499999999993</v>
      </c>
      <c r="N700" s="3">
        <v>33214.79</v>
      </c>
      <c r="O700" s="3">
        <v>1041.19</v>
      </c>
      <c r="P700" s="3">
        <v>2665.22</v>
      </c>
      <c r="Q700" s="3">
        <v>2265.2600000000002</v>
      </c>
      <c r="R700" s="3">
        <v>1085.48</v>
      </c>
      <c r="S700" s="3">
        <f>SUM(Table1[[#This Row],[Product_Cost]:[Other_Cost]])</f>
        <v>40271.94000000001</v>
      </c>
      <c r="T700" s="3">
        <f>Table1[[#This Row],[Net_Sales]]-Table1[[#This Row],[Product_Cost]]</f>
        <v>10714.709999999992</v>
      </c>
      <c r="U700" s="3">
        <f>Table1[[#This Row],[Net_Sales]]-Table1[[#This Row],[Total_Cost]]</f>
        <v>3657.5599999999831</v>
      </c>
      <c r="V700" s="4">
        <f>Table1[[#This Row],[Net_Profit]]/Table1[[#This Row],[Net_Sales]]</f>
        <v>8.3259768492698158E-2</v>
      </c>
      <c r="W700" t="s">
        <v>33</v>
      </c>
      <c r="X700" t="s">
        <v>675</v>
      </c>
      <c r="Y700">
        <v>6</v>
      </c>
      <c r="Z700" t="str">
        <f>IF(Table1[[#This Row],[Month_No]]&lt;=6, "H1","H2")</f>
        <v>H1</v>
      </c>
    </row>
    <row r="701" spans="1:26" x14ac:dyDescent="0.25">
      <c r="A701" s="2">
        <v>45837</v>
      </c>
      <c r="B701" t="s">
        <v>779</v>
      </c>
      <c r="C701" t="s">
        <v>70</v>
      </c>
      <c r="D701" t="s">
        <v>74</v>
      </c>
      <c r="E701" t="s">
        <v>75</v>
      </c>
      <c r="F701" t="s">
        <v>46</v>
      </c>
      <c r="G701" t="s">
        <v>58</v>
      </c>
      <c r="H701" t="s">
        <v>41</v>
      </c>
      <c r="I701">
        <v>89</v>
      </c>
      <c r="J701" s="3">
        <v>5856.64</v>
      </c>
      <c r="K701" s="3">
        <f>Table1[[#This Row],[Quantity]]*Table1[[#This Row],[Unit_Price]]</f>
        <v>521240.96</v>
      </c>
      <c r="L701" s="3">
        <v>44585.06</v>
      </c>
      <c r="M701" s="3">
        <f>Table1[[#This Row],[Gross_Sales]]-Table1[[#This Row],[Discount]]</f>
        <v>476655.9</v>
      </c>
      <c r="N701" s="3">
        <v>343336.12</v>
      </c>
      <c r="O701" s="3">
        <v>13396.31</v>
      </c>
      <c r="P701" s="3">
        <v>32962.79</v>
      </c>
      <c r="Q701" s="3">
        <v>17967.77</v>
      </c>
      <c r="R701" s="3">
        <v>10051.92</v>
      </c>
      <c r="S701" s="3">
        <f>SUM(Table1[[#This Row],[Product_Cost]:[Other_Cost]])</f>
        <v>417714.91</v>
      </c>
      <c r="T701" s="3">
        <f>Table1[[#This Row],[Net_Sales]]-Table1[[#This Row],[Product_Cost]]</f>
        <v>133319.78000000003</v>
      </c>
      <c r="U701" s="3">
        <f>Table1[[#This Row],[Net_Sales]]-Table1[[#This Row],[Total_Cost]]</f>
        <v>58940.990000000049</v>
      </c>
      <c r="V701" s="4">
        <f>Table1[[#This Row],[Net_Profit]]/Table1[[#This Row],[Net_Sales]]</f>
        <v>0.12365521962489093</v>
      </c>
      <c r="W701" t="s">
        <v>33</v>
      </c>
      <c r="X701" t="s">
        <v>675</v>
      </c>
      <c r="Y701">
        <v>6</v>
      </c>
      <c r="Z701" t="str">
        <f>IF(Table1[[#This Row],[Month_No]]&lt;=6, "H1","H2")</f>
        <v>H1</v>
      </c>
    </row>
    <row r="702" spans="1:26" x14ac:dyDescent="0.25">
      <c r="A702" s="2">
        <v>45837</v>
      </c>
      <c r="B702" t="s">
        <v>780</v>
      </c>
      <c r="C702" t="s">
        <v>78</v>
      </c>
      <c r="D702" t="s">
        <v>44</v>
      </c>
      <c r="E702" t="s">
        <v>45</v>
      </c>
      <c r="F702" t="s">
        <v>52</v>
      </c>
      <c r="G702" t="s">
        <v>64</v>
      </c>
      <c r="H702" t="s">
        <v>47</v>
      </c>
      <c r="I702">
        <v>82</v>
      </c>
      <c r="J702" s="3">
        <v>4641.9799999999996</v>
      </c>
      <c r="K702" s="3">
        <f>Table1[[#This Row],[Quantity]]*Table1[[#This Row],[Unit_Price]]</f>
        <v>380642.36</v>
      </c>
      <c r="L702" s="3">
        <v>32835.910000000003</v>
      </c>
      <c r="M702" s="3">
        <f>Table1[[#This Row],[Gross_Sales]]-Table1[[#This Row],[Discount]]</f>
        <v>347806.44999999995</v>
      </c>
      <c r="N702" s="3">
        <v>244556.59</v>
      </c>
      <c r="O702" s="3">
        <v>8364.06</v>
      </c>
      <c r="P702" s="3">
        <v>23215.41</v>
      </c>
      <c r="Q702" s="3">
        <v>17784.919999999998</v>
      </c>
      <c r="R702" s="3">
        <v>7506.37</v>
      </c>
      <c r="S702" s="3">
        <f>SUM(Table1[[#This Row],[Product_Cost]:[Other_Cost]])</f>
        <v>301427.34999999998</v>
      </c>
      <c r="T702" s="3">
        <f>Table1[[#This Row],[Net_Sales]]-Table1[[#This Row],[Product_Cost]]</f>
        <v>103249.85999999996</v>
      </c>
      <c r="U702" s="3">
        <f>Table1[[#This Row],[Net_Sales]]-Table1[[#This Row],[Total_Cost]]</f>
        <v>46379.099999999977</v>
      </c>
      <c r="V702" s="4">
        <f>Table1[[#This Row],[Net_Profit]]/Table1[[#This Row],[Net_Sales]]</f>
        <v>0.13334744079645441</v>
      </c>
      <c r="W702" t="s">
        <v>72</v>
      </c>
      <c r="X702" t="s">
        <v>675</v>
      </c>
      <c r="Y702">
        <v>6</v>
      </c>
      <c r="Z702" t="str">
        <f>IF(Table1[[#This Row],[Month_No]]&lt;=6, "H1","H2")</f>
        <v>H1</v>
      </c>
    </row>
    <row r="703" spans="1:26" x14ac:dyDescent="0.25">
      <c r="A703" s="2">
        <v>45838</v>
      </c>
      <c r="B703" t="s">
        <v>781</v>
      </c>
      <c r="C703" t="s">
        <v>36</v>
      </c>
      <c r="D703" t="s">
        <v>28</v>
      </c>
      <c r="E703" t="s">
        <v>29</v>
      </c>
      <c r="F703" t="s">
        <v>52</v>
      </c>
      <c r="G703" t="s">
        <v>76</v>
      </c>
      <c r="H703" t="s">
        <v>59</v>
      </c>
      <c r="I703">
        <v>109</v>
      </c>
      <c r="J703" s="3">
        <v>1186.47</v>
      </c>
      <c r="K703" s="3">
        <f>Table1[[#This Row],[Quantity]]*Table1[[#This Row],[Unit_Price]]</f>
        <v>129325.23</v>
      </c>
      <c r="L703" s="3">
        <v>10816.22</v>
      </c>
      <c r="M703" s="3">
        <f>Table1[[#This Row],[Gross_Sales]]-Table1[[#This Row],[Discount]]</f>
        <v>118509.01</v>
      </c>
      <c r="N703" s="3">
        <v>70337.48</v>
      </c>
      <c r="O703" s="3">
        <v>3119.72</v>
      </c>
      <c r="P703" s="3">
        <v>7276.65</v>
      </c>
      <c r="Q703" s="3">
        <v>6094.39</v>
      </c>
      <c r="R703" s="3">
        <v>2803.84</v>
      </c>
      <c r="S703" s="3">
        <f>SUM(Table1[[#This Row],[Product_Cost]:[Other_Cost]])</f>
        <v>89632.079999999987</v>
      </c>
      <c r="T703" s="3">
        <f>Table1[[#This Row],[Net_Sales]]-Table1[[#This Row],[Product_Cost]]</f>
        <v>48171.53</v>
      </c>
      <c r="U703" s="3">
        <f>Table1[[#This Row],[Net_Sales]]-Table1[[#This Row],[Total_Cost]]</f>
        <v>28876.930000000008</v>
      </c>
      <c r="V703" s="4">
        <f>Table1[[#This Row],[Net_Profit]]/Table1[[#This Row],[Net_Sales]]</f>
        <v>0.24366864595358623</v>
      </c>
      <c r="W703" t="s">
        <v>33</v>
      </c>
      <c r="X703" t="s">
        <v>675</v>
      </c>
      <c r="Y703">
        <v>6</v>
      </c>
      <c r="Z703" t="str">
        <f>IF(Table1[[#This Row],[Month_No]]&lt;=6, "H1","H2")</f>
        <v>H1</v>
      </c>
    </row>
    <row r="704" spans="1:26" x14ac:dyDescent="0.25">
      <c r="A704" s="2">
        <v>45838</v>
      </c>
      <c r="B704" t="s">
        <v>782</v>
      </c>
      <c r="C704" t="s">
        <v>43</v>
      </c>
      <c r="D704" t="s">
        <v>68</v>
      </c>
      <c r="E704" t="s">
        <v>29</v>
      </c>
      <c r="F704" t="s">
        <v>52</v>
      </c>
      <c r="G704" t="s">
        <v>58</v>
      </c>
      <c r="H704" t="s">
        <v>41</v>
      </c>
      <c r="I704">
        <v>93</v>
      </c>
      <c r="J704" s="3">
        <v>390.23</v>
      </c>
      <c r="K704" s="3">
        <f>Table1[[#This Row],[Quantity]]*Table1[[#This Row],[Unit_Price]]</f>
        <v>36291.39</v>
      </c>
      <c r="L704" s="3">
        <v>2738.57</v>
      </c>
      <c r="M704" s="3">
        <f>Table1[[#This Row],[Gross_Sales]]-Table1[[#This Row],[Discount]]</f>
        <v>33552.82</v>
      </c>
      <c r="N704" s="3">
        <v>26387.73</v>
      </c>
      <c r="O704" s="3">
        <v>923.03</v>
      </c>
      <c r="P704" s="3">
        <v>2482.9899999999998</v>
      </c>
      <c r="Q704" s="3">
        <v>1507.19</v>
      </c>
      <c r="R704" s="3">
        <v>1069.33</v>
      </c>
      <c r="S704" s="3">
        <f>SUM(Table1[[#This Row],[Product_Cost]:[Other_Cost]])</f>
        <v>32370.269999999997</v>
      </c>
      <c r="T704" s="3">
        <f>Table1[[#This Row],[Net_Sales]]-Table1[[#This Row],[Product_Cost]]</f>
        <v>7165.09</v>
      </c>
      <c r="U704" s="3">
        <f>Table1[[#This Row],[Net_Sales]]-Table1[[#This Row],[Total_Cost]]</f>
        <v>1182.5500000000029</v>
      </c>
      <c r="V704" s="4">
        <f>Table1[[#This Row],[Net_Profit]]/Table1[[#This Row],[Net_Sales]]</f>
        <v>3.5244429529321317E-2</v>
      </c>
      <c r="W704" t="s">
        <v>33</v>
      </c>
      <c r="X704" t="s">
        <v>675</v>
      </c>
      <c r="Y704">
        <v>6</v>
      </c>
      <c r="Z704" t="str">
        <f>IF(Table1[[#This Row],[Month_No]]&lt;=6, "H1","H2")</f>
        <v>H1</v>
      </c>
    </row>
    <row r="705" spans="1:26" x14ac:dyDescent="0.25">
      <c r="A705" s="2">
        <v>45838</v>
      </c>
      <c r="B705" t="s">
        <v>783</v>
      </c>
      <c r="C705" t="s">
        <v>107</v>
      </c>
      <c r="D705" t="s">
        <v>85</v>
      </c>
      <c r="E705" t="s">
        <v>57</v>
      </c>
      <c r="F705" t="s">
        <v>52</v>
      </c>
      <c r="G705" t="s">
        <v>64</v>
      </c>
      <c r="H705" t="s">
        <v>47</v>
      </c>
      <c r="I705">
        <v>46</v>
      </c>
      <c r="J705" s="3">
        <v>1894.72</v>
      </c>
      <c r="K705" s="3">
        <f>Table1[[#This Row],[Quantity]]*Table1[[#This Row],[Unit_Price]]</f>
        <v>87157.119999999995</v>
      </c>
      <c r="L705" s="3">
        <v>6571.53</v>
      </c>
      <c r="M705" s="3">
        <f>Table1[[#This Row],[Gross_Sales]]-Table1[[#This Row],[Discount]]</f>
        <v>80585.59</v>
      </c>
      <c r="N705" s="3">
        <v>55217.279999999999</v>
      </c>
      <c r="O705" s="3">
        <v>2246.5700000000002</v>
      </c>
      <c r="P705" s="3">
        <v>4506.5</v>
      </c>
      <c r="Q705" s="3">
        <v>3287.88</v>
      </c>
      <c r="R705" s="3">
        <v>1688.97</v>
      </c>
      <c r="S705" s="3">
        <f>SUM(Table1[[#This Row],[Product_Cost]:[Other_Cost]])</f>
        <v>66947.199999999997</v>
      </c>
      <c r="T705" s="3">
        <f>Table1[[#This Row],[Net_Sales]]-Table1[[#This Row],[Product_Cost]]</f>
        <v>25368.309999999998</v>
      </c>
      <c r="U705" s="3">
        <f>Table1[[#This Row],[Net_Sales]]-Table1[[#This Row],[Total_Cost]]</f>
        <v>13638.39</v>
      </c>
      <c r="V705" s="4">
        <f>Table1[[#This Row],[Net_Profit]]/Table1[[#This Row],[Net_Sales]]</f>
        <v>0.16924105165700221</v>
      </c>
      <c r="W705" t="s">
        <v>72</v>
      </c>
      <c r="X705" t="s">
        <v>675</v>
      </c>
      <c r="Y705">
        <v>6</v>
      </c>
      <c r="Z705" t="str">
        <f>IF(Table1[[#This Row],[Month_No]]&lt;=6, "H1","H2")</f>
        <v>H1</v>
      </c>
    </row>
    <row r="706" spans="1:26" x14ac:dyDescent="0.25">
      <c r="A706" s="2">
        <v>45838</v>
      </c>
      <c r="B706" t="s">
        <v>784</v>
      </c>
      <c r="C706" t="s">
        <v>36</v>
      </c>
      <c r="D706" t="s">
        <v>68</v>
      </c>
      <c r="E706" t="s">
        <v>29</v>
      </c>
      <c r="F706" t="s">
        <v>46</v>
      </c>
      <c r="G706" t="s">
        <v>64</v>
      </c>
      <c r="H706" t="s">
        <v>41</v>
      </c>
      <c r="I706">
        <v>66</v>
      </c>
      <c r="J706" s="3">
        <v>383.82</v>
      </c>
      <c r="K706" s="3">
        <f>Table1[[#This Row],[Quantity]]*Table1[[#This Row],[Unit_Price]]</f>
        <v>25332.12</v>
      </c>
      <c r="L706" s="3">
        <v>2277.66</v>
      </c>
      <c r="M706" s="3">
        <f>Table1[[#This Row],[Gross_Sales]]-Table1[[#This Row],[Discount]]</f>
        <v>23054.46</v>
      </c>
      <c r="N706" s="3">
        <v>18435.28</v>
      </c>
      <c r="O706" s="3">
        <v>688.5</v>
      </c>
      <c r="P706" s="3">
        <v>1317.24</v>
      </c>
      <c r="Q706" s="3">
        <v>1218.8499999999999</v>
      </c>
      <c r="R706" s="3">
        <v>469.87</v>
      </c>
      <c r="S706" s="3">
        <f>SUM(Table1[[#This Row],[Product_Cost]:[Other_Cost]])</f>
        <v>22129.739999999998</v>
      </c>
      <c r="T706" s="3">
        <f>Table1[[#This Row],[Net_Sales]]-Table1[[#This Row],[Product_Cost]]</f>
        <v>4619.18</v>
      </c>
      <c r="U706" s="3">
        <f>Table1[[#This Row],[Net_Sales]]-Table1[[#This Row],[Total_Cost]]</f>
        <v>924.72000000000116</v>
      </c>
      <c r="V706" s="4">
        <f>Table1[[#This Row],[Net_Profit]]/Table1[[#This Row],[Net_Sales]]</f>
        <v>4.0110243310838824E-2</v>
      </c>
      <c r="W706" t="s">
        <v>33</v>
      </c>
      <c r="X706" t="s">
        <v>675</v>
      </c>
      <c r="Y706">
        <v>6</v>
      </c>
      <c r="Z706" t="str">
        <f>IF(Table1[[#This Row],[Month_No]]&lt;=6, "H1","H2")</f>
        <v>H1</v>
      </c>
    </row>
    <row r="707" spans="1:26" x14ac:dyDescent="0.25">
      <c r="A707" s="2">
        <v>45838</v>
      </c>
      <c r="B707" t="s">
        <v>785</v>
      </c>
      <c r="C707" t="s">
        <v>117</v>
      </c>
      <c r="D707" t="s">
        <v>81</v>
      </c>
      <c r="E707" t="s">
        <v>45</v>
      </c>
      <c r="F707" t="s">
        <v>39</v>
      </c>
      <c r="G707" t="s">
        <v>71</v>
      </c>
      <c r="H707" t="s">
        <v>47</v>
      </c>
      <c r="I707">
        <v>86</v>
      </c>
      <c r="J707" s="3">
        <v>6649.1</v>
      </c>
      <c r="K707" s="3">
        <f>Table1[[#This Row],[Quantity]]*Table1[[#This Row],[Unit_Price]]</f>
        <v>571822.6</v>
      </c>
      <c r="L707" s="3">
        <v>34685.919999999998</v>
      </c>
      <c r="M707" s="3">
        <f>Table1[[#This Row],[Gross_Sales]]-Table1[[#This Row],[Discount]]</f>
        <v>537136.67999999993</v>
      </c>
      <c r="N707" s="3">
        <v>315166.24</v>
      </c>
      <c r="O707" s="3">
        <v>22535.13</v>
      </c>
      <c r="P707" s="3">
        <v>31479.39</v>
      </c>
      <c r="Q707" s="3">
        <v>20768.52</v>
      </c>
      <c r="R707" s="3">
        <v>13344.34</v>
      </c>
      <c r="S707" s="3">
        <f>SUM(Table1[[#This Row],[Product_Cost]:[Other_Cost]])</f>
        <v>403293.62000000005</v>
      </c>
      <c r="T707" s="3">
        <f>Table1[[#This Row],[Net_Sales]]-Table1[[#This Row],[Product_Cost]]</f>
        <v>221970.43999999994</v>
      </c>
      <c r="U707" s="3">
        <f>Table1[[#This Row],[Net_Sales]]-Table1[[#This Row],[Total_Cost]]</f>
        <v>133843.05999999988</v>
      </c>
      <c r="V707" s="4">
        <f>Table1[[#This Row],[Net_Profit]]/Table1[[#This Row],[Net_Sales]]</f>
        <v>0.24917877513038189</v>
      </c>
      <c r="W707" t="s">
        <v>33</v>
      </c>
      <c r="X707" t="s">
        <v>675</v>
      </c>
      <c r="Y707">
        <v>6</v>
      </c>
      <c r="Z707" t="str">
        <f>IF(Table1[[#This Row],[Month_No]]&lt;=6, "H1","H2")</f>
        <v>H1</v>
      </c>
    </row>
    <row r="708" spans="1:26" x14ac:dyDescent="0.25">
      <c r="A708" s="2">
        <v>45839</v>
      </c>
      <c r="B708" t="s">
        <v>786</v>
      </c>
      <c r="C708" t="s">
        <v>98</v>
      </c>
      <c r="D708" t="s">
        <v>50</v>
      </c>
      <c r="E708" t="s">
        <v>51</v>
      </c>
      <c r="F708" t="s">
        <v>39</v>
      </c>
      <c r="G708" t="s">
        <v>61</v>
      </c>
      <c r="H708" t="s">
        <v>47</v>
      </c>
      <c r="I708">
        <v>58.917506090233147</v>
      </c>
      <c r="J708" s="3">
        <v>845.41</v>
      </c>
      <c r="K708" s="3">
        <f>Table1[[#This Row],[Quantity]]*Table1[[#This Row],[Unit_Price]]</f>
        <v>49809.448823744002</v>
      </c>
      <c r="L708" s="3">
        <v>2419.96</v>
      </c>
      <c r="M708" s="3">
        <f>Table1[[#This Row],[Gross_Sales]]-Table1[[#This Row],[Discount]]</f>
        <v>47389.488823744003</v>
      </c>
      <c r="N708" s="3">
        <v>29544.400000000001</v>
      </c>
      <c r="O708" s="3">
        <v>1599.78</v>
      </c>
      <c r="P708" s="3">
        <v>2504.4699999999998</v>
      </c>
      <c r="Q708" s="3">
        <v>1116.07</v>
      </c>
      <c r="R708" s="3">
        <v>920.71</v>
      </c>
      <c r="S708" s="3">
        <f>SUM(Table1[[#This Row],[Product_Cost]:[Other_Cost]])</f>
        <v>35685.43</v>
      </c>
      <c r="T708" s="3">
        <f>Table1[[#This Row],[Net_Sales]]-Table1[[#This Row],[Product_Cost]]</f>
        <v>17845.088823744001</v>
      </c>
      <c r="U708" s="3">
        <f>Table1[[#This Row],[Net_Sales]]-Table1[[#This Row],[Total_Cost]]</f>
        <v>11704.058823744002</v>
      </c>
      <c r="V708" s="4">
        <f>Table1[[#This Row],[Net_Profit]]/Table1[[#This Row],[Net_Sales]]</f>
        <v>0.24697584030237119</v>
      </c>
      <c r="W708" t="s">
        <v>33</v>
      </c>
      <c r="X708" t="s">
        <v>787</v>
      </c>
      <c r="Y708">
        <v>7</v>
      </c>
      <c r="Z708" t="str">
        <f>IF(Table1[[#This Row],[Month_No]]&lt;=6, "H1","H2")</f>
        <v>H2</v>
      </c>
    </row>
    <row r="709" spans="1:26" x14ac:dyDescent="0.25">
      <c r="A709" s="2">
        <v>45839</v>
      </c>
      <c r="B709" t="s">
        <v>788</v>
      </c>
      <c r="C709" t="s">
        <v>117</v>
      </c>
      <c r="D709" t="s">
        <v>183</v>
      </c>
      <c r="E709" t="s">
        <v>38</v>
      </c>
      <c r="F709" t="s">
        <v>52</v>
      </c>
      <c r="G709" t="s">
        <v>71</v>
      </c>
      <c r="H709" t="s">
        <v>32</v>
      </c>
      <c r="I709">
        <v>28.526179531685571</v>
      </c>
      <c r="J709" s="3">
        <v>6806.72</v>
      </c>
      <c r="K709" s="3">
        <f>Table1[[#This Row],[Quantity]]*Table1[[#This Row],[Unit_Price]]</f>
        <v>194169.71674191483</v>
      </c>
      <c r="L709" s="3">
        <v>8038.85</v>
      </c>
      <c r="M709" s="3">
        <f>Table1[[#This Row],[Gross_Sales]]-Table1[[#This Row],[Discount]]</f>
        <v>186130.86674191483</v>
      </c>
      <c r="N709" s="3">
        <v>98140.33</v>
      </c>
      <c r="O709" s="3">
        <v>3510.48</v>
      </c>
      <c r="P709" s="3">
        <v>9907.24</v>
      </c>
      <c r="Q709" s="3">
        <v>3922.18</v>
      </c>
      <c r="R709" s="3">
        <v>3699.12</v>
      </c>
      <c r="S709" s="3">
        <f>SUM(Table1[[#This Row],[Product_Cost]:[Other_Cost]])</f>
        <v>119179.34999999999</v>
      </c>
      <c r="T709" s="3">
        <f>Table1[[#This Row],[Net_Sales]]-Table1[[#This Row],[Product_Cost]]</f>
        <v>87990.536741914824</v>
      </c>
      <c r="U709" s="3">
        <f>Table1[[#This Row],[Net_Sales]]-Table1[[#This Row],[Total_Cost]]</f>
        <v>66951.516741914835</v>
      </c>
      <c r="V709" s="4">
        <f>Table1[[#This Row],[Net_Profit]]/Table1[[#This Row],[Net_Sales]]</f>
        <v>0.35970131077049361</v>
      </c>
      <c r="W709" t="s">
        <v>33</v>
      </c>
      <c r="X709" t="s">
        <v>787</v>
      </c>
      <c r="Y709">
        <v>7</v>
      </c>
      <c r="Z709" t="str">
        <f>IF(Table1[[#This Row],[Month_No]]&lt;=6, "H1","H2")</f>
        <v>H2</v>
      </c>
    </row>
    <row r="710" spans="1:26" x14ac:dyDescent="0.25">
      <c r="A710" s="2">
        <v>45839</v>
      </c>
      <c r="B710" t="s">
        <v>789</v>
      </c>
      <c r="C710" t="s">
        <v>83</v>
      </c>
      <c r="D710" t="s">
        <v>50</v>
      </c>
      <c r="E710" t="s">
        <v>51</v>
      </c>
      <c r="F710" t="s">
        <v>30</v>
      </c>
      <c r="G710" t="s">
        <v>64</v>
      </c>
      <c r="H710" t="s">
        <v>47</v>
      </c>
      <c r="I710">
        <v>69.673816495657306</v>
      </c>
      <c r="J710" s="3">
        <v>873.1</v>
      </c>
      <c r="K710" s="3">
        <f>Table1[[#This Row],[Quantity]]*Table1[[#This Row],[Unit_Price]]</f>
        <v>60832.209182358398</v>
      </c>
      <c r="L710" s="3">
        <v>3011.71</v>
      </c>
      <c r="M710" s="3">
        <f>Table1[[#This Row],[Gross_Sales]]-Table1[[#This Row],[Discount]]</f>
        <v>57820.499182358399</v>
      </c>
      <c r="N710" s="3">
        <v>35899.279999999999</v>
      </c>
      <c r="O710" s="3">
        <v>1501.82</v>
      </c>
      <c r="P710" s="3">
        <v>3228.49</v>
      </c>
      <c r="Q710" s="3">
        <v>1143.04</v>
      </c>
      <c r="R710" s="3">
        <v>980.57</v>
      </c>
      <c r="S710" s="3">
        <f>SUM(Table1[[#This Row],[Product_Cost]:[Other_Cost]])</f>
        <v>42753.2</v>
      </c>
      <c r="T710" s="3">
        <f>Table1[[#This Row],[Net_Sales]]-Table1[[#This Row],[Product_Cost]]</f>
        <v>21921.2191823584</v>
      </c>
      <c r="U710" s="3">
        <f>Table1[[#This Row],[Net_Sales]]-Table1[[#This Row],[Total_Cost]]</f>
        <v>15067.299182358402</v>
      </c>
      <c r="V710" s="4">
        <f>Table1[[#This Row],[Net_Profit]]/Table1[[#This Row],[Net_Sales]]</f>
        <v>0.26058749743474341</v>
      </c>
      <c r="W710" t="s">
        <v>72</v>
      </c>
      <c r="X710" t="s">
        <v>787</v>
      </c>
      <c r="Y710">
        <v>7</v>
      </c>
      <c r="Z710" t="str">
        <f>IF(Table1[[#This Row],[Month_No]]&lt;=6, "H1","H2")</f>
        <v>H2</v>
      </c>
    </row>
    <row r="711" spans="1:26" x14ac:dyDescent="0.25">
      <c r="A711" s="2">
        <v>45839</v>
      </c>
      <c r="B711" t="s">
        <v>790</v>
      </c>
      <c r="C711" t="s">
        <v>55</v>
      </c>
      <c r="D711" t="s">
        <v>44</v>
      </c>
      <c r="E711" t="s">
        <v>45</v>
      </c>
      <c r="F711" t="s">
        <v>39</v>
      </c>
      <c r="G711" t="s">
        <v>76</v>
      </c>
      <c r="H711" t="s">
        <v>41</v>
      </c>
      <c r="I711">
        <v>56.49946453911349</v>
      </c>
      <c r="J711" s="3">
        <v>4485.18</v>
      </c>
      <c r="K711" s="3">
        <f>Table1[[#This Row],[Quantity]]*Table1[[#This Row],[Unit_Price]]</f>
        <v>253410.26836154106</v>
      </c>
      <c r="L711" s="3">
        <v>8057.25</v>
      </c>
      <c r="M711" s="3">
        <f>Table1[[#This Row],[Gross_Sales]]-Table1[[#This Row],[Discount]]</f>
        <v>245353.01836154106</v>
      </c>
      <c r="N711" s="3">
        <v>162287.76999999999</v>
      </c>
      <c r="O711" s="3">
        <v>7661.69</v>
      </c>
      <c r="P711" s="3">
        <v>11859.33</v>
      </c>
      <c r="Q711" s="3">
        <v>7372.95</v>
      </c>
      <c r="R711" s="3">
        <v>5106.7299999999996</v>
      </c>
      <c r="S711" s="3">
        <f>SUM(Table1[[#This Row],[Product_Cost]:[Other_Cost]])</f>
        <v>194288.47</v>
      </c>
      <c r="T711" s="3">
        <f>Table1[[#This Row],[Net_Sales]]-Table1[[#This Row],[Product_Cost]]</f>
        <v>83065.248361541075</v>
      </c>
      <c r="U711" s="3">
        <f>Table1[[#This Row],[Net_Sales]]-Table1[[#This Row],[Total_Cost]]</f>
        <v>51064.548361541063</v>
      </c>
      <c r="V711" s="4">
        <f>Table1[[#This Row],[Net_Profit]]/Table1[[#This Row],[Net_Sales]]</f>
        <v>0.20812683985935182</v>
      </c>
      <c r="W711" t="s">
        <v>33</v>
      </c>
      <c r="X711" t="s">
        <v>787</v>
      </c>
      <c r="Y711">
        <v>7</v>
      </c>
      <c r="Z711" t="str">
        <f>IF(Table1[[#This Row],[Month_No]]&lt;=6, "H1","H2")</f>
        <v>H2</v>
      </c>
    </row>
    <row r="712" spans="1:26" x14ac:dyDescent="0.25">
      <c r="A712" s="2">
        <v>45839</v>
      </c>
      <c r="B712" t="s">
        <v>791</v>
      </c>
      <c r="C712" t="s">
        <v>78</v>
      </c>
      <c r="D712" t="s">
        <v>85</v>
      </c>
      <c r="E712" t="s">
        <v>57</v>
      </c>
      <c r="F712" t="s">
        <v>52</v>
      </c>
      <c r="G712" t="s">
        <v>71</v>
      </c>
      <c r="H712" t="s">
        <v>41</v>
      </c>
      <c r="I712">
        <v>59.446805988506412</v>
      </c>
      <c r="J712" s="3">
        <v>2058.9699999999998</v>
      </c>
      <c r="K712" s="3">
        <f>Table1[[#This Row],[Quantity]]*Table1[[#This Row],[Unit_Price]]</f>
        <v>122399.19012615504</v>
      </c>
      <c r="L712" s="3">
        <v>4195.1499999999996</v>
      </c>
      <c r="M712" s="3">
        <f>Table1[[#This Row],[Gross_Sales]]-Table1[[#This Row],[Discount]]</f>
        <v>118204.04012615504</v>
      </c>
      <c r="N712" s="3">
        <v>72709.58</v>
      </c>
      <c r="O712" s="3">
        <v>2227.17</v>
      </c>
      <c r="P712" s="3">
        <v>6782.32</v>
      </c>
      <c r="Q712" s="3">
        <v>3025.28</v>
      </c>
      <c r="R712" s="3">
        <v>1586.96</v>
      </c>
      <c r="S712" s="3">
        <f>SUM(Table1[[#This Row],[Product_Cost]:[Other_Cost]])</f>
        <v>86331.310000000012</v>
      </c>
      <c r="T712" s="3">
        <f>Table1[[#This Row],[Net_Sales]]-Table1[[#This Row],[Product_Cost]]</f>
        <v>45494.460126155042</v>
      </c>
      <c r="U712" s="3">
        <f>Table1[[#This Row],[Net_Sales]]-Table1[[#This Row],[Total_Cost]]</f>
        <v>31872.730126155031</v>
      </c>
      <c r="V712" s="4">
        <f>Table1[[#This Row],[Net_Profit]]/Table1[[#This Row],[Net_Sales]]</f>
        <v>0.26964163062564001</v>
      </c>
      <c r="W712" t="s">
        <v>33</v>
      </c>
      <c r="X712" t="s">
        <v>787</v>
      </c>
      <c r="Y712">
        <v>7</v>
      </c>
      <c r="Z712" t="str">
        <f>IF(Table1[[#This Row],[Month_No]]&lt;=6, "H1","H2")</f>
        <v>H2</v>
      </c>
    </row>
    <row r="713" spans="1:26" x14ac:dyDescent="0.25">
      <c r="A713" s="2">
        <v>45839</v>
      </c>
      <c r="B713" t="s">
        <v>792</v>
      </c>
      <c r="C713" t="s">
        <v>98</v>
      </c>
      <c r="D713" t="s">
        <v>56</v>
      </c>
      <c r="E713" t="s">
        <v>57</v>
      </c>
      <c r="F713" t="s">
        <v>46</v>
      </c>
      <c r="G713" t="s">
        <v>76</v>
      </c>
      <c r="H713" t="s">
        <v>59</v>
      </c>
      <c r="I713">
        <v>48.666085678341688</v>
      </c>
      <c r="J713" s="3">
        <v>3219.05</v>
      </c>
      <c r="K713" s="3">
        <f>Table1[[#This Row],[Quantity]]*Table1[[#This Row],[Unit_Price]]</f>
        <v>156658.56310286582</v>
      </c>
      <c r="L713" s="3">
        <v>4713.3100000000004</v>
      </c>
      <c r="M713" s="3">
        <f>Table1[[#This Row],[Gross_Sales]]-Table1[[#This Row],[Discount]]</f>
        <v>151945.25310286583</v>
      </c>
      <c r="N713" s="3">
        <v>77801.41</v>
      </c>
      <c r="O713" s="3">
        <v>3337.04</v>
      </c>
      <c r="P713" s="3">
        <v>8694.1</v>
      </c>
      <c r="Q713" s="3">
        <v>4410.7</v>
      </c>
      <c r="R713" s="3">
        <v>2656.99</v>
      </c>
      <c r="S713" s="3">
        <f>SUM(Table1[[#This Row],[Product_Cost]:[Other_Cost]])</f>
        <v>96900.24</v>
      </c>
      <c r="T713" s="3">
        <f>Table1[[#This Row],[Net_Sales]]-Table1[[#This Row],[Product_Cost]]</f>
        <v>74143.843102865823</v>
      </c>
      <c r="U713" s="3">
        <f>Table1[[#This Row],[Net_Sales]]-Table1[[#This Row],[Total_Cost]]</f>
        <v>55045.013102865822</v>
      </c>
      <c r="V713" s="4">
        <f>Table1[[#This Row],[Net_Profit]]/Table1[[#This Row],[Net_Sales]]</f>
        <v>0.36226872494398193</v>
      </c>
      <c r="W713" t="s">
        <v>33</v>
      </c>
      <c r="X713" t="s">
        <v>787</v>
      </c>
      <c r="Y713">
        <v>7</v>
      </c>
      <c r="Z713" t="str">
        <f>IF(Table1[[#This Row],[Month_No]]&lt;=6, "H1","H2")</f>
        <v>H2</v>
      </c>
    </row>
    <row r="714" spans="1:26" x14ac:dyDescent="0.25">
      <c r="A714" s="2">
        <v>45839</v>
      </c>
      <c r="B714" t="s">
        <v>793</v>
      </c>
      <c r="C714" t="s">
        <v>83</v>
      </c>
      <c r="D714" t="s">
        <v>74</v>
      </c>
      <c r="E714" t="s">
        <v>75</v>
      </c>
      <c r="F714" t="s">
        <v>46</v>
      </c>
      <c r="G714" t="s">
        <v>64</v>
      </c>
      <c r="H714" t="s">
        <v>41</v>
      </c>
      <c r="I714">
        <v>34.410094855092389</v>
      </c>
      <c r="J714" s="3">
        <v>5551.84</v>
      </c>
      <c r="K714" s="3">
        <f>Table1[[#This Row],[Quantity]]*Table1[[#This Row],[Unit_Price]]</f>
        <v>191039.34102029612</v>
      </c>
      <c r="L714" s="3">
        <v>9006.15</v>
      </c>
      <c r="M714" s="3">
        <f>Table1[[#This Row],[Gross_Sales]]-Table1[[#This Row],[Discount]]</f>
        <v>182033.19102029613</v>
      </c>
      <c r="N714" s="3">
        <v>132265.73000000001</v>
      </c>
      <c r="O714" s="3">
        <v>3457.03</v>
      </c>
      <c r="P714" s="3">
        <v>9616.51</v>
      </c>
      <c r="Q714" s="3">
        <v>4462.46</v>
      </c>
      <c r="R714" s="3">
        <v>3355.2</v>
      </c>
      <c r="S714" s="3">
        <f>SUM(Table1[[#This Row],[Product_Cost]:[Other_Cost]])</f>
        <v>153156.93000000002</v>
      </c>
      <c r="T714" s="3">
        <f>Table1[[#This Row],[Net_Sales]]-Table1[[#This Row],[Product_Cost]]</f>
        <v>49767.461020296119</v>
      </c>
      <c r="U714" s="3">
        <f>Table1[[#This Row],[Net_Sales]]-Table1[[#This Row],[Total_Cost]]</f>
        <v>28876.261020296108</v>
      </c>
      <c r="V714" s="4">
        <f>Table1[[#This Row],[Net_Profit]]/Table1[[#This Row],[Net_Sales]]</f>
        <v>0.15863184542579653</v>
      </c>
      <c r="W714" t="s">
        <v>33</v>
      </c>
      <c r="X714" t="s">
        <v>787</v>
      </c>
      <c r="Y714">
        <v>7</v>
      </c>
      <c r="Z714" t="str">
        <f>IF(Table1[[#This Row],[Month_No]]&lt;=6, "H1","H2")</f>
        <v>H2</v>
      </c>
    </row>
    <row r="715" spans="1:26" x14ac:dyDescent="0.25">
      <c r="A715" s="2">
        <v>45840</v>
      </c>
      <c r="B715" t="s">
        <v>794</v>
      </c>
      <c r="C715" t="s">
        <v>70</v>
      </c>
      <c r="D715" t="s">
        <v>85</v>
      </c>
      <c r="E715" t="s">
        <v>57</v>
      </c>
      <c r="F715" t="s">
        <v>30</v>
      </c>
      <c r="G715" t="s">
        <v>86</v>
      </c>
      <c r="H715" t="s">
        <v>59</v>
      </c>
      <c r="I715">
        <v>68.871155617469427</v>
      </c>
      <c r="J715" s="3">
        <v>1933.48</v>
      </c>
      <c r="K715" s="3">
        <f>Table1[[#This Row],[Quantity]]*Table1[[#This Row],[Unit_Price]]</f>
        <v>133161.00196326477</v>
      </c>
      <c r="L715" s="3">
        <v>5914.39</v>
      </c>
      <c r="M715" s="3">
        <f>Table1[[#This Row],[Gross_Sales]]-Table1[[#This Row],[Discount]]</f>
        <v>127246.61196326478</v>
      </c>
      <c r="N715" s="3">
        <v>78385.64</v>
      </c>
      <c r="O715" s="3">
        <v>3063.1</v>
      </c>
      <c r="P715" s="3">
        <v>7049.83</v>
      </c>
      <c r="Q715" s="3">
        <v>3428.3</v>
      </c>
      <c r="R715" s="3">
        <v>1803.14</v>
      </c>
      <c r="S715" s="3">
        <f>SUM(Table1[[#This Row],[Product_Cost]:[Other_Cost]])</f>
        <v>93730.010000000009</v>
      </c>
      <c r="T715" s="3">
        <f>Table1[[#This Row],[Net_Sales]]-Table1[[#This Row],[Product_Cost]]</f>
        <v>48860.971963264776</v>
      </c>
      <c r="U715" s="3">
        <f>Table1[[#This Row],[Net_Sales]]-Table1[[#This Row],[Total_Cost]]</f>
        <v>33516.601963264766</v>
      </c>
      <c r="V715" s="4">
        <f>Table1[[#This Row],[Net_Profit]]/Table1[[#This Row],[Net_Sales]]</f>
        <v>0.26339877695871994</v>
      </c>
      <c r="W715" t="s">
        <v>72</v>
      </c>
      <c r="X715" t="s">
        <v>787</v>
      </c>
      <c r="Y715">
        <v>7</v>
      </c>
      <c r="Z715" t="str">
        <f>IF(Table1[[#This Row],[Month_No]]&lt;=6, "H1","H2")</f>
        <v>H2</v>
      </c>
    </row>
    <row r="716" spans="1:26" x14ac:dyDescent="0.25">
      <c r="A716" s="2">
        <v>45840</v>
      </c>
      <c r="B716" t="s">
        <v>795</v>
      </c>
      <c r="C716" t="s">
        <v>107</v>
      </c>
      <c r="D716" t="s">
        <v>68</v>
      </c>
      <c r="E716" t="s">
        <v>29</v>
      </c>
      <c r="F716" t="s">
        <v>52</v>
      </c>
      <c r="G716" t="s">
        <v>40</v>
      </c>
      <c r="H716" t="s">
        <v>59</v>
      </c>
      <c r="I716">
        <v>85.359273928359272</v>
      </c>
      <c r="J716" s="3">
        <v>379.13</v>
      </c>
      <c r="K716" s="3">
        <f>Table1[[#This Row],[Quantity]]*Table1[[#This Row],[Unit_Price]]</f>
        <v>32362.261524458849</v>
      </c>
      <c r="L716" s="3">
        <v>685.39</v>
      </c>
      <c r="M716" s="3">
        <f>Table1[[#This Row],[Gross_Sales]]-Table1[[#This Row],[Discount]]</f>
        <v>31676.871524458849</v>
      </c>
      <c r="N716" s="3">
        <v>22564.14</v>
      </c>
      <c r="O716" s="3">
        <v>586.73</v>
      </c>
      <c r="P716" s="3">
        <v>1687.41</v>
      </c>
      <c r="Q716" s="3">
        <v>664.39</v>
      </c>
      <c r="R716" s="3">
        <v>649.61</v>
      </c>
      <c r="S716" s="3">
        <f>SUM(Table1[[#This Row],[Product_Cost]:[Other_Cost]])</f>
        <v>26152.28</v>
      </c>
      <c r="T716" s="3">
        <f>Table1[[#This Row],[Net_Sales]]-Table1[[#This Row],[Product_Cost]]</f>
        <v>9112.7315244588499</v>
      </c>
      <c r="U716" s="3">
        <f>Table1[[#This Row],[Net_Sales]]-Table1[[#This Row],[Total_Cost]]</f>
        <v>5524.5915244588505</v>
      </c>
      <c r="V716" s="4">
        <f>Table1[[#This Row],[Net_Profit]]/Table1[[#This Row],[Net_Sales]]</f>
        <v>0.1744045815949064</v>
      </c>
      <c r="W716" t="s">
        <v>33</v>
      </c>
      <c r="X716" t="s">
        <v>787</v>
      </c>
      <c r="Y716">
        <v>7</v>
      </c>
      <c r="Z716" t="str">
        <f>IF(Table1[[#This Row],[Month_No]]&lt;=6, "H1","H2")</f>
        <v>H2</v>
      </c>
    </row>
    <row r="717" spans="1:26" x14ac:dyDescent="0.25">
      <c r="A717" s="2">
        <v>45841</v>
      </c>
      <c r="B717" t="s">
        <v>796</v>
      </c>
      <c r="C717" t="s">
        <v>83</v>
      </c>
      <c r="D717" t="s">
        <v>66</v>
      </c>
      <c r="E717" t="s">
        <v>51</v>
      </c>
      <c r="F717" t="s">
        <v>30</v>
      </c>
      <c r="G717" t="s">
        <v>61</v>
      </c>
      <c r="H717" t="s">
        <v>59</v>
      </c>
      <c r="I717">
        <v>47.301927304700037</v>
      </c>
      <c r="J717" s="3">
        <v>1529.98</v>
      </c>
      <c r="K717" s="3">
        <f>Table1[[#This Row],[Quantity]]*Table1[[#This Row],[Unit_Price]]</f>
        <v>72371.002737644958</v>
      </c>
      <c r="L717" s="3">
        <v>2198.35</v>
      </c>
      <c r="M717" s="3">
        <f>Table1[[#This Row],[Gross_Sales]]-Table1[[#This Row],[Discount]]</f>
        <v>70172.652737644952</v>
      </c>
      <c r="N717" s="3">
        <v>32896.75</v>
      </c>
      <c r="O717" s="3">
        <v>1465.86</v>
      </c>
      <c r="P717" s="3">
        <v>3450.88</v>
      </c>
      <c r="Q717" s="3">
        <v>1609.78</v>
      </c>
      <c r="R717" s="3">
        <v>1259.78</v>
      </c>
      <c r="S717" s="3">
        <f>SUM(Table1[[#This Row],[Product_Cost]:[Other_Cost]])</f>
        <v>40683.049999999996</v>
      </c>
      <c r="T717" s="3">
        <f>Table1[[#This Row],[Net_Sales]]-Table1[[#This Row],[Product_Cost]]</f>
        <v>37275.902737644952</v>
      </c>
      <c r="U717" s="3">
        <f>Table1[[#This Row],[Net_Sales]]-Table1[[#This Row],[Total_Cost]]</f>
        <v>29489.602737644957</v>
      </c>
      <c r="V717" s="4">
        <f>Table1[[#This Row],[Net_Profit]]/Table1[[#This Row],[Net_Sales]]</f>
        <v>0.42024352204409265</v>
      </c>
      <c r="W717" t="s">
        <v>33</v>
      </c>
      <c r="X717" t="s">
        <v>787</v>
      </c>
      <c r="Y717">
        <v>7</v>
      </c>
      <c r="Z717" t="str">
        <f>IF(Table1[[#This Row],[Month_No]]&lt;=6, "H1","H2")</f>
        <v>H2</v>
      </c>
    </row>
    <row r="718" spans="1:26" x14ac:dyDescent="0.25">
      <c r="A718" s="2">
        <v>45842</v>
      </c>
      <c r="B718" t="s">
        <v>797</v>
      </c>
      <c r="C718" t="s">
        <v>117</v>
      </c>
      <c r="D718" t="s">
        <v>37</v>
      </c>
      <c r="E718" t="s">
        <v>38</v>
      </c>
      <c r="F718" t="s">
        <v>30</v>
      </c>
      <c r="G718" t="s">
        <v>86</v>
      </c>
      <c r="H718" t="s">
        <v>41</v>
      </c>
      <c r="I718">
        <v>70.608189769568384</v>
      </c>
      <c r="J718" s="3">
        <v>4446.17</v>
      </c>
      <c r="K718" s="3">
        <f>Table1[[#This Row],[Quantity]]*Table1[[#This Row],[Unit_Price]]</f>
        <v>313936.01510776189</v>
      </c>
      <c r="L718" s="3">
        <v>11776.68</v>
      </c>
      <c r="M718" s="3">
        <f>Table1[[#This Row],[Gross_Sales]]-Table1[[#This Row],[Discount]]</f>
        <v>302159.3351077619</v>
      </c>
      <c r="N718" s="3">
        <v>194157.37</v>
      </c>
      <c r="O718" s="3">
        <v>8719.42</v>
      </c>
      <c r="P718" s="3">
        <v>18593.849999999999</v>
      </c>
      <c r="Q718" s="3">
        <v>5852.6</v>
      </c>
      <c r="R718" s="3">
        <v>6622.42</v>
      </c>
      <c r="S718" s="3">
        <f>SUM(Table1[[#This Row],[Product_Cost]:[Other_Cost]])</f>
        <v>233945.66000000003</v>
      </c>
      <c r="T718" s="3">
        <f>Table1[[#This Row],[Net_Sales]]-Table1[[#This Row],[Product_Cost]]</f>
        <v>108001.96510776191</v>
      </c>
      <c r="U718" s="3">
        <f>Table1[[#This Row],[Net_Sales]]-Table1[[#This Row],[Total_Cost]]</f>
        <v>68213.675107761868</v>
      </c>
      <c r="V718" s="4">
        <f>Table1[[#This Row],[Net_Profit]]/Table1[[#This Row],[Net_Sales]]</f>
        <v>0.22575398864785756</v>
      </c>
      <c r="W718" t="s">
        <v>33</v>
      </c>
      <c r="X718" t="s">
        <v>787</v>
      </c>
      <c r="Y718">
        <v>7</v>
      </c>
      <c r="Z718" t="str">
        <f>IF(Table1[[#This Row],[Month_No]]&lt;=6, "H1","H2")</f>
        <v>H2</v>
      </c>
    </row>
    <row r="719" spans="1:26" x14ac:dyDescent="0.25">
      <c r="A719" s="2">
        <v>45842</v>
      </c>
      <c r="B719" t="s">
        <v>798</v>
      </c>
      <c r="C719" t="s">
        <v>43</v>
      </c>
      <c r="D719" t="s">
        <v>50</v>
      </c>
      <c r="E719" t="s">
        <v>51</v>
      </c>
      <c r="F719" t="s">
        <v>39</v>
      </c>
      <c r="G719" t="s">
        <v>76</v>
      </c>
      <c r="H719" t="s">
        <v>47</v>
      </c>
      <c r="I719">
        <v>115.51611684798191</v>
      </c>
      <c r="J719" s="3">
        <v>879.73</v>
      </c>
      <c r="K719" s="3">
        <f>Table1[[#This Row],[Quantity]]*Table1[[#This Row],[Unit_Price]]</f>
        <v>101622.99347467512</v>
      </c>
      <c r="L719" s="3">
        <v>4725.84</v>
      </c>
      <c r="M719" s="3">
        <f>Table1[[#This Row],[Gross_Sales]]-Table1[[#This Row],[Discount]]</f>
        <v>96897.153474675128</v>
      </c>
      <c r="N719" s="3">
        <v>55120.99</v>
      </c>
      <c r="O719" s="3">
        <v>2880.45</v>
      </c>
      <c r="P719" s="3">
        <v>4765.4799999999996</v>
      </c>
      <c r="Q719" s="3">
        <v>2401</v>
      </c>
      <c r="R719" s="3">
        <v>1538.41</v>
      </c>
      <c r="S719" s="3">
        <f>SUM(Table1[[#This Row],[Product_Cost]:[Other_Cost]])</f>
        <v>66706.33</v>
      </c>
      <c r="T719" s="3">
        <f>Table1[[#This Row],[Net_Sales]]-Table1[[#This Row],[Product_Cost]]</f>
        <v>41776.16347467513</v>
      </c>
      <c r="U719" s="3">
        <f>Table1[[#This Row],[Net_Sales]]-Table1[[#This Row],[Total_Cost]]</f>
        <v>30190.823474675126</v>
      </c>
      <c r="V719" s="4">
        <f>Table1[[#This Row],[Net_Profit]]/Table1[[#This Row],[Net_Sales]]</f>
        <v>0.31157595855037939</v>
      </c>
      <c r="W719" t="s">
        <v>33</v>
      </c>
      <c r="X719" t="s">
        <v>787</v>
      </c>
      <c r="Y719">
        <v>7</v>
      </c>
      <c r="Z719" t="str">
        <f>IF(Table1[[#This Row],[Month_No]]&lt;=6, "H1","H2")</f>
        <v>H2</v>
      </c>
    </row>
    <row r="720" spans="1:26" x14ac:dyDescent="0.25">
      <c r="A720" s="2">
        <v>45842</v>
      </c>
      <c r="B720" t="s">
        <v>799</v>
      </c>
      <c r="C720" t="s">
        <v>49</v>
      </c>
      <c r="D720" t="s">
        <v>100</v>
      </c>
      <c r="E720" t="s">
        <v>75</v>
      </c>
      <c r="F720" t="s">
        <v>52</v>
      </c>
      <c r="G720" t="s">
        <v>71</v>
      </c>
      <c r="H720" t="s">
        <v>47</v>
      </c>
      <c r="I720">
        <v>34.705830476492473</v>
      </c>
      <c r="J720" s="3">
        <v>7420.5</v>
      </c>
      <c r="K720" s="3">
        <f>Table1[[#This Row],[Quantity]]*Table1[[#This Row],[Unit_Price]]</f>
        <v>257534.6150508124</v>
      </c>
      <c r="L720" s="3">
        <v>10380.67</v>
      </c>
      <c r="M720" s="3">
        <f>Table1[[#This Row],[Gross_Sales]]-Table1[[#This Row],[Discount]]</f>
        <v>247153.94505081238</v>
      </c>
      <c r="N720" s="3">
        <v>132951.51999999999</v>
      </c>
      <c r="O720" s="3">
        <v>3723.76</v>
      </c>
      <c r="P720" s="3">
        <v>14244.42</v>
      </c>
      <c r="Q720" s="3">
        <v>7620.38</v>
      </c>
      <c r="R720" s="3">
        <v>3609.01</v>
      </c>
      <c r="S720" s="3">
        <f>SUM(Table1[[#This Row],[Product_Cost]:[Other_Cost]])</f>
        <v>162149.09000000003</v>
      </c>
      <c r="T720" s="3">
        <f>Table1[[#This Row],[Net_Sales]]-Table1[[#This Row],[Product_Cost]]</f>
        <v>114202.4250508124</v>
      </c>
      <c r="U720" s="3">
        <f>Table1[[#This Row],[Net_Sales]]-Table1[[#This Row],[Total_Cost]]</f>
        <v>85004.855050812359</v>
      </c>
      <c r="V720" s="4">
        <f>Table1[[#This Row],[Net_Profit]]/Table1[[#This Row],[Net_Sales]]</f>
        <v>0.34393485013292507</v>
      </c>
      <c r="W720" t="s">
        <v>33</v>
      </c>
      <c r="X720" t="s">
        <v>787</v>
      </c>
      <c r="Y720">
        <v>7</v>
      </c>
      <c r="Z720" t="str">
        <f>IF(Table1[[#This Row],[Month_No]]&lt;=6, "H1","H2")</f>
        <v>H2</v>
      </c>
    </row>
    <row r="721" spans="1:26" x14ac:dyDescent="0.25">
      <c r="A721" s="2">
        <v>45842</v>
      </c>
      <c r="B721" t="s">
        <v>800</v>
      </c>
      <c r="C721" t="s">
        <v>55</v>
      </c>
      <c r="D721" t="s">
        <v>100</v>
      </c>
      <c r="E721" t="s">
        <v>75</v>
      </c>
      <c r="F721" t="s">
        <v>52</v>
      </c>
      <c r="G721" t="s">
        <v>61</v>
      </c>
      <c r="H721" t="s">
        <v>32</v>
      </c>
      <c r="I721">
        <v>45.483256986082239</v>
      </c>
      <c r="J721" s="3">
        <v>7187.17</v>
      </c>
      <c r="K721" s="3">
        <f>Table1[[#This Row],[Quantity]]*Table1[[#This Row],[Unit_Price]]</f>
        <v>326895.90011266066</v>
      </c>
      <c r="L721" s="3">
        <v>18757.7</v>
      </c>
      <c r="M721" s="3">
        <f>Table1[[#This Row],[Gross_Sales]]-Table1[[#This Row],[Discount]]</f>
        <v>308138.20011266065</v>
      </c>
      <c r="N721" s="3">
        <v>160425.14000000001</v>
      </c>
      <c r="O721" s="3">
        <v>6135.24</v>
      </c>
      <c r="P721" s="3">
        <v>15020.66</v>
      </c>
      <c r="Q721" s="3">
        <v>8177.89</v>
      </c>
      <c r="R721" s="3">
        <v>3958.25</v>
      </c>
      <c r="S721" s="3">
        <f>SUM(Table1[[#This Row],[Product_Cost]:[Other_Cost]])</f>
        <v>193717.18000000002</v>
      </c>
      <c r="T721" s="3">
        <f>Table1[[#This Row],[Net_Sales]]-Table1[[#This Row],[Product_Cost]]</f>
        <v>147713.06011266063</v>
      </c>
      <c r="U721" s="3">
        <f>Table1[[#This Row],[Net_Sales]]-Table1[[#This Row],[Total_Cost]]</f>
        <v>114421.02011266063</v>
      </c>
      <c r="V721" s="4">
        <f>Table1[[#This Row],[Net_Profit]]/Table1[[#This Row],[Net_Sales]]</f>
        <v>0.37133020206785894</v>
      </c>
      <c r="W721" t="s">
        <v>72</v>
      </c>
      <c r="X721" t="s">
        <v>787</v>
      </c>
      <c r="Y721">
        <v>7</v>
      </c>
      <c r="Z721" t="str">
        <f>IF(Table1[[#This Row],[Month_No]]&lt;=6, "H1","H2")</f>
        <v>H2</v>
      </c>
    </row>
    <row r="722" spans="1:26" x14ac:dyDescent="0.25">
      <c r="A722" s="2">
        <v>45842</v>
      </c>
      <c r="B722" t="s">
        <v>801</v>
      </c>
      <c r="C722" t="s">
        <v>36</v>
      </c>
      <c r="D722" t="s">
        <v>66</v>
      </c>
      <c r="E722" t="s">
        <v>51</v>
      </c>
      <c r="F722" t="s">
        <v>52</v>
      </c>
      <c r="G722" t="s">
        <v>31</v>
      </c>
      <c r="H722" t="s">
        <v>59</v>
      </c>
      <c r="I722">
        <v>62.035307176988539</v>
      </c>
      <c r="J722" s="3">
        <v>1468.01</v>
      </c>
      <c r="K722" s="3">
        <f>Table1[[#This Row],[Quantity]]*Table1[[#This Row],[Unit_Price]]</f>
        <v>91068.451288890938</v>
      </c>
      <c r="L722" s="3">
        <v>3101.37</v>
      </c>
      <c r="M722" s="3">
        <f>Table1[[#This Row],[Gross_Sales]]-Table1[[#This Row],[Discount]]</f>
        <v>87967.081288890942</v>
      </c>
      <c r="N722" s="3">
        <v>40883.440000000002</v>
      </c>
      <c r="O722" s="3">
        <v>1702.08</v>
      </c>
      <c r="P722" s="3">
        <v>5408.49</v>
      </c>
      <c r="Q722" s="3">
        <v>2735.8</v>
      </c>
      <c r="R722" s="3">
        <v>1897.18</v>
      </c>
      <c r="S722" s="3">
        <f>SUM(Table1[[#This Row],[Product_Cost]:[Other_Cost]])</f>
        <v>52626.990000000005</v>
      </c>
      <c r="T722" s="3">
        <f>Table1[[#This Row],[Net_Sales]]-Table1[[#This Row],[Product_Cost]]</f>
        <v>47083.64128889094</v>
      </c>
      <c r="U722" s="3">
        <f>Table1[[#This Row],[Net_Sales]]-Table1[[#This Row],[Total_Cost]]</f>
        <v>35340.091288890937</v>
      </c>
      <c r="V722" s="4">
        <f>Table1[[#This Row],[Net_Profit]]/Table1[[#This Row],[Net_Sales]]</f>
        <v>0.40174222869611015</v>
      </c>
      <c r="W722" t="s">
        <v>33</v>
      </c>
      <c r="X722" t="s">
        <v>787</v>
      </c>
      <c r="Y722">
        <v>7</v>
      </c>
      <c r="Z722" t="str">
        <f>IF(Table1[[#This Row],[Month_No]]&lt;=6, "H1","H2")</f>
        <v>H2</v>
      </c>
    </row>
    <row r="723" spans="1:26" x14ac:dyDescent="0.25">
      <c r="A723" s="2">
        <v>45842</v>
      </c>
      <c r="B723" t="s">
        <v>802</v>
      </c>
      <c r="C723" t="s">
        <v>117</v>
      </c>
      <c r="D723" t="s">
        <v>68</v>
      </c>
      <c r="E723" t="s">
        <v>29</v>
      </c>
      <c r="F723" t="s">
        <v>52</v>
      </c>
      <c r="G723" t="s">
        <v>71</v>
      </c>
      <c r="H723" t="s">
        <v>47</v>
      </c>
      <c r="I723">
        <v>105.3962933845894</v>
      </c>
      <c r="J723" s="3">
        <v>399.57</v>
      </c>
      <c r="K723" s="3">
        <f>Table1[[#This Row],[Quantity]]*Table1[[#This Row],[Unit_Price]]</f>
        <v>42113.196947680386</v>
      </c>
      <c r="L723" s="3">
        <v>1853.85</v>
      </c>
      <c r="M723" s="3">
        <f>Table1[[#This Row],[Gross_Sales]]-Table1[[#This Row],[Discount]]</f>
        <v>40259.346947680388</v>
      </c>
      <c r="N723" s="3">
        <v>27481.55</v>
      </c>
      <c r="O723" s="3">
        <v>680.68</v>
      </c>
      <c r="P723" s="3">
        <v>2309.25</v>
      </c>
      <c r="Q723" s="3">
        <v>754.01</v>
      </c>
      <c r="R723" s="3">
        <v>504.32</v>
      </c>
      <c r="S723" s="3">
        <f>SUM(Table1[[#This Row],[Product_Cost]:[Other_Cost]])</f>
        <v>31729.809999999998</v>
      </c>
      <c r="T723" s="3">
        <f>Table1[[#This Row],[Net_Sales]]-Table1[[#This Row],[Product_Cost]]</f>
        <v>12777.796947680388</v>
      </c>
      <c r="U723" s="3">
        <f>Table1[[#This Row],[Net_Sales]]-Table1[[#This Row],[Total_Cost]]</f>
        <v>8529.5369476803899</v>
      </c>
      <c r="V723" s="4">
        <f>Table1[[#This Row],[Net_Profit]]/Table1[[#This Row],[Net_Sales]]</f>
        <v>0.21186476171024513</v>
      </c>
      <c r="W723" t="s">
        <v>33</v>
      </c>
      <c r="X723" t="s">
        <v>787</v>
      </c>
      <c r="Y723">
        <v>7</v>
      </c>
      <c r="Z723" t="str">
        <f>IF(Table1[[#This Row],[Month_No]]&lt;=6, "H1","H2")</f>
        <v>H2</v>
      </c>
    </row>
    <row r="724" spans="1:26" x14ac:dyDescent="0.25">
      <c r="A724" s="2">
        <v>45843</v>
      </c>
      <c r="B724" t="s">
        <v>803</v>
      </c>
      <c r="C724" t="s">
        <v>78</v>
      </c>
      <c r="D724" t="s">
        <v>74</v>
      </c>
      <c r="E724" t="s">
        <v>75</v>
      </c>
      <c r="F724" t="s">
        <v>39</v>
      </c>
      <c r="G724" t="s">
        <v>76</v>
      </c>
      <c r="H724" t="s">
        <v>32</v>
      </c>
      <c r="I724">
        <v>70.505500332865097</v>
      </c>
      <c r="J724" s="3">
        <v>5942.65</v>
      </c>
      <c r="K724" s="3">
        <f>Table1[[#This Row],[Quantity]]*Table1[[#This Row],[Unit_Price]]</f>
        <v>418989.51155310072</v>
      </c>
      <c r="L724" s="3">
        <v>21238.49</v>
      </c>
      <c r="M724" s="3">
        <f>Table1[[#This Row],[Gross_Sales]]-Table1[[#This Row],[Discount]]</f>
        <v>397751.02155310073</v>
      </c>
      <c r="N724" s="3">
        <v>282776.65999999997</v>
      </c>
      <c r="O724" s="3">
        <v>11041.16</v>
      </c>
      <c r="P724" s="3">
        <v>20494.28</v>
      </c>
      <c r="Q724" s="3">
        <v>11114.35</v>
      </c>
      <c r="R724" s="3">
        <v>5750.14</v>
      </c>
      <c r="S724" s="3">
        <f>SUM(Table1[[#This Row],[Product_Cost]:[Other_Cost]])</f>
        <v>331176.58999999997</v>
      </c>
      <c r="T724" s="3">
        <f>Table1[[#This Row],[Net_Sales]]-Table1[[#This Row],[Product_Cost]]</f>
        <v>114974.36155310075</v>
      </c>
      <c r="U724" s="3">
        <f>Table1[[#This Row],[Net_Sales]]-Table1[[#This Row],[Total_Cost]]</f>
        <v>66574.43155310076</v>
      </c>
      <c r="V724" s="4">
        <f>Table1[[#This Row],[Net_Profit]]/Table1[[#This Row],[Net_Sales]]</f>
        <v>0.16737714787795438</v>
      </c>
      <c r="W724" t="s">
        <v>33</v>
      </c>
      <c r="X724" t="s">
        <v>787</v>
      </c>
      <c r="Y724">
        <v>7</v>
      </c>
      <c r="Z724" t="str">
        <f>IF(Table1[[#This Row],[Month_No]]&lt;=6, "H1","H2")</f>
        <v>H2</v>
      </c>
    </row>
    <row r="725" spans="1:26" x14ac:dyDescent="0.25">
      <c r="A725" s="2">
        <v>45843</v>
      </c>
      <c r="B725" t="s">
        <v>804</v>
      </c>
      <c r="C725" t="s">
        <v>78</v>
      </c>
      <c r="D725" t="s">
        <v>44</v>
      </c>
      <c r="E725" t="s">
        <v>45</v>
      </c>
      <c r="F725" t="s">
        <v>52</v>
      </c>
      <c r="G725" t="s">
        <v>76</v>
      </c>
      <c r="H725" t="s">
        <v>59</v>
      </c>
      <c r="I725">
        <v>60.141723778364252</v>
      </c>
      <c r="J725" s="3">
        <v>4564.7700000000004</v>
      </c>
      <c r="K725" s="3">
        <f>Table1[[#This Row],[Quantity]]*Table1[[#This Row],[Unit_Price]]</f>
        <v>274533.1364517638</v>
      </c>
      <c r="L725" s="3">
        <v>7482.66</v>
      </c>
      <c r="M725" s="3">
        <f>Table1[[#This Row],[Gross_Sales]]-Table1[[#This Row],[Discount]]</f>
        <v>267050.47645176383</v>
      </c>
      <c r="N725" s="3">
        <v>177346.79</v>
      </c>
      <c r="O725" s="3">
        <v>5011.1499999999996</v>
      </c>
      <c r="P725" s="3">
        <v>12953.5</v>
      </c>
      <c r="Q725" s="3">
        <v>6546.76</v>
      </c>
      <c r="R725" s="3">
        <v>4068.33</v>
      </c>
      <c r="S725" s="3">
        <f>SUM(Table1[[#This Row],[Product_Cost]:[Other_Cost]])</f>
        <v>205926.53</v>
      </c>
      <c r="T725" s="3">
        <f>Table1[[#This Row],[Net_Sales]]-Table1[[#This Row],[Product_Cost]]</f>
        <v>89703.686451763817</v>
      </c>
      <c r="U725" s="3">
        <f>Table1[[#This Row],[Net_Sales]]-Table1[[#This Row],[Total_Cost]]</f>
        <v>61123.946451763826</v>
      </c>
      <c r="V725" s="4">
        <f>Table1[[#This Row],[Net_Profit]]/Table1[[#This Row],[Net_Sales]]</f>
        <v>0.22888536753015074</v>
      </c>
      <c r="W725" t="s">
        <v>33</v>
      </c>
      <c r="X725" t="s">
        <v>787</v>
      </c>
      <c r="Y725">
        <v>7</v>
      </c>
      <c r="Z725" t="str">
        <f>IF(Table1[[#This Row],[Month_No]]&lt;=6, "H1","H2")</f>
        <v>H2</v>
      </c>
    </row>
    <row r="726" spans="1:26" x14ac:dyDescent="0.25">
      <c r="A726" s="2">
        <v>45843</v>
      </c>
      <c r="B726" t="s">
        <v>805</v>
      </c>
      <c r="C726" t="s">
        <v>70</v>
      </c>
      <c r="D726" t="s">
        <v>28</v>
      </c>
      <c r="E726" t="s">
        <v>29</v>
      </c>
      <c r="F726" t="s">
        <v>46</v>
      </c>
      <c r="G726" t="s">
        <v>58</v>
      </c>
      <c r="H726" t="s">
        <v>41</v>
      </c>
      <c r="I726">
        <v>62.839490058669483</v>
      </c>
      <c r="J726" s="3">
        <v>1174.4000000000001</v>
      </c>
      <c r="K726" s="3">
        <f>Table1[[#This Row],[Quantity]]*Table1[[#This Row],[Unit_Price]]</f>
        <v>73798.697124901446</v>
      </c>
      <c r="L726" s="3">
        <v>3563.8</v>
      </c>
      <c r="M726" s="3">
        <f>Table1[[#This Row],[Gross_Sales]]-Table1[[#This Row],[Discount]]</f>
        <v>70234.897124901443</v>
      </c>
      <c r="N726" s="3">
        <v>36907.96</v>
      </c>
      <c r="O726" s="3">
        <v>1560.88</v>
      </c>
      <c r="P726" s="3">
        <v>4162.42</v>
      </c>
      <c r="Q726" s="3">
        <v>2058.27</v>
      </c>
      <c r="R726" s="3">
        <v>868.6</v>
      </c>
      <c r="S726" s="3">
        <f>SUM(Table1[[#This Row],[Product_Cost]:[Other_Cost]])</f>
        <v>45558.12999999999</v>
      </c>
      <c r="T726" s="3">
        <f>Table1[[#This Row],[Net_Sales]]-Table1[[#This Row],[Product_Cost]]</f>
        <v>33326.937124901444</v>
      </c>
      <c r="U726" s="3">
        <f>Table1[[#This Row],[Net_Sales]]-Table1[[#This Row],[Total_Cost]]</f>
        <v>24676.767124901453</v>
      </c>
      <c r="V726" s="4">
        <f>Table1[[#This Row],[Net_Profit]]/Table1[[#This Row],[Net_Sales]]</f>
        <v>0.35134624147050147</v>
      </c>
      <c r="W726" t="s">
        <v>72</v>
      </c>
      <c r="X726" t="s">
        <v>787</v>
      </c>
      <c r="Y726">
        <v>7</v>
      </c>
      <c r="Z726" t="str">
        <f>IF(Table1[[#This Row],[Month_No]]&lt;=6, "H1","H2")</f>
        <v>H2</v>
      </c>
    </row>
    <row r="727" spans="1:26" x14ac:dyDescent="0.25">
      <c r="A727" s="2">
        <v>45843</v>
      </c>
      <c r="B727" t="s">
        <v>806</v>
      </c>
      <c r="C727" t="s">
        <v>117</v>
      </c>
      <c r="D727" t="s">
        <v>28</v>
      </c>
      <c r="E727" t="s">
        <v>29</v>
      </c>
      <c r="F727" t="s">
        <v>52</v>
      </c>
      <c r="G727" t="s">
        <v>40</v>
      </c>
      <c r="H727" t="s">
        <v>59</v>
      </c>
      <c r="I727">
        <v>46.468076710961711</v>
      </c>
      <c r="J727" s="3">
        <v>1229.3699999999999</v>
      </c>
      <c r="K727" s="3">
        <f>Table1[[#This Row],[Quantity]]*Table1[[#This Row],[Unit_Price]]</f>
        <v>57126.459466154993</v>
      </c>
      <c r="L727" s="3">
        <v>2317.66</v>
      </c>
      <c r="M727" s="3">
        <f>Table1[[#This Row],[Gross_Sales]]-Table1[[#This Row],[Discount]]</f>
        <v>54808.799466154989</v>
      </c>
      <c r="N727" s="3">
        <v>27670.02</v>
      </c>
      <c r="O727" s="3">
        <v>1098.3900000000001</v>
      </c>
      <c r="P727" s="3">
        <v>3106.99</v>
      </c>
      <c r="Q727" s="3">
        <v>1216.8900000000001</v>
      </c>
      <c r="R727" s="3">
        <v>1137.55</v>
      </c>
      <c r="S727" s="3">
        <f>SUM(Table1[[#This Row],[Product_Cost]:[Other_Cost]])</f>
        <v>34229.840000000004</v>
      </c>
      <c r="T727" s="3">
        <f>Table1[[#This Row],[Net_Sales]]-Table1[[#This Row],[Product_Cost]]</f>
        <v>27138.779466154989</v>
      </c>
      <c r="U727" s="3">
        <f>Table1[[#This Row],[Net_Sales]]-Table1[[#This Row],[Total_Cost]]</f>
        <v>20578.959466154985</v>
      </c>
      <c r="V727" s="4">
        <f>Table1[[#This Row],[Net_Profit]]/Table1[[#This Row],[Net_Sales]]</f>
        <v>0.37546816691109441</v>
      </c>
      <c r="W727" t="s">
        <v>33</v>
      </c>
      <c r="X727" t="s">
        <v>787</v>
      </c>
      <c r="Y727">
        <v>7</v>
      </c>
      <c r="Z727" t="str">
        <f>IF(Table1[[#This Row],[Month_No]]&lt;=6, "H1","H2")</f>
        <v>H2</v>
      </c>
    </row>
    <row r="728" spans="1:26" x14ac:dyDescent="0.25">
      <c r="A728" s="2">
        <v>45843</v>
      </c>
      <c r="B728" t="s">
        <v>807</v>
      </c>
      <c r="C728" t="s">
        <v>55</v>
      </c>
      <c r="D728" t="s">
        <v>37</v>
      </c>
      <c r="E728" t="s">
        <v>38</v>
      </c>
      <c r="F728" t="s">
        <v>46</v>
      </c>
      <c r="G728" t="s">
        <v>40</v>
      </c>
      <c r="H728" t="s">
        <v>41</v>
      </c>
      <c r="I728">
        <v>19.739398594717859</v>
      </c>
      <c r="J728" s="3">
        <v>4403.26</v>
      </c>
      <c r="K728" s="3">
        <f>Table1[[#This Row],[Quantity]]*Table1[[#This Row],[Unit_Price]]</f>
        <v>86917.704256177356</v>
      </c>
      <c r="L728" s="3">
        <v>3506.45</v>
      </c>
      <c r="M728" s="3">
        <f>Table1[[#This Row],[Gross_Sales]]-Table1[[#This Row],[Discount]]</f>
        <v>83411.254256177359</v>
      </c>
      <c r="N728" s="3">
        <v>55324.25</v>
      </c>
      <c r="O728" s="3">
        <v>1680.11</v>
      </c>
      <c r="P728" s="3">
        <v>4906.08</v>
      </c>
      <c r="Q728" s="3">
        <v>1724.75</v>
      </c>
      <c r="R728" s="3">
        <v>1789.62</v>
      </c>
      <c r="S728" s="3">
        <f>SUM(Table1[[#This Row],[Product_Cost]:[Other_Cost]])</f>
        <v>65424.810000000005</v>
      </c>
      <c r="T728" s="3">
        <f>Table1[[#This Row],[Net_Sales]]-Table1[[#This Row],[Product_Cost]]</f>
        <v>28087.004256177359</v>
      </c>
      <c r="U728" s="3">
        <f>Table1[[#This Row],[Net_Sales]]-Table1[[#This Row],[Total_Cost]]</f>
        <v>17986.444256177354</v>
      </c>
      <c r="V728" s="4">
        <f>Table1[[#This Row],[Net_Profit]]/Table1[[#This Row],[Net_Sales]]</f>
        <v>0.21563570068058646</v>
      </c>
      <c r="W728" t="s">
        <v>33</v>
      </c>
      <c r="X728" t="s">
        <v>787</v>
      </c>
      <c r="Y728">
        <v>7</v>
      </c>
      <c r="Z728" t="str">
        <f>IF(Table1[[#This Row],[Month_No]]&lt;=6, "H1","H2")</f>
        <v>H2</v>
      </c>
    </row>
    <row r="729" spans="1:26" x14ac:dyDescent="0.25">
      <c r="A729" s="2">
        <v>45843</v>
      </c>
      <c r="B729" t="s">
        <v>808</v>
      </c>
      <c r="C729" t="s">
        <v>78</v>
      </c>
      <c r="D729" t="s">
        <v>74</v>
      </c>
      <c r="E729" t="s">
        <v>75</v>
      </c>
      <c r="F729" t="s">
        <v>52</v>
      </c>
      <c r="G729" t="s">
        <v>86</v>
      </c>
      <c r="H729" t="s">
        <v>47</v>
      </c>
      <c r="I729">
        <v>44.694678552570707</v>
      </c>
      <c r="J729" s="3">
        <v>5941.08</v>
      </c>
      <c r="K729" s="3">
        <f>Table1[[#This Row],[Quantity]]*Table1[[#This Row],[Unit_Price]]</f>
        <v>265534.66085510678</v>
      </c>
      <c r="L729" s="3">
        <v>8326.82</v>
      </c>
      <c r="M729" s="3">
        <f>Table1[[#This Row],[Gross_Sales]]-Table1[[#This Row],[Discount]]</f>
        <v>257207.84085510677</v>
      </c>
      <c r="N729" s="3">
        <v>178930.06</v>
      </c>
      <c r="O729" s="3">
        <v>4472.66</v>
      </c>
      <c r="P729" s="3">
        <v>15259.81</v>
      </c>
      <c r="Q729" s="3">
        <v>7524.33</v>
      </c>
      <c r="R729" s="3">
        <v>4726.2299999999996</v>
      </c>
      <c r="S729" s="3">
        <f>SUM(Table1[[#This Row],[Product_Cost]:[Other_Cost]])</f>
        <v>210913.09</v>
      </c>
      <c r="T729" s="3">
        <f>Table1[[#This Row],[Net_Sales]]-Table1[[#This Row],[Product_Cost]]</f>
        <v>78277.780855106772</v>
      </c>
      <c r="U729" s="3">
        <f>Table1[[#This Row],[Net_Sales]]-Table1[[#This Row],[Total_Cost]]</f>
        <v>46294.750855106773</v>
      </c>
      <c r="V729" s="4">
        <f>Table1[[#This Row],[Net_Profit]]/Table1[[#This Row],[Net_Sales]]</f>
        <v>0.17998965622974944</v>
      </c>
      <c r="W729" t="s">
        <v>33</v>
      </c>
      <c r="X729" t="s">
        <v>787</v>
      </c>
      <c r="Y729">
        <v>7</v>
      </c>
      <c r="Z729" t="str">
        <f>IF(Table1[[#This Row],[Month_No]]&lt;=6, "H1","H2")</f>
        <v>H2</v>
      </c>
    </row>
    <row r="730" spans="1:26" x14ac:dyDescent="0.25">
      <c r="A730" s="2">
        <v>45843</v>
      </c>
      <c r="B730" t="s">
        <v>809</v>
      </c>
      <c r="C730" t="s">
        <v>117</v>
      </c>
      <c r="D730" t="s">
        <v>74</v>
      </c>
      <c r="E730" t="s">
        <v>75</v>
      </c>
      <c r="F730" t="s">
        <v>52</v>
      </c>
      <c r="G730" t="s">
        <v>61</v>
      </c>
      <c r="H730" t="s">
        <v>47</v>
      </c>
      <c r="I730">
        <v>85.48614101820769</v>
      </c>
      <c r="J730" s="3">
        <v>5497.74</v>
      </c>
      <c r="K730" s="3">
        <f>Table1[[#This Row],[Quantity]]*Table1[[#This Row],[Unit_Price]]</f>
        <v>469980.57692144113</v>
      </c>
      <c r="L730" s="3">
        <v>16495.84</v>
      </c>
      <c r="M730" s="3">
        <f>Table1[[#This Row],[Gross_Sales]]-Table1[[#This Row],[Discount]]</f>
        <v>453484.7369214411</v>
      </c>
      <c r="N730" s="3">
        <v>295305.27</v>
      </c>
      <c r="O730" s="3">
        <v>9460.56</v>
      </c>
      <c r="P730" s="3">
        <v>22883.69</v>
      </c>
      <c r="Q730" s="3">
        <v>12135.13</v>
      </c>
      <c r="R730" s="3">
        <v>7229.57</v>
      </c>
      <c r="S730" s="3">
        <f>SUM(Table1[[#This Row],[Product_Cost]:[Other_Cost]])</f>
        <v>347014.22000000003</v>
      </c>
      <c r="T730" s="3">
        <f>Table1[[#This Row],[Net_Sales]]-Table1[[#This Row],[Product_Cost]]</f>
        <v>158179.46692144108</v>
      </c>
      <c r="U730" s="3">
        <f>Table1[[#This Row],[Net_Sales]]-Table1[[#This Row],[Total_Cost]]</f>
        <v>106470.51692144107</v>
      </c>
      <c r="V730" s="4">
        <f>Table1[[#This Row],[Net_Profit]]/Table1[[#This Row],[Net_Sales]]</f>
        <v>0.23478302190330469</v>
      </c>
      <c r="W730" t="s">
        <v>33</v>
      </c>
      <c r="X730" t="s">
        <v>787</v>
      </c>
      <c r="Y730">
        <v>7</v>
      </c>
      <c r="Z730" t="str">
        <f>IF(Table1[[#This Row],[Month_No]]&lt;=6, "H1","H2")</f>
        <v>H2</v>
      </c>
    </row>
    <row r="731" spans="1:26" x14ac:dyDescent="0.25">
      <c r="A731" s="2">
        <v>45844</v>
      </c>
      <c r="B731" t="s">
        <v>810</v>
      </c>
      <c r="C731" t="s">
        <v>43</v>
      </c>
      <c r="D731" t="s">
        <v>37</v>
      </c>
      <c r="E731" t="s">
        <v>38</v>
      </c>
      <c r="F731" t="s">
        <v>30</v>
      </c>
      <c r="G731" t="s">
        <v>31</v>
      </c>
      <c r="H731" t="s">
        <v>59</v>
      </c>
      <c r="I731">
        <v>70.684738746635318</v>
      </c>
      <c r="J731" s="3">
        <v>4397.3900000000003</v>
      </c>
      <c r="K731" s="3">
        <f>Table1[[#This Row],[Quantity]]*Table1[[#This Row],[Unit_Price]]</f>
        <v>310828.36331706669</v>
      </c>
      <c r="L731" s="3">
        <v>9286.01</v>
      </c>
      <c r="M731" s="3">
        <f>Table1[[#This Row],[Gross_Sales]]-Table1[[#This Row],[Discount]]</f>
        <v>301542.35331706668</v>
      </c>
      <c r="N731" s="3">
        <v>202557.35</v>
      </c>
      <c r="O731" s="3">
        <v>7039.17</v>
      </c>
      <c r="P731" s="3">
        <v>16694.580000000002</v>
      </c>
      <c r="Q731" s="3">
        <v>5829.77</v>
      </c>
      <c r="R731" s="3">
        <v>5184.76</v>
      </c>
      <c r="S731" s="3">
        <f>SUM(Table1[[#This Row],[Product_Cost]:[Other_Cost]])</f>
        <v>237305.63000000003</v>
      </c>
      <c r="T731" s="3">
        <f>Table1[[#This Row],[Net_Sales]]-Table1[[#This Row],[Product_Cost]]</f>
        <v>98985.003317066672</v>
      </c>
      <c r="U731" s="3">
        <f>Table1[[#This Row],[Net_Sales]]-Table1[[#This Row],[Total_Cost]]</f>
        <v>64236.723317066644</v>
      </c>
      <c r="V731" s="4">
        <f>Table1[[#This Row],[Net_Profit]]/Table1[[#This Row],[Net_Sales]]</f>
        <v>0.21302720035988715</v>
      </c>
      <c r="W731" t="s">
        <v>33</v>
      </c>
      <c r="X731" t="s">
        <v>787</v>
      </c>
      <c r="Y731">
        <v>7</v>
      </c>
      <c r="Z731" t="str">
        <f>IF(Table1[[#This Row],[Month_No]]&lt;=6, "H1","H2")</f>
        <v>H2</v>
      </c>
    </row>
    <row r="732" spans="1:26" x14ac:dyDescent="0.25">
      <c r="A732" s="2">
        <v>45844</v>
      </c>
      <c r="B732" t="s">
        <v>811</v>
      </c>
      <c r="C732" t="s">
        <v>43</v>
      </c>
      <c r="D732" t="s">
        <v>28</v>
      </c>
      <c r="E732" t="s">
        <v>29</v>
      </c>
      <c r="F732" t="s">
        <v>46</v>
      </c>
      <c r="G732" t="s">
        <v>71</v>
      </c>
      <c r="H732" t="s">
        <v>32</v>
      </c>
      <c r="I732">
        <v>50.970308876297707</v>
      </c>
      <c r="J732" s="3">
        <v>1245.57</v>
      </c>
      <c r="K732" s="3">
        <f>Table1[[#This Row],[Quantity]]*Table1[[#This Row],[Unit_Price]]</f>
        <v>63487.087627050132</v>
      </c>
      <c r="L732" s="3">
        <v>3175.43</v>
      </c>
      <c r="M732" s="3">
        <f>Table1[[#This Row],[Gross_Sales]]-Table1[[#This Row],[Discount]]</f>
        <v>60311.657627050132</v>
      </c>
      <c r="N732" s="3">
        <v>33953.800000000003</v>
      </c>
      <c r="O732" s="3">
        <v>1066.71</v>
      </c>
      <c r="P732" s="3">
        <v>3274.14</v>
      </c>
      <c r="Q732" s="3">
        <v>1803.69</v>
      </c>
      <c r="R732" s="3">
        <v>866.82</v>
      </c>
      <c r="S732" s="3">
        <f>SUM(Table1[[#This Row],[Product_Cost]:[Other_Cost]])</f>
        <v>40965.160000000003</v>
      </c>
      <c r="T732" s="3">
        <f>Table1[[#This Row],[Net_Sales]]-Table1[[#This Row],[Product_Cost]]</f>
        <v>26357.857627050129</v>
      </c>
      <c r="U732" s="3">
        <f>Table1[[#This Row],[Net_Sales]]-Table1[[#This Row],[Total_Cost]]</f>
        <v>19346.497627050128</v>
      </c>
      <c r="V732" s="4">
        <f>Table1[[#This Row],[Net_Profit]]/Table1[[#This Row],[Net_Sales]]</f>
        <v>0.32077542531965014</v>
      </c>
      <c r="W732" t="s">
        <v>33</v>
      </c>
      <c r="X732" t="s">
        <v>787</v>
      </c>
      <c r="Y732">
        <v>7</v>
      </c>
      <c r="Z732" t="str">
        <f>IF(Table1[[#This Row],[Month_No]]&lt;=6, "H1","H2")</f>
        <v>H2</v>
      </c>
    </row>
    <row r="733" spans="1:26" x14ac:dyDescent="0.25">
      <c r="A733" s="2">
        <v>45844</v>
      </c>
      <c r="B733" t="s">
        <v>812</v>
      </c>
      <c r="C733" t="s">
        <v>83</v>
      </c>
      <c r="D733" t="s">
        <v>68</v>
      </c>
      <c r="E733" t="s">
        <v>29</v>
      </c>
      <c r="F733" t="s">
        <v>30</v>
      </c>
      <c r="G733" t="s">
        <v>71</v>
      </c>
      <c r="H733" t="s">
        <v>47</v>
      </c>
      <c r="I733">
        <v>91.108488696641587</v>
      </c>
      <c r="J733" s="3">
        <v>396.19</v>
      </c>
      <c r="K733" s="3">
        <f>Table1[[#This Row],[Quantity]]*Table1[[#This Row],[Unit_Price]]</f>
        <v>36096.272136722429</v>
      </c>
      <c r="L733" s="3">
        <v>1333.97</v>
      </c>
      <c r="M733" s="3">
        <f>Table1[[#This Row],[Gross_Sales]]-Table1[[#This Row],[Discount]]</f>
        <v>34762.302136722428</v>
      </c>
      <c r="N733" s="3">
        <v>25457.27</v>
      </c>
      <c r="O733" s="3">
        <v>891.03</v>
      </c>
      <c r="P733" s="3">
        <v>1753.62</v>
      </c>
      <c r="Q733" s="3">
        <v>646.46</v>
      </c>
      <c r="R733" s="3">
        <v>497.04</v>
      </c>
      <c r="S733" s="3">
        <f>SUM(Table1[[#This Row],[Product_Cost]:[Other_Cost]])</f>
        <v>29245.42</v>
      </c>
      <c r="T733" s="3">
        <f>Table1[[#This Row],[Net_Sales]]-Table1[[#This Row],[Product_Cost]]</f>
        <v>9305.0321367224278</v>
      </c>
      <c r="U733" s="3">
        <f>Table1[[#This Row],[Net_Sales]]-Table1[[#This Row],[Total_Cost]]</f>
        <v>5516.88213672243</v>
      </c>
      <c r="V733" s="4">
        <f>Table1[[#This Row],[Net_Profit]]/Table1[[#This Row],[Net_Sales]]</f>
        <v>0.15870301440405668</v>
      </c>
      <c r="W733" t="s">
        <v>72</v>
      </c>
      <c r="X733" t="s">
        <v>787</v>
      </c>
      <c r="Y733">
        <v>7</v>
      </c>
      <c r="Z733" t="str">
        <f>IF(Table1[[#This Row],[Month_No]]&lt;=6, "H1","H2")</f>
        <v>H2</v>
      </c>
    </row>
    <row r="734" spans="1:26" x14ac:dyDescent="0.25">
      <c r="A734" s="2">
        <v>45845</v>
      </c>
      <c r="B734" t="s">
        <v>813</v>
      </c>
      <c r="C734" t="s">
        <v>78</v>
      </c>
      <c r="D734" t="s">
        <v>66</v>
      </c>
      <c r="E734" t="s">
        <v>51</v>
      </c>
      <c r="F734" t="s">
        <v>52</v>
      </c>
      <c r="G734" t="s">
        <v>71</v>
      </c>
      <c r="H734" t="s">
        <v>32</v>
      </c>
      <c r="I734">
        <v>46.972673720155967</v>
      </c>
      <c r="J734" s="3">
        <v>1565.31</v>
      </c>
      <c r="K734" s="3">
        <f>Table1[[#This Row],[Quantity]]*Table1[[#This Row],[Unit_Price]]</f>
        <v>73526.795900897341</v>
      </c>
      <c r="L734" s="3">
        <v>2857.63</v>
      </c>
      <c r="M734" s="3">
        <f>Table1[[#This Row],[Gross_Sales]]-Table1[[#This Row],[Discount]]</f>
        <v>70669.165900897337</v>
      </c>
      <c r="N734" s="3">
        <v>32032.83</v>
      </c>
      <c r="O734" s="3">
        <v>1264.6400000000001</v>
      </c>
      <c r="P734" s="3">
        <v>4369.82</v>
      </c>
      <c r="Q734" s="3">
        <v>1423.78</v>
      </c>
      <c r="R734" s="3">
        <v>933.43</v>
      </c>
      <c r="S734" s="3">
        <f>SUM(Table1[[#This Row],[Product_Cost]:[Other_Cost]])</f>
        <v>40024.5</v>
      </c>
      <c r="T734" s="3">
        <f>Table1[[#This Row],[Net_Sales]]-Table1[[#This Row],[Product_Cost]]</f>
        <v>38636.335900897335</v>
      </c>
      <c r="U734" s="3">
        <f>Table1[[#This Row],[Net_Sales]]-Table1[[#This Row],[Total_Cost]]</f>
        <v>30644.665900897337</v>
      </c>
      <c r="V734" s="4">
        <f>Table1[[#This Row],[Net_Profit]]/Table1[[#This Row],[Net_Sales]]</f>
        <v>0.43363559637695143</v>
      </c>
      <c r="W734" t="s">
        <v>33</v>
      </c>
      <c r="X734" t="s">
        <v>787</v>
      </c>
      <c r="Y734">
        <v>7</v>
      </c>
      <c r="Z734" t="str">
        <f>IF(Table1[[#This Row],[Month_No]]&lt;=6, "H1","H2")</f>
        <v>H2</v>
      </c>
    </row>
    <row r="735" spans="1:26" x14ac:dyDescent="0.25">
      <c r="A735" s="2">
        <v>45845</v>
      </c>
      <c r="B735" t="s">
        <v>814</v>
      </c>
      <c r="C735" t="s">
        <v>49</v>
      </c>
      <c r="D735" t="s">
        <v>81</v>
      </c>
      <c r="E735" t="s">
        <v>45</v>
      </c>
      <c r="F735" t="s">
        <v>52</v>
      </c>
      <c r="G735" t="s">
        <v>71</v>
      </c>
      <c r="H735" t="s">
        <v>41</v>
      </c>
      <c r="I735">
        <v>13.879941441767119</v>
      </c>
      <c r="J735" s="3">
        <v>6645.2</v>
      </c>
      <c r="K735" s="3">
        <f>Table1[[#This Row],[Quantity]]*Table1[[#This Row],[Unit_Price]]</f>
        <v>92234.986868830863</v>
      </c>
      <c r="L735" s="3">
        <v>4829.51</v>
      </c>
      <c r="M735" s="3">
        <f>Table1[[#This Row],[Gross_Sales]]-Table1[[#This Row],[Discount]]</f>
        <v>87405.476868830869</v>
      </c>
      <c r="N735" s="3">
        <v>43004.32</v>
      </c>
      <c r="O735" s="3">
        <v>1412.18</v>
      </c>
      <c r="P735" s="3">
        <v>5095.12</v>
      </c>
      <c r="Q735" s="3">
        <v>2612.9899999999998</v>
      </c>
      <c r="R735" s="3">
        <v>1596.41</v>
      </c>
      <c r="S735" s="3">
        <f>SUM(Table1[[#This Row],[Product_Cost]:[Other_Cost]])</f>
        <v>53721.020000000004</v>
      </c>
      <c r="T735" s="3">
        <f>Table1[[#This Row],[Net_Sales]]-Table1[[#This Row],[Product_Cost]]</f>
        <v>44401.156868830869</v>
      </c>
      <c r="U735" s="3">
        <f>Table1[[#This Row],[Net_Sales]]-Table1[[#This Row],[Total_Cost]]</f>
        <v>33684.456868830865</v>
      </c>
      <c r="V735" s="4">
        <f>Table1[[#This Row],[Net_Profit]]/Table1[[#This Row],[Net_Sales]]</f>
        <v>0.38538153529419017</v>
      </c>
      <c r="W735" t="s">
        <v>33</v>
      </c>
      <c r="X735" t="s">
        <v>787</v>
      </c>
      <c r="Y735">
        <v>7</v>
      </c>
      <c r="Z735" t="str">
        <f>IF(Table1[[#This Row],[Month_No]]&lt;=6, "H1","H2")</f>
        <v>H2</v>
      </c>
    </row>
    <row r="736" spans="1:26" x14ac:dyDescent="0.25">
      <c r="A736" s="2">
        <v>45845</v>
      </c>
      <c r="B736" t="s">
        <v>815</v>
      </c>
      <c r="C736" t="s">
        <v>70</v>
      </c>
      <c r="D736" t="s">
        <v>66</v>
      </c>
      <c r="E736" t="s">
        <v>51</v>
      </c>
      <c r="F736" t="s">
        <v>52</v>
      </c>
      <c r="G736" t="s">
        <v>64</v>
      </c>
      <c r="H736" t="s">
        <v>41</v>
      </c>
      <c r="I736">
        <v>48.631211252060083</v>
      </c>
      <c r="J736" s="3">
        <v>1534.56</v>
      </c>
      <c r="K736" s="3">
        <f>Table1[[#This Row],[Quantity]]*Table1[[#This Row],[Unit_Price]]</f>
        <v>74627.51153896132</v>
      </c>
      <c r="L736" s="3">
        <v>2275.9499999999998</v>
      </c>
      <c r="M736" s="3">
        <f>Table1[[#This Row],[Gross_Sales]]-Table1[[#This Row],[Discount]]</f>
        <v>72351.561538961323</v>
      </c>
      <c r="N736" s="3">
        <v>33307.11</v>
      </c>
      <c r="O736" s="3">
        <v>1391.89</v>
      </c>
      <c r="P736" s="3">
        <v>3981.32</v>
      </c>
      <c r="Q736" s="3">
        <v>2085.71</v>
      </c>
      <c r="R736" s="3">
        <v>878.51</v>
      </c>
      <c r="S736" s="3">
        <f>SUM(Table1[[#This Row],[Product_Cost]:[Other_Cost]])</f>
        <v>41644.54</v>
      </c>
      <c r="T736" s="3">
        <f>Table1[[#This Row],[Net_Sales]]-Table1[[#This Row],[Product_Cost]]</f>
        <v>39044.451538961323</v>
      </c>
      <c r="U736" s="3">
        <f>Table1[[#This Row],[Net_Sales]]-Table1[[#This Row],[Total_Cost]]</f>
        <v>30707.021538961322</v>
      </c>
      <c r="V736" s="4">
        <f>Table1[[#This Row],[Net_Profit]]/Table1[[#This Row],[Net_Sales]]</f>
        <v>0.42441408154578097</v>
      </c>
      <c r="W736" t="s">
        <v>33</v>
      </c>
      <c r="X736" t="s">
        <v>787</v>
      </c>
      <c r="Y736">
        <v>7</v>
      </c>
      <c r="Z736" t="str">
        <f>IF(Table1[[#This Row],[Month_No]]&lt;=6, "H1","H2")</f>
        <v>H2</v>
      </c>
    </row>
    <row r="737" spans="1:26" x14ac:dyDescent="0.25">
      <c r="A737" s="2">
        <v>45845</v>
      </c>
      <c r="B737" t="s">
        <v>816</v>
      </c>
      <c r="C737" t="s">
        <v>36</v>
      </c>
      <c r="D737" t="s">
        <v>56</v>
      </c>
      <c r="E737" t="s">
        <v>57</v>
      </c>
      <c r="F737" t="s">
        <v>52</v>
      </c>
      <c r="G737" t="s">
        <v>31</v>
      </c>
      <c r="H737" t="s">
        <v>41</v>
      </c>
      <c r="I737">
        <v>44.417019700904063</v>
      </c>
      <c r="J737" s="3">
        <v>3266.85</v>
      </c>
      <c r="K737" s="3">
        <f>Table1[[#This Row],[Quantity]]*Table1[[#This Row],[Unit_Price]]</f>
        <v>145103.74080989845</v>
      </c>
      <c r="L737" s="3">
        <v>4959.13</v>
      </c>
      <c r="M737" s="3">
        <f>Table1[[#This Row],[Gross_Sales]]-Table1[[#This Row],[Discount]]</f>
        <v>140144.61080989844</v>
      </c>
      <c r="N737" s="3">
        <v>66762.2</v>
      </c>
      <c r="O737" s="3">
        <v>2393.71</v>
      </c>
      <c r="P737" s="3">
        <v>6989.32</v>
      </c>
      <c r="Q737" s="3">
        <v>4330.1000000000004</v>
      </c>
      <c r="R737" s="3">
        <v>2324.14</v>
      </c>
      <c r="S737" s="3">
        <f>SUM(Table1[[#This Row],[Product_Cost]:[Other_Cost]])</f>
        <v>82799.470000000016</v>
      </c>
      <c r="T737" s="3">
        <f>Table1[[#This Row],[Net_Sales]]-Table1[[#This Row],[Product_Cost]]</f>
        <v>73382.410809898443</v>
      </c>
      <c r="U737" s="3">
        <f>Table1[[#This Row],[Net_Sales]]-Table1[[#This Row],[Total_Cost]]</f>
        <v>57345.140809898425</v>
      </c>
      <c r="V737" s="4">
        <f>Table1[[#This Row],[Net_Profit]]/Table1[[#This Row],[Net_Sales]]</f>
        <v>0.40918548689457079</v>
      </c>
      <c r="W737" t="s">
        <v>33</v>
      </c>
      <c r="X737" t="s">
        <v>787</v>
      </c>
      <c r="Y737">
        <v>7</v>
      </c>
      <c r="Z737" t="str">
        <f>IF(Table1[[#This Row],[Month_No]]&lt;=6, "H1","H2")</f>
        <v>H2</v>
      </c>
    </row>
    <row r="738" spans="1:26" x14ac:dyDescent="0.25">
      <c r="A738" s="2">
        <v>45845</v>
      </c>
      <c r="B738" t="s">
        <v>817</v>
      </c>
      <c r="C738" t="s">
        <v>63</v>
      </c>
      <c r="D738" t="s">
        <v>28</v>
      </c>
      <c r="E738" t="s">
        <v>29</v>
      </c>
      <c r="F738" t="s">
        <v>52</v>
      </c>
      <c r="G738" t="s">
        <v>86</v>
      </c>
      <c r="H738" t="s">
        <v>41</v>
      </c>
      <c r="I738">
        <v>50.335589320451653</v>
      </c>
      <c r="J738" s="3">
        <v>1174.7</v>
      </c>
      <c r="K738" s="3">
        <f>Table1[[#This Row],[Quantity]]*Table1[[#This Row],[Unit_Price]]</f>
        <v>59129.216774734559</v>
      </c>
      <c r="L738" s="3">
        <v>1878.15</v>
      </c>
      <c r="M738" s="3">
        <f>Table1[[#This Row],[Gross_Sales]]-Table1[[#This Row],[Discount]]</f>
        <v>57251.066774734558</v>
      </c>
      <c r="N738" s="3">
        <v>30571.07</v>
      </c>
      <c r="O738" s="3">
        <v>1128.6500000000001</v>
      </c>
      <c r="P738" s="3">
        <v>2899.78</v>
      </c>
      <c r="Q738" s="3">
        <v>1768.11</v>
      </c>
      <c r="R738" s="3">
        <v>749.25</v>
      </c>
      <c r="S738" s="3">
        <f>SUM(Table1[[#This Row],[Product_Cost]:[Other_Cost]])</f>
        <v>37116.86</v>
      </c>
      <c r="T738" s="3">
        <f>Table1[[#This Row],[Net_Sales]]-Table1[[#This Row],[Product_Cost]]</f>
        <v>26679.996774734558</v>
      </c>
      <c r="U738" s="3">
        <f>Table1[[#This Row],[Net_Sales]]-Table1[[#This Row],[Total_Cost]]</f>
        <v>20134.206774734557</v>
      </c>
      <c r="V738" s="4">
        <f>Table1[[#This Row],[Net_Profit]]/Table1[[#This Row],[Net_Sales]]</f>
        <v>0.3516826481846444</v>
      </c>
      <c r="W738" t="s">
        <v>33</v>
      </c>
      <c r="X738" t="s">
        <v>787</v>
      </c>
      <c r="Y738">
        <v>7</v>
      </c>
      <c r="Z738" t="str">
        <f>IF(Table1[[#This Row],[Month_No]]&lt;=6, "H1","H2")</f>
        <v>H2</v>
      </c>
    </row>
    <row r="739" spans="1:26" x14ac:dyDescent="0.25">
      <c r="A739" s="2">
        <v>45845</v>
      </c>
      <c r="B739" t="s">
        <v>818</v>
      </c>
      <c r="C739" t="s">
        <v>63</v>
      </c>
      <c r="D739" t="s">
        <v>50</v>
      </c>
      <c r="E739" t="s">
        <v>51</v>
      </c>
      <c r="F739" t="s">
        <v>52</v>
      </c>
      <c r="G739" t="s">
        <v>61</v>
      </c>
      <c r="H739" t="s">
        <v>59</v>
      </c>
      <c r="I739">
        <v>60.328508467492988</v>
      </c>
      <c r="J739" s="3">
        <v>891.5</v>
      </c>
      <c r="K739" s="3">
        <f>Table1[[#This Row],[Quantity]]*Table1[[#This Row],[Unit_Price]]</f>
        <v>53782.865298769997</v>
      </c>
      <c r="L739" s="3">
        <v>1488.48</v>
      </c>
      <c r="M739" s="3">
        <f>Table1[[#This Row],[Gross_Sales]]-Table1[[#This Row],[Discount]]</f>
        <v>52294.385298769994</v>
      </c>
      <c r="N739" s="3">
        <v>32152.18</v>
      </c>
      <c r="O739" s="3">
        <v>953.59</v>
      </c>
      <c r="P739" s="3">
        <v>2749.71</v>
      </c>
      <c r="Q739" s="3">
        <v>1187.46</v>
      </c>
      <c r="R739" s="3">
        <v>738.11</v>
      </c>
      <c r="S739" s="3">
        <f>SUM(Table1[[#This Row],[Product_Cost]:[Other_Cost]])</f>
        <v>37781.049999999996</v>
      </c>
      <c r="T739" s="3">
        <f>Table1[[#This Row],[Net_Sales]]-Table1[[#This Row],[Product_Cost]]</f>
        <v>20142.205298769994</v>
      </c>
      <c r="U739" s="3">
        <f>Table1[[#This Row],[Net_Sales]]-Table1[[#This Row],[Total_Cost]]</f>
        <v>14513.335298769998</v>
      </c>
      <c r="V739" s="4">
        <f>Table1[[#This Row],[Net_Profit]]/Table1[[#This Row],[Net_Sales]]</f>
        <v>0.27753142552210791</v>
      </c>
      <c r="W739" t="s">
        <v>33</v>
      </c>
      <c r="X739" t="s">
        <v>787</v>
      </c>
      <c r="Y739">
        <v>7</v>
      </c>
      <c r="Z739" t="str">
        <f>IF(Table1[[#This Row],[Month_No]]&lt;=6, "H1","H2")</f>
        <v>H2</v>
      </c>
    </row>
    <row r="740" spans="1:26" x14ac:dyDescent="0.25">
      <c r="A740" s="2">
        <v>45845</v>
      </c>
      <c r="B740" t="s">
        <v>819</v>
      </c>
      <c r="C740" t="s">
        <v>78</v>
      </c>
      <c r="D740" t="s">
        <v>100</v>
      </c>
      <c r="E740" t="s">
        <v>75</v>
      </c>
      <c r="F740" t="s">
        <v>52</v>
      </c>
      <c r="G740" t="s">
        <v>40</v>
      </c>
      <c r="H740" t="s">
        <v>59</v>
      </c>
      <c r="I740">
        <v>13.23612840207778</v>
      </c>
      <c r="J740" s="3">
        <v>6977.72</v>
      </c>
      <c r="K740" s="3">
        <f>Table1[[#This Row],[Quantity]]*Table1[[#This Row],[Unit_Price]]</f>
        <v>92357.997873746164</v>
      </c>
      <c r="L740" s="3">
        <v>3243.85</v>
      </c>
      <c r="M740" s="3">
        <f>Table1[[#This Row],[Gross_Sales]]-Table1[[#This Row],[Discount]]</f>
        <v>89114.147873746158</v>
      </c>
      <c r="N740" s="3">
        <v>52116.41</v>
      </c>
      <c r="O740" s="3">
        <v>1596.43</v>
      </c>
      <c r="P740" s="3">
        <v>4343.6499999999996</v>
      </c>
      <c r="Q740" s="3">
        <v>2567.89</v>
      </c>
      <c r="R740" s="3">
        <v>1307.52</v>
      </c>
      <c r="S740" s="3">
        <f>SUM(Table1[[#This Row],[Product_Cost]:[Other_Cost]])</f>
        <v>61931.9</v>
      </c>
      <c r="T740" s="3">
        <f>Table1[[#This Row],[Net_Sales]]-Table1[[#This Row],[Product_Cost]]</f>
        <v>36997.737873746155</v>
      </c>
      <c r="U740" s="3">
        <f>Table1[[#This Row],[Net_Sales]]-Table1[[#This Row],[Total_Cost]]</f>
        <v>27182.247873746157</v>
      </c>
      <c r="V740" s="4">
        <f>Table1[[#This Row],[Net_Profit]]/Table1[[#This Row],[Net_Sales]]</f>
        <v>0.30502729950643781</v>
      </c>
      <c r="W740" t="s">
        <v>33</v>
      </c>
      <c r="X740" t="s">
        <v>787</v>
      </c>
      <c r="Y740">
        <v>7</v>
      </c>
      <c r="Z740" t="str">
        <f>IF(Table1[[#This Row],[Month_No]]&lt;=6, "H1","H2")</f>
        <v>H2</v>
      </c>
    </row>
    <row r="741" spans="1:26" x14ac:dyDescent="0.25">
      <c r="A741" s="2">
        <v>45845</v>
      </c>
      <c r="B741" t="s">
        <v>820</v>
      </c>
      <c r="C741" t="s">
        <v>36</v>
      </c>
      <c r="D741" t="s">
        <v>74</v>
      </c>
      <c r="E741" t="s">
        <v>75</v>
      </c>
      <c r="F741" t="s">
        <v>52</v>
      </c>
      <c r="G741" t="s">
        <v>40</v>
      </c>
      <c r="H741" t="s">
        <v>41</v>
      </c>
      <c r="I741">
        <v>49.569924292817632</v>
      </c>
      <c r="J741" s="3">
        <v>5920.31</v>
      </c>
      <c r="K741" s="3">
        <f>Table1[[#This Row],[Quantity]]*Table1[[#This Row],[Unit_Price]]</f>
        <v>293469.31849001115</v>
      </c>
      <c r="L741" s="3">
        <v>9818.64</v>
      </c>
      <c r="M741" s="3">
        <f>Table1[[#This Row],[Gross_Sales]]-Table1[[#This Row],[Discount]]</f>
        <v>283650.67849001114</v>
      </c>
      <c r="N741" s="3">
        <v>195512.09</v>
      </c>
      <c r="O741" s="3">
        <v>4885</v>
      </c>
      <c r="P741" s="3">
        <v>14905.22</v>
      </c>
      <c r="Q741" s="3">
        <v>8696.58</v>
      </c>
      <c r="R741" s="3">
        <v>3606.14</v>
      </c>
      <c r="S741" s="3">
        <f>SUM(Table1[[#This Row],[Product_Cost]:[Other_Cost]])</f>
        <v>227605.03</v>
      </c>
      <c r="T741" s="3">
        <f>Table1[[#This Row],[Net_Sales]]-Table1[[#This Row],[Product_Cost]]</f>
        <v>88138.588490011141</v>
      </c>
      <c r="U741" s="3">
        <f>Table1[[#This Row],[Net_Sales]]-Table1[[#This Row],[Total_Cost]]</f>
        <v>56045.648490011139</v>
      </c>
      <c r="V741" s="4">
        <f>Table1[[#This Row],[Net_Profit]]/Table1[[#This Row],[Net_Sales]]</f>
        <v>0.19758686560654501</v>
      </c>
      <c r="W741" t="s">
        <v>33</v>
      </c>
      <c r="X741" t="s">
        <v>787</v>
      </c>
      <c r="Y741">
        <v>7</v>
      </c>
      <c r="Z741" t="str">
        <f>IF(Table1[[#This Row],[Month_No]]&lt;=6, "H1","H2")</f>
        <v>H2</v>
      </c>
    </row>
    <row r="742" spans="1:26" x14ac:dyDescent="0.25">
      <c r="A742" s="2">
        <v>45846</v>
      </c>
      <c r="B742" t="s">
        <v>821</v>
      </c>
      <c r="C742" t="s">
        <v>78</v>
      </c>
      <c r="D742" t="s">
        <v>56</v>
      </c>
      <c r="E742" t="s">
        <v>57</v>
      </c>
      <c r="F742" t="s">
        <v>46</v>
      </c>
      <c r="G742" t="s">
        <v>58</v>
      </c>
      <c r="H742" t="s">
        <v>41</v>
      </c>
      <c r="I742">
        <v>26.82232140847006</v>
      </c>
      <c r="J742" s="3">
        <v>3227.2</v>
      </c>
      <c r="K742" s="3">
        <f>Table1[[#This Row],[Quantity]]*Table1[[#This Row],[Unit_Price]]</f>
        <v>86560.995649414574</v>
      </c>
      <c r="L742" s="3">
        <v>4145.1000000000004</v>
      </c>
      <c r="M742" s="3">
        <f>Table1[[#This Row],[Gross_Sales]]-Table1[[#This Row],[Discount]]</f>
        <v>82415.895649414568</v>
      </c>
      <c r="N742" s="3">
        <v>39691.22</v>
      </c>
      <c r="O742" s="3">
        <v>1673.19</v>
      </c>
      <c r="P742" s="3">
        <v>4278.7</v>
      </c>
      <c r="Q742" s="3">
        <v>1855.82</v>
      </c>
      <c r="R742" s="3">
        <v>1493.35</v>
      </c>
      <c r="S742" s="3">
        <f>SUM(Table1[[#This Row],[Product_Cost]:[Other_Cost]])</f>
        <v>48992.28</v>
      </c>
      <c r="T742" s="3">
        <f>Table1[[#This Row],[Net_Sales]]-Table1[[#This Row],[Product_Cost]]</f>
        <v>42724.675649414567</v>
      </c>
      <c r="U742" s="3">
        <f>Table1[[#This Row],[Net_Sales]]-Table1[[#This Row],[Total_Cost]]</f>
        <v>33423.615649414569</v>
      </c>
      <c r="V742" s="4">
        <f>Table1[[#This Row],[Net_Profit]]/Table1[[#This Row],[Net_Sales]]</f>
        <v>0.40554816987725095</v>
      </c>
      <c r="W742" t="s">
        <v>33</v>
      </c>
      <c r="X742" t="s">
        <v>787</v>
      </c>
      <c r="Y742">
        <v>7</v>
      </c>
      <c r="Z742" t="str">
        <f>IF(Table1[[#This Row],[Month_No]]&lt;=6, "H1","H2")</f>
        <v>H2</v>
      </c>
    </row>
    <row r="743" spans="1:26" x14ac:dyDescent="0.25">
      <c r="A743" s="2">
        <v>45846</v>
      </c>
      <c r="B743" t="s">
        <v>822</v>
      </c>
      <c r="C743" t="s">
        <v>83</v>
      </c>
      <c r="D743" t="s">
        <v>50</v>
      </c>
      <c r="E743" t="s">
        <v>51</v>
      </c>
      <c r="F743" t="s">
        <v>39</v>
      </c>
      <c r="G743" t="s">
        <v>58</v>
      </c>
      <c r="H743" t="s">
        <v>41</v>
      </c>
      <c r="I743">
        <v>28.696134565531739</v>
      </c>
      <c r="J743" s="3">
        <v>879.92</v>
      </c>
      <c r="K743" s="3">
        <f>Table1[[#This Row],[Quantity]]*Table1[[#This Row],[Unit_Price]]</f>
        <v>25250.302726902686</v>
      </c>
      <c r="L743" s="3">
        <v>887.3</v>
      </c>
      <c r="M743" s="3">
        <f>Table1[[#This Row],[Gross_Sales]]-Table1[[#This Row],[Discount]]</f>
        <v>24363.002726902687</v>
      </c>
      <c r="N743" s="3">
        <v>14805.03</v>
      </c>
      <c r="O743" s="3">
        <v>723.26</v>
      </c>
      <c r="P743" s="3">
        <v>1210.72</v>
      </c>
      <c r="Q743" s="3">
        <v>519.74</v>
      </c>
      <c r="R743" s="3">
        <v>431.56</v>
      </c>
      <c r="S743" s="3">
        <f>SUM(Table1[[#This Row],[Product_Cost]:[Other_Cost]])</f>
        <v>17690.310000000005</v>
      </c>
      <c r="T743" s="3">
        <f>Table1[[#This Row],[Net_Sales]]-Table1[[#This Row],[Product_Cost]]</f>
        <v>9557.9727269026862</v>
      </c>
      <c r="U743" s="3">
        <f>Table1[[#This Row],[Net_Sales]]-Table1[[#This Row],[Total_Cost]]</f>
        <v>6672.6927269026819</v>
      </c>
      <c r="V743" s="4">
        <f>Table1[[#This Row],[Net_Profit]]/Table1[[#This Row],[Net_Sales]]</f>
        <v>0.27388630218123339</v>
      </c>
      <c r="W743" t="s">
        <v>33</v>
      </c>
      <c r="X743" t="s">
        <v>787</v>
      </c>
      <c r="Y743">
        <v>7</v>
      </c>
      <c r="Z743" t="str">
        <f>IF(Table1[[#This Row],[Month_No]]&lt;=6, "H1","H2")</f>
        <v>H2</v>
      </c>
    </row>
    <row r="744" spans="1:26" x14ac:dyDescent="0.25">
      <c r="A744" s="2">
        <v>45846</v>
      </c>
      <c r="B744" t="s">
        <v>823</v>
      </c>
      <c r="C744" t="s">
        <v>49</v>
      </c>
      <c r="D744" t="s">
        <v>74</v>
      </c>
      <c r="E744" t="s">
        <v>75</v>
      </c>
      <c r="F744" t="s">
        <v>46</v>
      </c>
      <c r="G744" t="s">
        <v>61</v>
      </c>
      <c r="H744" t="s">
        <v>41</v>
      </c>
      <c r="I744">
        <v>76.116377997731377</v>
      </c>
      <c r="J744" s="3">
        <v>5883.51</v>
      </c>
      <c r="K744" s="3">
        <f>Table1[[#This Row],[Quantity]]*Table1[[#This Row],[Unit_Price]]</f>
        <v>447831.47111343255</v>
      </c>
      <c r="L744" s="3">
        <v>13455.66</v>
      </c>
      <c r="M744" s="3">
        <f>Table1[[#This Row],[Gross_Sales]]-Table1[[#This Row],[Discount]]</f>
        <v>434375.81111343257</v>
      </c>
      <c r="N744" s="3">
        <v>300830.94</v>
      </c>
      <c r="O744" s="3">
        <v>9249.6200000000008</v>
      </c>
      <c r="P744" s="3">
        <v>21940.53</v>
      </c>
      <c r="Q744" s="3">
        <v>8736.1200000000008</v>
      </c>
      <c r="R744" s="3">
        <v>7713.74</v>
      </c>
      <c r="S744" s="3">
        <f>SUM(Table1[[#This Row],[Product_Cost]:[Other_Cost]])</f>
        <v>348470.94999999995</v>
      </c>
      <c r="T744" s="3">
        <f>Table1[[#This Row],[Net_Sales]]-Table1[[#This Row],[Product_Cost]]</f>
        <v>133544.87111343257</v>
      </c>
      <c r="U744" s="3">
        <f>Table1[[#This Row],[Net_Sales]]-Table1[[#This Row],[Total_Cost]]</f>
        <v>85904.86111343262</v>
      </c>
      <c r="V744" s="4">
        <f>Table1[[#This Row],[Net_Profit]]/Table1[[#This Row],[Net_Sales]]</f>
        <v>0.19776621744482795</v>
      </c>
      <c r="W744" t="s">
        <v>33</v>
      </c>
      <c r="X744" t="s">
        <v>787</v>
      </c>
      <c r="Y744">
        <v>7</v>
      </c>
      <c r="Z744" t="str">
        <f>IF(Table1[[#This Row],[Month_No]]&lt;=6, "H1","H2")</f>
        <v>H2</v>
      </c>
    </row>
    <row r="745" spans="1:26" x14ac:dyDescent="0.25">
      <c r="A745" s="2">
        <v>45846</v>
      </c>
      <c r="B745" t="s">
        <v>824</v>
      </c>
      <c r="C745" t="s">
        <v>49</v>
      </c>
      <c r="D745" t="s">
        <v>74</v>
      </c>
      <c r="E745" t="s">
        <v>75</v>
      </c>
      <c r="F745" t="s">
        <v>39</v>
      </c>
      <c r="G745" t="s">
        <v>76</v>
      </c>
      <c r="H745" t="s">
        <v>32</v>
      </c>
      <c r="I745">
        <v>87.685423849005289</v>
      </c>
      <c r="J745" s="3">
        <v>5446.91</v>
      </c>
      <c r="K745" s="3">
        <f>Table1[[#This Row],[Quantity]]*Table1[[#This Row],[Unit_Price]]</f>
        <v>477614.61201738537</v>
      </c>
      <c r="L745" s="3">
        <v>20686.07</v>
      </c>
      <c r="M745" s="3">
        <f>Table1[[#This Row],[Gross_Sales]]-Table1[[#This Row],[Discount]]</f>
        <v>456928.54201738536</v>
      </c>
      <c r="N745" s="3">
        <v>311419.09999999998</v>
      </c>
      <c r="O745" s="3">
        <v>12350.95</v>
      </c>
      <c r="P745" s="3">
        <v>23800.32</v>
      </c>
      <c r="Q745" s="3">
        <v>10124.91</v>
      </c>
      <c r="R745" s="3">
        <v>9683.4699999999993</v>
      </c>
      <c r="S745" s="3">
        <f>SUM(Table1[[#This Row],[Product_Cost]:[Other_Cost]])</f>
        <v>367378.74999999994</v>
      </c>
      <c r="T745" s="3">
        <f>Table1[[#This Row],[Net_Sales]]-Table1[[#This Row],[Product_Cost]]</f>
        <v>145509.44201738539</v>
      </c>
      <c r="U745" s="3">
        <f>Table1[[#This Row],[Net_Sales]]-Table1[[#This Row],[Total_Cost]]</f>
        <v>89549.792017385422</v>
      </c>
      <c r="V745" s="4">
        <f>Table1[[#This Row],[Net_Profit]]/Table1[[#This Row],[Net_Sales]]</f>
        <v>0.19598204923249948</v>
      </c>
      <c r="W745" t="s">
        <v>33</v>
      </c>
      <c r="X745" t="s">
        <v>787</v>
      </c>
      <c r="Y745">
        <v>7</v>
      </c>
      <c r="Z745" t="str">
        <f>IF(Table1[[#This Row],[Month_No]]&lt;=6, "H1","H2")</f>
        <v>H2</v>
      </c>
    </row>
    <row r="746" spans="1:26" x14ac:dyDescent="0.25">
      <c r="A746" s="2">
        <v>45846</v>
      </c>
      <c r="B746" t="s">
        <v>825</v>
      </c>
      <c r="C746" t="s">
        <v>43</v>
      </c>
      <c r="D746" t="s">
        <v>68</v>
      </c>
      <c r="E746" t="s">
        <v>29</v>
      </c>
      <c r="F746" t="s">
        <v>52</v>
      </c>
      <c r="G746" t="s">
        <v>58</v>
      </c>
      <c r="H746" t="s">
        <v>32</v>
      </c>
      <c r="I746">
        <v>112.9495591902494</v>
      </c>
      <c r="J746" s="3">
        <v>377.09</v>
      </c>
      <c r="K746" s="3">
        <f>Table1[[#This Row],[Quantity]]*Table1[[#This Row],[Unit_Price]]</f>
        <v>42592.149275051146</v>
      </c>
      <c r="L746" s="3">
        <v>1546.22</v>
      </c>
      <c r="M746" s="3">
        <f>Table1[[#This Row],[Gross_Sales]]-Table1[[#This Row],[Discount]]</f>
        <v>41045.929275051145</v>
      </c>
      <c r="N746" s="3">
        <v>30821.53</v>
      </c>
      <c r="O746" s="3">
        <v>721.86</v>
      </c>
      <c r="P746" s="3">
        <v>2310.0100000000002</v>
      </c>
      <c r="Q746" s="3">
        <v>1203.79</v>
      </c>
      <c r="R746" s="3">
        <v>722.08</v>
      </c>
      <c r="S746" s="3">
        <f>SUM(Table1[[#This Row],[Product_Cost]:[Other_Cost]])</f>
        <v>35779.270000000004</v>
      </c>
      <c r="T746" s="3">
        <f>Table1[[#This Row],[Net_Sales]]-Table1[[#This Row],[Product_Cost]]</f>
        <v>10224.399275051146</v>
      </c>
      <c r="U746" s="3">
        <f>Table1[[#This Row],[Net_Sales]]-Table1[[#This Row],[Total_Cost]]</f>
        <v>5266.6592750511409</v>
      </c>
      <c r="V746" s="4">
        <f>Table1[[#This Row],[Net_Profit]]/Table1[[#This Row],[Net_Sales]]</f>
        <v>0.12831136651235139</v>
      </c>
      <c r="W746" t="s">
        <v>33</v>
      </c>
      <c r="X746" t="s">
        <v>787</v>
      </c>
      <c r="Y746">
        <v>7</v>
      </c>
      <c r="Z746" t="str">
        <f>IF(Table1[[#This Row],[Month_No]]&lt;=6, "H1","H2")</f>
        <v>H2</v>
      </c>
    </row>
    <row r="747" spans="1:26" x14ac:dyDescent="0.25">
      <c r="A747" s="2">
        <v>45847</v>
      </c>
      <c r="B747" t="s">
        <v>826</v>
      </c>
      <c r="C747" t="s">
        <v>27</v>
      </c>
      <c r="D747" t="s">
        <v>37</v>
      </c>
      <c r="E747" t="s">
        <v>38</v>
      </c>
      <c r="F747" t="s">
        <v>52</v>
      </c>
      <c r="G747" t="s">
        <v>58</v>
      </c>
      <c r="H747" t="s">
        <v>32</v>
      </c>
      <c r="I747">
        <v>34.131322586516511</v>
      </c>
      <c r="J747" s="3">
        <v>4580.9799999999996</v>
      </c>
      <c r="K747" s="3">
        <f>Table1[[#This Row],[Quantity]]*Table1[[#This Row],[Unit_Price]]</f>
        <v>156354.90614238038</v>
      </c>
      <c r="L747" s="3">
        <v>7210.76</v>
      </c>
      <c r="M747" s="3">
        <f>Table1[[#This Row],[Gross_Sales]]-Table1[[#This Row],[Discount]]</f>
        <v>149144.14614238037</v>
      </c>
      <c r="N747" s="3">
        <v>99049.32</v>
      </c>
      <c r="O747" s="3">
        <v>2562.8000000000002</v>
      </c>
      <c r="P747" s="3">
        <v>8443.7000000000007</v>
      </c>
      <c r="Q747" s="3">
        <v>3601.6</v>
      </c>
      <c r="R747" s="3">
        <v>2302.08</v>
      </c>
      <c r="S747" s="3">
        <f>SUM(Table1[[#This Row],[Product_Cost]:[Other_Cost]])</f>
        <v>115959.50000000001</v>
      </c>
      <c r="T747" s="3">
        <f>Table1[[#This Row],[Net_Sales]]-Table1[[#This Row],[Product_Cost]]</f>
        <v>50094.826142380363</v>
      </c>
      <c r="U747" s="3">
        <f>Table1[[#This Row],[Net_Sales]]-Table1[[#This Row],[Total_Cost]]</f>
        <v>33184.646142380356</v>
      </c>
      <c r="V747" s="4">
        <f>Table1[[#This Row],[Net_Profit]]/Table1[[#This Row],[Net_Sales]]</f>
        <v>0.22250049365464639</v>
      </c>
      <c r="W747" t="s">
        <v>33</v>
      </c>
      <c r="X747" t="s">
        <v>787</v>
      </c>
      <c r="Y747">
        <v>7</v>
      </c>
      <c r="Z747" t="str">
        <f>IF(Table1[[#This Row],[Month_No]]&lt;=6, "H1","H2")</f>
        <v>H2</v>
      </c>
    </row>
    <row r="748" spans="1:26" x14ac:dyDescent="0.25">
      <c r="A748" s="2">
        <v>45847</v>
      </c>
      <c r="B748" t="s">
        <v>827</v>
      </c>
      <c r="C748" t="s">
        <v>83</v>
      </c>
      <c r="D748" t="s">
        <v>44</v>
      </c>
      <c r="E748" t="s">
        <v>45</v>
      </c>
      <c r="F748" t="s">
        <v>52</v>
      </c>
      <c r="G748" t="s">
        <v>31</v>
      </c>
      <c r="H748" t="s">
        <v>32</v>
      </c>
      <c r="I748">
        <v>77.752214034161099</v>
      </c>
      <c r="J748" s="3">
        <v>4485.6899999999996</v>
      </c>
      <c r="K748" s="3">
        <f>Table1[[#This Row],[Quantity]]*Table1[[#This Row],[Unit_Price]]</f>
        <v>348772.32897089608</v>
      </c>
      <c r="L748" s="3">
        <v>12798.37</v>
      </c>
      <c r="M748" s="3">
        <f>Table1[[#This Row],[Gross_Sales]]-Table1[[#This Row],[Discount]]</f>
        <v>335973.95897089608</v>
      </c>
      <c r="N748" s="3">
        <v>223839.67</v>
      </c>
      <c r="O748" s="3">
        <v>5543.81</v>
      </c>
      <c r="P748" s="3">
        <v>16935.23</v>
      </c>
      <c r="Q748" s="3">
        <v>7850.59</v>
      </c>
      <c r="R748" s="3">
        <v>5033.5200000000004</v>
      </c>
      <c r="S748" s="3">
        <f>SUM(Table1[[#This Row],[Product_Cost]:[Other_Cost]])</f>
        <v>259202.82</v>
      </c>
      <c r="T748" s="3">
        <f>Table1[[#This Row],[Net_Sales]]-Table1[[#This Row],[Product_Cost]]</f>
        <v>112134.28897089607</v>
      </c>
      <c r="U748" s="3">
        <f>Table1[[#This Row],[Net_Sales]]-Table1[[#This Row],[Total_Cost]]</f>
        <v>76771.138970896078</v>
      </c>
      <c r="V748" s="4">
        <f>Table1[[#This Row],[Net_Profit]]/Table1[[#This Row],[Net_Sales]]</f>
        <v>0.22850324235262059</v>
      </c>
      <c r="W748" t="s">
        <v>33</v>
      </c>
      <c r="X748" t="s">
        <v>787</v>
      </c>
      <c r="Y748">
        <v>7</v>
      </c>
      <c r="Z748" t="str">
        <f>IF(Table1[[#This Row],[Month_No]]&lt;=6, "H1","H2")</f>
        <v>H2</v>
      </c>
    </row>
    <row r="749" spans="1:26" x14ac:dyDescent="0.25">
      <c r="A749" s="2">
        <v>45847</v>
      </c>
      <c r="B749" t="s">
        <v>828</v>
      </c>
      <c r="C749" t="s">
        <v>63</v>
      </c>
      <c r="D749" t="s">
        <v>100</v>
      </c>
      <c r="E749" t="s">
        <v>75</v>
      </c>
      <c r="F749" t="s">
        <v>39</v>
      </c>
      <c r="G749" t="s">
        <v>31</v>
      </c>
      <c r="H749" t="s">
        <v>41</v>
      </c>
      <c r="I749">
        <v>35.774034799702328</v>
      </c>
      <c r="J749" s="3">
        <v>7413.84</v>
      </c>
      <c r="K749" s="3">
        <f>Table1[[#This Row],[Quantity]]*Table1[[#This Row],[Unit_Price]]</f>
        <v>265222.97015942511</v>
      </c>
      <c r="L749" s="3">
        <v>12765.06</v>
      </c>
      <c r="M749" s="3">
        <f>Table1[[#This Row],[Gross_Sales]]-Table1[[#This Row],[Discount]]</f>
        <v>252457.91015942511</v>
      </c>
      <c r="N749" s="3">
        <v>142962.78</v>
      </c>
      <c r="O749" s="3">
        <v>7280.1</v>
      </c>
      <c r="P749" s="3">
        <v>13003.68</v>
      </c>
      <c r="Q749" s="3">
        <v>6747.33</v>
      </c>
      <c r="R749" s="3">
        <v>4520.76</v>
      </c>
      <c r="S749" s="3">
        <f>SUM(Table1[[#This Row],[Product_Cost]:[Other_Cost]])</f>
        <v>174514.65</v>
      </c>
      <c r="T749" s="3">
        <f>Table1[[#This Row],[Net_Sales]]-Table1[[#This Row],[Product_Cost]]</f>
        <v>109495.13015942511</v>
      </c>
      <c r="U749" s="3">
        <f>Table1[[#This Row],[Net_Sales]]-Table1[[#This Row],[Total_Cost]]</f>
        <v>77943.260159425117</v>
      </c>
      <c r="V749" s="4">
        <f>Table1[[#This Row],[Net_Profit]]/Table1[[#This Row],[Net_Sales]]</f>
        <v>0.3087376430796111</v>
      </c>
      <c r="W749" t="s">
        <v>72</v>
      </c>
      <c r="X749" t="s">
        <v>787</v>
      </c>
      <c r="Y749">
        <v>7</v>
      </c>
      <c r="Z749" t="str">
        <f>IF(Table1[[#This Row],[Month_No]]&lt;=6, "H1","H2")</f>
        <v>H2</v>
      </c>
    </row>
    <row r="750" spans="1:26" x14ac:dyDescent="0.25">
      <c r="A750" s="2">
        <v>45847</v>
      </c>
      <c r="B750" t="s">
        <v>829</v>
      </c>
      <c r="C750" t="s">
        <v>107</v>
      </c>
      <c r="D750" t="s">
        <v>100</v>
      </c>
      <c r="E750" t="s">
        <v>75</v>
      </c>
      <c r="F750" t="s">
        <v>46</v>
      </c>
      <c r="G750" t="s">
        <v>31</v>
      </c>
      <c r="H750" t="s">
        <v>59</v>
      </c>
      <c r="I750">
        <v>27.13899181816247</v>
      </c>
      <c r="J750" s="3">
        <v>6917.93</v>
      </c>
      <c r="K750" s="3">
        <f>Table1[[#This Row],[Quantity]]*Table1[[#This Row],[Unit_Price]]</f>
        <v>187745.64566862071</v>
      </c>
      <c r="L750" s="3">
        <v>5071.6000000000004</v>
      </c>
      <c r="M750" s="3">
        <f>Table1[[#This Row],[Gross_Sales]]-Table1[[#This Row],[Discount]]</f>
        <v>182674.0456686207</v>
      </c>
      <c r="N750" s="3">
        <v>103063.84</v>
      </c>
      <c r="O750" s="3">
        <v>3246.7</v>
      </c>
      <c r="P750" s="3">
        <v>10416.6</v>
      </c>
      <c r="Q750" s="3">
        <v>5160.37</v>
      </c>
      <c r="R750" s="3">
        <v>2431.23</v>
      </c>
      <c r="S750" s="3">
        <f>SUM(Table1[[#This Row],[Product_Cost]:[Other_Cost]])</f>
        <v>124318.73999999999</v>
      </c>
      <c r="T750" s="3">
        <f>Table1[[#This Row],[Net_Sales]]-Table1[[#This Row],[Product_Cost]]</f>
        <v>79610.205668620707</v>
      </c>
      <c r="U750" s="3">
        <f>Table1[[#This Row],[Net_Sales]]-Table1[[#This Row],[Total_Cost]]</f>
        <v>58355.305668620713</v>
      </c>
      <c r="V750" s="4">
        <f>Table1[[#This Row],[Net_Profit]]/Table1[[#This Row],[Net_Sales]]</f>
        <v>0.3194504476814401</v>
      </c>
      <c r="W750" t="s">
        <v>33</v>
      </c>
      <c r="X750" t="s">
        <v>787</v>
      </c>
      <c r="Y750">
        <v>7</v>
      </c>
      <c r="Z750" t="str">
        <f>IF(Table1[[#This Row],[Month_No]]&lt;=6, "H1","H2")</f>
        <v>H2</v>
      </c>
    </row>
    <row r="751" spans="1:26" x14ac:dyDescent="0.25">
      <c r="A751" s="2">
        <v>45847</v>
      </c>
      <c r="B751" t="s">
        <v>830</v>
      </c>
      <c r="C751" t="s">
        <v>117</v>
      </c>
      <c r="D751" t="s">
        <v>183</v>
      </c>
      <c r="E751" t="s">
        <v>38</v>
      </c>
      <c r="F751" t="s">
        <v>52</v>
      </c>
      <c r="G751" t="s">
        <v>31</v>
      </c>
      <c r="H751" t="s">
        <v>41</v>
      </c>
      <c r="I751">
        <v>47.135087904044482</v>
      </c>
      <c r="J751" s="3">
        <v>6541.84</v>
      </c>
      <c r="K751" s="3">
        <f>Table1[[#This Row],[Quantity]]*Table1[[#This Row],[Unit_Price]]</f>
        <v>308350.20345419436</v>
      </c>
      <c r="L751" s="3">
        <v>16036.63</v>
      </c>
      <c r="M751" s="3">
        <f>Table1[[#This Row],[Gross_Sales]]-Table1[[#This Row],[Discount]]</f>
        <v>292313.57345419435</v>
      </c>
      <c r="N751" s="3">
        <v>151807.04999999999</v>
      </c>
      <c r="O751" s="3">
        <v>5540.42</v>
      </c>
      <c r="P751" s="3">
        <v>17171.150000000001</v>
      </c>
      <c r="Q751" s="3">
        <v>7587.35</v>
      </c>
      <c r="R751" s="3">
        <v>4848.8</v>
      </c>
      <c r="S751" s="3">
        <f>SUM(Table1[[#This Row],[Product_Cost]:[Other_Cost]])</f>
        <v>186954.77</v>
      </c>
      <c r="T751" s="3">
        <f>Table1[[#This Row],[Net_Sales]]-Table1[[#This Row],[Product_Cost]]</f>
        <v>140506.52345419436</v>
      </c>
      <c r="U751" s="3">
        <f>Table1[[#This Row],[Net_Sales]]-Table1[[#This Row],[Total_Cost]]</f>
        <v>105358.80345419436</v>
      </c>
      <c r="V751" s="4">
        <f>Table1[[#This Row],[Net_Profit]]/Table1[[#This Row],[Net_Sales]]</f>
        <v>0.36043076005399433</v>
      </c>
      <c r="W751" t="s">
        <v>33</v>
      </c>
      <c r="X751" t="s">
        <v>787</v>
      </c>
      <c r="Y751">
        <v>7</v>
      </c>
      <c r="Z751" t="str">
        <f>IF(Table1[[#This Row],[Month_No]]&lt;=6, "H1","H2")</f>
        <v>H2</v>
      </c>
    </row>
    <row r="752" spans="1:26" x14ac:dyDescent="0.25">
      <c r="A752" s="2">
        <v>45847</v>
      </c>
      <c r="B752" t="s">
        <v>831</v>
      </c>
      <c r="C752" t="s">
        <v>49</v>
      </c>
      <c r="D752" t="s">
        <v>81</v>
      </c>
      <c r="E752" t="s">
        <v>45</v>
      </c>
      <c r="F752" t="s">
        <v>52</v>
      </c>
      <c r="G752" t="s">
        <v>40</v>
      </c>
      <c r="H752" t="s">
        <v>59</v>
      </c>
      <c r="I752">
        <v>57.619410318853078</v>
      </c>
      <c r="J752" s="3">
        <v>6849.51</v>
      </c>
      <c r="K752" s="3">
        <f>Table1[[#This Row],[Quantity]]*Table1[[#This Row],[Unit_Price]]</f>
        <v>394664.72717308736</v>
      </c>
      <c r="L752" s="3">
        <v>8991.24</v>
      </c>
      <c r="M752" s="3">
        <f>Table1[[#This Row],[Gross_Sales]]-Table1[[#This Row],[Discount]]</f>
        <v>385673.48717308737</v>
      </c>
      <c r="N752" s="3">
        <v>208732.93</v>
      </c>
      <c r="O752" s="3">
        <v>6605.47</v>
      </c>
      <c r="P752" s="3">
        <v>18779.54</v>
      </c>
      <c r="Q752" s="3">
        <v>11832.4</v>
      </c>
      <c r="R752" s="3">
        <v>8323.99</v>
      </c>
      <c r="S752" s="3">
        <f>SUM(Table1[[#This Row],[Product_Cost]:[Other_Cost]])</f>
        <v>254274.33</v>
      </c>
      <c r="T752" s="3">
        <f>Table1[[#This Row],[Net_Sales]]-Table1[[#This Row],[Product_Cost]]</f>
        <v>176940.55717308738</v>
      </c>
      <c r="U752" s="3">
        <f>Table1[[#This Row],[Net_Sales]]-Table1[[#This Row],[Total_Cost]]</f>
        <v>131399.15717308738</v>
      </c>
      <c r="V752" s="4">
        <f>Table1[[#This Row],[Net_Profit]]/Table1[[#This Row],[Net_Sales]]</f>
        <v>0.34070051881506813</v>
      </c>
      <c r="W752" t="s">
        <v>33</v>
      </c>
      <c r="X752" t="s">
        <v>787</v>
      </c>
      <c r="Y752">
        <v>7</v>
      </c>
      <c r="Z752" t="str">
        <f>IF(Table1[[#This Row],[Month_No]]&lt;=6, "H1","H2")</f>
        <v>H2</v>
      </c>
    </row>
    <row r="753" spans="1:26" x14ac:dyDescent="0.25">
      <c r="A753" s="2">
        <v>45848</v>
      </c>
      <c r="B753" t="s">
        <v>832</v>
      </c>
      <c r="C753" t="s">
        <v>49</v>
      </c>
      <c r="D753" t="s">
        <v>28</v>
      </c>
      <c r="E753" t="s">
        <v>29</v>
      </c>
      <c r="F753" t="s">
        <v>52</v>
      </c>
      <c r="G753" t="s">
        <v>61</v>
      </c>
      <c r="H753" t="s">
        <v>59</v>
      </c>
      <c r="I753">
        <v>46.072344385160257</v>
      </c>
      <c r="J753" s="3">
        <v>1206.93</v>
      </c>
      <c r="K753" s="3">
        <f>Table1[[#This Row],[Quantity]]*Table1[[#This Row],[Unit_Price]]</f>
        <v>55606.094608781474</v>
      </c>
      <c r="L753" s="3">
        <v>1505.88</v>
      </c>
      <c r="M753" s="3">
        <f>Table1[[#This Row],[Gross_Sales]]-Table1[[#This Row],[Discount]]</f>
        <v>54100.214608781476</v>
      </c>
      <c r="N753" s="3">
        <v>27092.880000000001</v>
      </c>
      <c r="O753" s="3">
        <v>794.04</v>
      </c>
      <c r="P753" s="3">
        <v>3344.21</v>
      </c>
      <c r="Q753" s="3">
        <v>1537.28</v>
      </c>
      <c r="R753" s="3">
        <v>961.35</v>
      </c>
      <c r="S753" s="3">
        <f>SUM(Table1[[#This Row],[Product_Cost]:[Other_Cost]])</f>
        <v>33729.760000000002</v>
      </c>
      <c r="T753" s="3">
        <f>Table1[[#This Row],[Net_Sales]]-Table1[[#This Row],[Product_Cost]]</f>
        <v>27007.334608781475</v>
      </c>
      <c r="U753" s="3">
        <f>Table1[[#This Row],[Net_Sales]]-Table1[[#This Row],[Total_Cost]]</f>
        <v>20370.454608781474</v>
      </c>
      <c r="V753" s="4">
        <f>Table1[[#This Row],[Net_Profit]]/Table1[[#This Row],[Net_Sales]]</f>
        <v>0.37653186324837551</v>
      </c>
      <c r="W753" t="s">
        <v>72</v>
      </c>
      <c r="X753" t="s">
        <v>787</v>
      </c>
      <c r="Y753">
        <v>7</v>
      </c>
      <c r="Z753" t="str">
        <f>IF(Table1[[#This Row],[Month_No]]&lt;=6, "H1","H2")</f>
        <v>H2</v>
      </c>
    </row>
    <row r="754" spans="1:26" x14ac:dyDescent="0.25">
      <c r="A754" s="2">
        <v>45848</v>
      </c>
      <c r="B754" t="s">
        <v>833</v>
      </c>
      <c r="C754" t="s">
        <v>36</v>
      </c>
      <c r="D754" t="s">
        <v>81</v>
      </c>
      <c r="E754" t="s">
        <v>45</v>
      </c>
      <c r="F754" t="s">
        <v>52</v>
      </c>
      <c r="G754" t="s">
        <v>86</v>
      </c>
      <c r="H754" t="s">
        <v>41</v>
      </c>
      <c r="I754">
        <v>56.961717370542267</v>
      </c>
      <c r="J754" s="3">
        <v>6973.43</v>
      </c>
      <c r="K754" s="3">
        <f>Table1[[#This Row],[Quantity]]*Table1[[#This Row],[Unit_Price]]</f>
        <v>397218.54876326059</v>
      </c>
      <c r="L754" s="3">
        <v>13223.66</v>
      </c>
      <c r="M754" s="3">
        <f>Table1[[#This Row],[Gross_Sales]]-Table1[[#This Row],[Discount]]</f>
        <v>383994.88876326062</v>
      </c>
      <c r="N754" s="3">
        <v>195380.45</v>
      </c>
      <c r="O754" s="3">
        <v>6300.24</v>
      </c>
      <c r="P754" s="3">
        <v>21486.17</v>
      </c>
      <c r="Q754" s="3">
        <v>11026.54</v>
      </c>
      <c r="R754" s="3">
        <v>5385.42</v>
      </c>
      <c r="S754" s="3">
        <f>SUM(Table1[[#This Row],[Product_Cost]:[Other_Cost]])</f>
        <v>239578.82</v>
      </c>
      <c r="T754" s="3">
        <f>Table1[[#This Row],[Net_Sales]]-Table1[[#This Row],[Product_Cost]]</f>
        <v>188614.43876326061</v>
      </c>
      <c r="U754" s="3">
        <f>Table1[[#This Row],[Net_Sales]]-Table1[[#This Row],[Total_Cost]]</f>
        <v>144416.06876326061</v>
      </c>
      <c r="V754" s="4">
        <f>Table1[[#This Row],[Net_Profit]]/Table1[[#This Row],[Net_Sales]]</f>
        <v>0.37608851833518953</v>
      </c>
      <c r="W754" t="s">
        <v>72</v>
      </c>
      <c r="X754" t="s">
        <v>787</v>
      </c>
      <c r="Y754">
        <v>7</v>
      </c>
      <c r="Z754" t="str">
        <f>IF(Table1[[#This Row],[Month_No]]&lt;=6, "H1","H2")</f>
        <v>H2</v>
      </c>
    </row>
    <row r="755" spans="1:26" x14ac:dyDescent="0.25">
      <c r="A755" s="2">
        <v>45848</v>
      </c>
      <c r="B755" t="s">
        <v>834</v>
      </c>
      <c r="C755" t="s">
        <v>98</v>
      </c>
      <c r="D755" t="s">
        <v>28</v>
      </c>
      <c r="E755" t="s">
        <v>29</v>
      </c>
      <c r="F755" t="s">
        <v>30</v>
      </c>
      <c r="G755" t="s">
        <v>61</v>
      </c>
      <c r="H755" t="s">
        <v>47</v>
      </c>
      <c r="I755">
        <v>73.892552527759591</v>
      </c>
      <c r="J755" s="3">
        <v>1170.98</v>
      </c>
      <c r="K755" s="3">
        <f>Table1[[#This Row],[Quantity]]*Table1[[#This Row],[Unit_Price]]</f>
        <v>86526.701158955926</v>
      </c>
      <c r="L755" s="3">
        <v>3587.41</v>
      </c>
      <c r="M755" s="3">
        <f>Table1[[#This Row],[Gross_Sales]]-Table1[[#This Row],[Discount]]</f>
        <v>82939.291158955923</v>
      </c>
      <c r="N755" s="3">
        <v>43104.17</v>
      </c>
      <c r="O755" s="3">
        <v>2212.21</v>
      </c>
      <c r="P755" s="3">
        <v>4469.87</v>
      </c>
      <c r="Q755" s="3">
        <v>1740.65</v>
      </c>
      <c r="R755" s="3">
        <v>1599.73</v>
      </c>
      <c r="S755" s="3">
        <f>SUM(Table1[[#This Row],[Product_Cost]:[Other_Cost]])</f>
        <v>53126.630000000005</v>
      </c>
      <c r="T755" s="3">
        <f>Table1[[#This Row],[Net_Sales]]-Table1[[#This Row],[Product_Cost]]</f>
        <v>39835.121158955924</v>
      </c>
      <c r="U755" s="3">
        <f>Table1[[#This Row],[Net_Sales]]-Table1[[#This Row],[Total_Cost]]</f>
        <v>29812.661158955918</v>
      </c>
      <c r="V755" s="4">
        <f>Table1[[#This Row],[Net_Profit]]/Table1[[#This Row],[Net_Sales]]</f>
        <v>0.35945160300223639</v>
      </c>
      <c r="W755" t="s">
        <v>33</v>
      </c>
      <c r="X755" t="s">
        <v>787</v>
      </c>
      <c r="Y755">
        <v>7</v>
      </c>
      <c r="Z755" t="str">
        <f>IF(Table1[[#This Row],[Month_No]]&lt;=6, "H1","H2")</f>
        <v>H2</v>
      </c>
    </row>
    <row r="756" spans="1:26" x14ac:dyDescent="0.25">
      <c r="A756" s="2">
        <v>45848</v>
      </c>
      <c r="B756" t="s">
        <v>835</v>
      </c>
      <c r="C756" t="s">
        <v>70</v>
      </c>
      <c r="D756" t="s">
        <v>183</v>
      </c>
      <c r="E756" t="s">
        <v>38</v>
      </c>
      <c r="F756" t="s">
        <v>52</v>
      </c>
      <c r="G756" t="s">
        <v>40</v>
      </c>
      <c r="H756" t="s">
        <v>59</v>
      </c>
      <c r="I756">
        <v>15.66012747657645</v>
      </c>
      <c r="J756" s="3">
        <v>7061.82</v>
      </c>
      <c r="K756" s="3">
        <f>Table1[[#This Row],[Quantity]]*Table1[[#This Row],[Unit_Price]]</f>
        <v>110589.00141663711</v>
      </c>
      <c r="L756" s="3">
        <v>3794.36</v>
      </c>
      <c r="M756" s="3">
        <f>Table1[[#This Row],[Gross_Sales]]-Table1[[#This Row],[Discount]]</f>
        <v>106794.64141663711</v>
      </c>
      <c r="N756" s="3">
        <v>52377.93</v>
      </c>
      <c r="O756" s="3">
        <v>1613.87</v>
      </c>
      <c r="P756" s="3">
        <v>6545.29</v>
      </c>
      <c r="Q756" s="3">
        <v>2920.54</v>
      </c>
      <c r="R756" s="3">
        <v>1517.49</v>
      </c>
      <c r="S756" s="3">
        <f>SUM(Table1[[#This Row],[Product_Cost]:[Other_Cost]])</f>
        <v>64975.12</v>
      </c>
      <c r="T756" s="3">
        <f>Table1[[#This Row],[Net_Sales]]-Table1[[#This Row],[Product_Cost]]</f>
        <v>54416.71141663711</v>
      </c>
      <c r="U756" s="3">
        <f>Table1[[#This Row],[Net_Sales]]-Table1[[#This Row],[Total_Cost]]</f>
        <v>41819.521416637108</v>
      </c>
      <c r="V756" s="4">
        <f>Table1[[#This Row],[Net_Profit]]/Table1[[#This Row],[Net_Sales]]</f>
        <v>0.39158820013718604</v>
      </c>
      <c r="W756" t="s">
        <v>33</v>
      </c>
      <c r="X756" t="s">
        <v>787</v>
      </c>
      <c r="Y756">
        <v>7</v>
      </c>
      <c r="Z756" t="str">
        <f>IF(Table1[[#This Row],[Month_No]]&lt;=6, "H1","H2")</f>
        <v>H2</v>
      </c>
    </row>
    <row r="757" spans="1:26" x14ac:dyDescent="0.25">
      <c r="A757" s="2">
        <v>45849</v>
      </c>
      <c r="B757" t="s">
        <v>836</v>
      </c>
      <c r="C757" t="s">
        <v>70</v>
      </c>
      <c r="D757" t="s">
        <v>81</v>
      </c>
      <c r="E757" t="s">
        <v>45</v>
      </c>
      <c r="F757" t="s">
        <v>52</v>
      </c>
      <c r="G757" t="s">
        <v>76</v>
      </c>
      <c r="H757" t="s">
        <v>47</v>
      </c>
      <c r="I757">
        <v>52.386370711494251</v>
      </c>
      <c r="J757" s="3">
        <v>6660.18</v>
      </c>
      <c r="K757" s="3">
        <f>Table1[[#This Row],[Quantity]]*Table1[[#This Row],[Unit_Price]]</f>
        <v>348902.65848527983</v>
      </c>
      <c r="L757" s="3">
        <v>16435.22</v>
      </c>
      <c r="M757" s="3">
        <f>Table1[[#This Row],[Gross_Sales]]-Table1[[#This Row],[Discount]]</f>
        <v>332467.4384852798</v>
      </c>
      <c r="N757" s="3">
        <v>168528.66</v>
      </c>
      <c r="O757" s="3">
        <v>6628.88</v>
      </c>
      <c r="P757" s="3">
        <v>17811.669999999998</v>
      </c>
      <c r="Q757" s="3">
        <v>6939.97</v>
      </c>
      <c r="R757" s="3">
        <v>4228.34</v>
      </c>
      <c r="S757" s="3">
        <f>SUM(Table1[[#This Row],[Product_Cost]:[Other_Cost]])</f>
        <v>204137.52000000002</v>
      </c>
      <c r="T757" s="3">
        <f>Table1[[#This Row],[Net_Sales]]-Table1[[#This Row],[Product_Cost]]</f>
        <v>163938.77848527979</v>
      </c>
      <c r="U757" s="3">
        <f>Table1[[#This Row],[Net_Sales]]-Table1[[#This Row],[Total_Cost]]</f>
        <v>128329.91848527978</v>
      </c>
      <c r="V757" s="4">
        <f>Table1[[#This Row],[Net_Profit]]/Table1[[#This Row],[Net_Sales]]</f>
        <v>0.38599244205673294</v>
      </c>
      <c r="W757" t="s">
        <v>33</v>
      </c>
      <c r="X757" t="s">
        <v>787</v>
      </c>
      <c r="Y757">
        <v>7</v>
      </c>
      <c r="Z757" t="str">
        <f>IF(Table1[[#This Row],[Month_No]]&lt;=6, "H1","H2")</f>
        <v>H2</v>
      </c>
    </row>
    <row r="758" spans="1:26" x14ac:dyDescent="0.25">
      <c r="A758" s="2">
        <v>45849</v>
      </c>
      <c r="B758" t="s">
        <v>837</v>
      </c>
      <c r="C758" t="s">
        <v>27</v>
      </c>
      <c r="D758" t="s">
        <v>81</v>
      </c>
      <c r="E758" t="s">
        <v>45</v>
      </c>
      <c r="F758" t="s">
        <v>30</v>
      </c>
      <c r="G758" t="s">
        <v>86</v>
      </c>
      <c r="H758" t="s">
        <v>41</v>
      </c>
      <c r="I758">
        <v>53.178208849954608</v>
      </c>
      <c r="J758" s="3">
        <v>6543.89</v>
      </c>
      <c r="K758" s="3">
        <f>Table1[[#This Row],[Quantity]]*Table1[[#This Row],[Unit_Price]]</f>
        <v>347992.34911112947</v>
      </c>
      <c r="L758" s="3">
        <v>10839.41</v>
      </c>
      <c r="M758" s="3">
        <f>Table1[[#This Row],[Gross_Sales]]-Table1[[#This Row],[Discount]]</f>
        <v>337152.9391111295</v>
      </c>
      <c r="N758" s="3">
        <v>170034.84</v>
      </c>
      <c r="O758" s="3">
        <v>8393</v>
      </c>
      <c r="P758" s="3">
        <v>20729.8</v>
      </c>
      <c r="Q758" s="3">
        <v>7241.1</v>
      </c>
      <c r="R758" s="3">
        <v>6990.52</v>
      </c>
      <c r="S758" s="3">
        <f>SUM(Table1[[#This Row],[Product_Cost]:[Other_Cost]])</f>
        <v>213389.25999999998</v>
      </c>
      <c r="T758" s="3">
        <f>Table1[[#This Row],[Net_Sales]]-Table1[[#This Row],[Product_Cost]]</f>
        <v>167118.0991111295</v>
      </c>
      <c r="U758" s="3">
        <f>Table1[[#This Row],[Net_Sales]]-Table1[[#This Row],[Total_Cost]]</f>
        <v>123763.67911112952</v>
      </c>
      <c r="V758" s="4">
        <f>Table1[[#This Row],[Net_Profit]]/Table1[[#This Row],[Net_Sales]]</f>
        <v>0.367084681027608</v>
      </c>
      <c r="W758" t="s">
        <v>33</v>
      </c>
      <c r="X758" t="s">
        <v>787</v>
      </c>
      <c r="Y758">
        <v>7</v>
      </c>
      <c r="Z758" t="str">
        <f>IF(Table1[[#This Row],[Month_No]]&lt;=6, "H1","H2")</f>
        <v>H2</v>
      </c>
    </row>
    <row r="759" spans="1:26" x14ac:dyDescent="0.25">
      <c r="A759" s="2">
        <v>45849</v>
      </c>
      <c r="B759" t="s">
        <v>838</v>
      </c>
      <c r="C759" t="s">
        <v>98</v>
      </c>
      <c r="D759" t="s">
        <v>85</v>
      </c>
      <c r="E759" t="s">
        <v>57</v>
      </c>
      <c r="F759" t="s">
        <v>46</v>
      </c>
      <c r="G759" t="s">
        <v>76</v>
      </c>
      <c r="H759" t="s">
        <v>41</v>
      </c>
      <c r="I759">
        <v>63.759695840832492</v>
      </c>
      <c r="J759" s="3">
        <v>2049.1799999999998</v>
      </c>
      <c r="K759" s="3">
        <f>Table1[[#This Row],[Quantity]]*Table1[[#This Row],[Unit_Price]]</f>
        <v>130655.09352311712</v>
      </c>
      <c r="L759" s="3">
        <v>6730.44</v>
      </c>
      <c r="M759" s="3">
        <f>Table1[[#This Row],[Gross_Sales]]-Table1[[#This Row],[Discount]]</f>
        <v>123924.65352311711</v>
      </c>
      <c r="N759" s="3">
        <v>76367.289999999994</v>
      </c>
      <c r="O759" s="3">
        <v>2872.12</v>
      </c>
      <c r="P759" s="3">
        <v>7258.97</v>
      </c>
      <c r="Q759" s="3">
        <v>2597.13</v>
      </c>
      <c r="R759" s="3">
        <v>2020.37</v>
      </c>
      <c r="S759" s="3">
        <f>SUM(Table1[[#This Row],[Product_Cost]:[Other_Cost]])</f>
        <v>91115.87999999999</v>
      </c>
      <c r="T759" s="3">
        <f>Table1[[#This Row],[Net_Sales]]-Table1[[#This Row],[Product_Cost]]</f>
        <v>47557.363523117121</v>
      </c>
      <c r="U759" s="3">
        <f>Table1[[#This Row],[Net_Sales]]-Table1[[#This Row],[Total_Cost]]</f>
        <v>32808.773523117125</v>
      </c>
      <c r="V759" s="4">
        <f>Table1[[#This Row],[Net_Profit]]/Table1[[#This Row],[Net_Sales]]</f>
        <v>0.26474775268987877</v>
      </c>
      <c r="W759" t="s">
        <v>72</v>
      </c>
      <c r="X759" t="s">
        <v>787</v>
      </c>
      <c r="Y759">
        <v>7</v>
      </c>
      <c r="Z759" t="str">
        <f>IF(Table1[[#This Row],[Month_No]]&lt;=6, "H1","H2")</f>
        <v>H2</v>
      </c>
    </row>
    <row r="760" spans="1:26" x14ac:dyDescent="0.25">
      <c r="A760" s="2">
        <v>45850</v>
      </c>
      <c r="B760" t="s">
        <v>839</v>
      </c>
      <c r="C760" t="s">
        <v>98</v>
      </c>
      <c r="D760" t="s">
        <v>68</v>
      </c>
      <c r="E760" t="s">
        <v>29</v>
      </c>
      <c r="F760" t="s">
        <v>52</v>
      </c>
      <c r="G760" t="s">
        <v>61</v>
      </c>
      <c r="H760" t="s">
        <v>47</v>
      </c>
      <c r="I760">
        <v>133.94768073753971</v>
      </c>
      <c r="J760" s="3">
        <v>380.7</v>
      </c>
      <c r="K760" s="3">
        <f>Table1[[#This Row],[Quantity]]*Table1[[#This Row],[Unit_Price]]</f>
        <v>50993.882056781367</v>
      </c>
      <c r="L760" s="3">
        <v>1436.55</v>
      </c>
      <c r="M760" s="3">
        <f>Table1[[#This Row],[Gross_Sales]]-Table1[[#This Row],[Discount]]</f>
        <v>49557.332056781364</v>
      </c>
      <c r="N760" s="3">
        <v>33620.449999999997</v>
      </c>
      <c r="O760" s="3">
        <v>915.27</v>
      </c>
      <c r="P760" s="3">
        <v>2575.9899999999998</v>
      </c>
      <c r="Q760" s="3">
        <v>1439.45</v>
      </c>
      <c r="R760" s="3">
        <v>827.56</v>
      </c>
      <c r="S760" s="3">
        <f>SUM(Table1[[#This Row],[Product_Cost]:[Other_Cost]])</f>
        <v>39378.719999999987</v>
      </c>
      <c r="T760" s="3">
        <f>Table1[[#This Row],[Net_Sales]]-Table1[[#This Row],[Product_Cost]]</f>
        <v>15936.882056781367</v>
      </c>
      <c r="U760" s="3">
        <f>Table1[[#This Row],[Net_Sales]]-Table1[[#This Row],[Total_Cost]]</f>
        <v>10178.612056781378</v>
      </c>
      <c r="V760" s="4">
        <f>Table1[[#This Row],[Net_Profit]]/Table1[[#This Row],[Net_Sales]]</f>
        <v>0.20539063816266415</v>
      </c>
      <c r="W760" t="s">
        <v>33</v>
      </c>
      <c r="X760" t="s">
        <v>787</v>
      </c>
      <c r="Y760">
        <v>7</v>
      </c>
      <c r="Z760" t="str">
        <f>IF(Table1[[#This Row],[Month_No]]&lt;=6, "H1","H2")</f>
        <v>H2</v>
      </c>
    </row>
    <row r="761" spans="1:26" x14ac:dyDescent="0.25">
      <c r="A761" s="2">
        <v>45850</v>
      </c>
      <c r="B761" t="s">
        <v>840</v>
      </c>
      <c r="C761" t="s">
        <v>43</v>
      </c>
      <c r="D761" t="s">
        <v>68</v>
      </c>
      <c r="E761" t="s">
        <v>29</v>
      </c>
      <c r="F761" t="s">
        <v>46</v>
      </c>
      <c r="G761" t="s">
        <v>58</v>
      </c>
      <c r="H761" t="s">
        <v>59</v>
      </c>
      <c r="I761">
        <v>73.470178931753139</v>
      </c>
      <c r="J761" s="3">
        <v>393.02</v>
      </c>
      <c r="K761" s="3">
        <f>Table1[[#This Row],[Quantity]]*Table1[[#This Row],[Unit_Price]]</f>
        <v>28875.249723757617</v>
      </c>
      <c r="L761" s="3">
        <v>1251.4000000000001</v>
      </c>
      <c r="M761" s="3">
        <f>Table1[[#This Row],[Gross_Sales]]-Table1[[#This Row],[Discount]]</f>
        <v>27623.849723757616</v>
      </c>
      <c r="N761" s="3">
        <v>19885.39</v>
      </c>
      <c r="O761" s="3">
        <v>618.97</v>
      </c>
      <c r="P761" s="3">
        <v>1657.15</v>
      </c>
      <c r="Q761" s="3">
        <v>615.59</v>
      </c>
      <c r="R761" s="3">
        <v>447.4</v>
      </c>
      <c r="S761" s="3">
        <f>SUM(Table1[[#This Row],[Product_Cost]:[Other_Cost]])</f>
        <v>23224.500000000004</v>
      </c>
      <c r="T761" s="3">
        <f>Table1[[#This Row],[Net_Sales]]-Table1[[#This Row],[Product_Cost]]</f>
        <v>7738.4597237576163</v>
      </c>
      <c r="U761" s="3">
        <f>Table1[[#This Row],[Net_Sales]]-Table1[[#This Row],[Total_Cost]]</f>
        <v>4399.3497237576121</v>
      </c>
      <c r="V761" s="4">
        <f>Table1[[#This Row],[Net_Profit]]/Table1[[#This Row],[Net_Sales]]</f>
        <v>0.15925911007161306</v>
      </c>
      <c r="W761" t="s">
        <v>33</v>
      </c>
      <c r="X761" t="s">
        <v>787</v>
      </c>
      <c r="Y761">
        <v>7</v>
      </c>
      <c r="Z761" t="str">
        <f>IF(Table1[[#This Row],[Month_No]]&lt;=6, "H1","H2")</f>
        <v>H2</v>
      </c>
    </row>
    <row r="762" spans="1:26" x14ac:dyDescent="0.25">
      <c r="A762" s="2">
        <v>45850</v>
      </c>
      <c r="B762" t="s">
        <v>841</v>
      </c>
      <c r="C762" t="s">
        <v>107</v>
      </c>
      <c r="D762" t="s">
        <v>74</v>
      </c>
      <c r="E762" t="s">
        <v>75</v>
      </c>
      <c r="F762" t="s">
        <v>52</v>
      </c>
      <c r="G762" t="s">
        <v>76</v>
      </c>
      <c r="H762" t="s">
        <v>59</v>
      </c>
      <c r="I762">
        <v>90.348971312789502</v>
      </c>
      <c r="J762" s="3">
        <v>5801.24</v>
      </c>
      <c r="K762" s="3">
        <f>Table1[[#This Row],[Quantity]]*Table1[[#This Row],[Unit_Price]]</f>
        <v>524136.06633860694</v>
      </c>
      <c r="L762" s="3">
        <v>10883.96</v>
      </c>
      <c r="M762" s="3">
        <f>Table1[[#This Row],[Gross_Sales]]-Table1[[#This Row],[Discount]]</f>
        <v>513252.10633860691</v>
      </c>
      <c r="N762" s="3">
        <v>358649.25</v>
      </c>
      <c r="O762" s="3">
        <v>8555.84</v>
      </c>
      <c r="P762" s="3">
        <v>30814.19</v>
      </c>
      <c r="Q762" s="3">
        <v>14371.2</v>
      </c>
      <c r="R762" s="3">
        <v>9732.4699999999993</v>
      </c>
      <c r="S762" s="3">
        <f>SUM(Table1[[#This Row],[Product_Cost]:[Other_Cost]])</f>
        <v>422122.95</v>
      </c>
      <c r="T762" s="3">
        <f>Table1[[#This Row],[Net_Sales]]-Table1[[#This Row],[Product_Cost]]</f>
        <v>154602.85633860691</v>
      </c>
      <c r="U762" s="3">
        <f>Table1[[#This Row],[Net_Sales]]-Table1[[#This Row],[Total_Cost]]</f>
        <v>91129.156338606903</v>
      </c>
      <c r="V762" s="4">
        <f>Table1[[#This Row],[Net_Profit]]/Table1[[#This Row],[Net_Sales]]</f>
        <v>0.17755242543220354</v>
      </c>
      <c r="W762" t="s">
        <v>33</v>
      </c>
      <c r="X762" t="s">
        <v>787</v>
      </c>
      <c r="Y762">
        <v>7</v>
      </c>
      <c r="Z762" t="str">
        <f>IF(Table1[[#This Row],[Month_No]]&lt;=6, "H1","H2")</f>
        <v>H2</v>
      </c>
    </row>
    <row r="763" spans="1:26" x14ac:dyDescent="0.25">
      <c r="A763" s="2">
        <v>45850</v>
      </c>
      <c r="B763" t="s">
        <v>842</v>
      </c>
      <c r="C763" t="s">
        <v>36</v>
      </c>
      <c r="D763" t="s">
        <v>85</v>
      </c>
      <c r="E763" t="s">
        <v>57</v>
      </c>
      <c r="F763" t="s">
        <v>52</v>
      </c>
      <c r="G763" t="s">
        <v>86</v>
      </c>
      <c r="H763" t="s">
        <v>32</v>
      </c>
      <c r="I763">
        <v>52.337864027222302</v>
      </c>
      <c r="J763" s="3">
        <v>1952.2</v>
      </c>
      <c r="K763" s="3">
        <f>Table1[[#This Row],[Quantity]]*Table1[[#This Row],[Unit_Price]]</f>
        <v>102173.97815394338</v>
      </c>
      <c r="L763" s="3">
        <v>4720.68</v>
      </c>
      <c r="M763" s="3">
        <f>Table1[[#This Row],[Gross_Sales]]-Table1[[#This Row],[Discount]]</f>
        <v>97453.298153943382</v>
      </c>
      <c r="N763" s="3">
        <v>60962.61</v>
      </c>
      <c r="O763" s="3">
        <v>1923.52</v>
      </c>
      <c r="P763" s="3">
        <v>5873</v>
      </c>
      <c r="Q763" s="3">
        <v>2792.67</v>
      </c>
      <c r="R763" s="3">
        <v>1919.18</v>
      </c>
      <c r="S763" s="3">
        <f>SUM(Table1[[#This Row],[Product_Cost]:[Other_Cost]])</f>
        <v>73470.98</v>
      </c>
      <c r="T763" s="3">
        <f>Table1[[#This Row],[Net_Sales]]-Table1[[#This Row],[Product_Cost]]</f>
        <v>36490.688153943382</v>
      </c>
      <c r="U763" s="3">
        <f>Table1[[#This Row],[Net_Sales]]-Table1[[#This Row],[Total_Cost]]</f>
        <v>23982.318153943386</v>
      </c>
      <c r="V763" s="4">
        <f>Table1[[#This Row],[Net_Profit]]/Table1[[#This Row],[Net_Sales]]</f>
        <v>0.24609036952304481</v>
      </c>
      <c r="W763" t="s">
        <v>33</v>
      </c>
      <c r="X763" t="s">
        <v>787</v>
      </c>
      <c r="Y763">
        <v>7</v>
      </c>
      <c r="Z763" t="str">
        <f>IF(Table1[[#This Row],[Month_No]]&lt;=6, "H1","H2")</f>
        <v>H2</v>
      </c>
    </row>
    <row r="764" spans="1:26" x14ac:dyDescent="0.25">
      <c r="A764" s="2">
        <v>45850</v>
      </c>
      <c r="B764" t="s">
        <v>843</v>
      </c>
      <c r="C764" t="s">
        <v>98</v>
      </c>
      <c r="D764" t="s">
        <v>68</v>
      </c>
      <c r="E764" t="s">
        <v>29</v>
      </c>
      <c r="F764" t="s">
        <v>30</v>
      </c>
      <c r="G764" t="s">
        <v>64</v>
      </c>
      <c r="H764" t="s">
        <v>41</v>
      </c>
      <c r="I764">
        <v>114.7805402287636</v>
      </c>
      <c r="J764" s="3">
        <v>394.29</v>
      </c>
      <c r="K764" s="3">
        <f>Table1[[#This Row],[Quantity]]*Table1[[#This Row],[Unit_Price]]</f>
        <v>45256.819206799199</v>
      </c>
      <c r="L764" s="3">
        <v>2303</v>
      </c>
      <c r="M764" s="3">
        <f>Table1[[#This Row],[Gross_Sales]]-Table1[[#This Row],[Discount]]</f>
        <v>42953.819206799199</v>
      </c>
      <c r="N764" s="3">
        <v>28989.49</v>
      </c>
      <c r="O764" s="3">
        <v>975.99</v>
      </c>
      <c r="P764" s="3">
        <v>2298.5</v>
      </c>
      <c r="Q764" s="3">
        <v>1113.6400000000001</v>
      </c>
      <c r="R764" s="3">
        <v>834.65</v>
      </c>
      <c r="S764" s="3">
        <f>SUM(Table1[[#This Row],[Product_Cost]:[Other_Cost]])</f>
        <v>34212.270000000004</v>
      </c>
      <c r="T764" s="3">
        <f>Table1[[#This Row],[Net_Sales]]-Table1[[#This Row],[Product_Cost]]</f>
        <v>13964.329206799197</v>
      </c>
      <c r="U764" s="3">
        <f>Table1[[#This Row],[Net_Sales]]-Table1[[#This Row],[Total_Cost]]</f>
        <v>8741.5492067991945</v>
      </c>
      <c r="V764" s="4">
        <f>Table1[[#This Row],[Net_Profit]]/Table1[[#This Row],[Net_Sales]]</f>
        <v>0.20351040648360988</v>
      </c>
      <c r="W764" t="s">
        <v>33</v>
      </c>
      <c r="X764" t="s">
        <v>787</v>
      </c>
      <c r="Y764">
        <v>7</v>
      </c>
      <c r="Z764" t="str">
        <f>IF(Table1[[#This Row],[Month_No]]&lt;=6, "H1","H2")</f>
        <v>H2</v>
      </c>
    </row>
    <row r="765" spans="1:26" x14ac:dyDescent="0.25">
      <c r="A765" s="2">
        <v>45851</v>
      </c>
      <c r="B765" t="s">
        <v>844</v>
      </c>
      <c r="C765" t="s">
        <v>117</v>
      </c>
      <c r="D765" t="s">
        <v>44</v>
      </c>
      <c r="E765" t="s">
        <v>45</v>
      </c>
      <c r="F765" t="s">
        <v>52</v>
      </c>
      <c r="G765" t="s">
        <v>61</v>
      </c>
      <c r="H765" t="s">
        <v>59</v>
      </c>
      <c r="I765">
        <v>74.820282487322629</v>
      </c>
      <c r="J765" s="3">
        <v>4658.49</v>
      </c>
      <c r="K765" s="3">
        <f>Table1[[#This Row],[Quantity]]*Table1[[#This Row],[Unit_Price]]</f>
        <v>348549.53776436759</v>
      </c>
      <c r="L765" s="3">
        <v>15394.63</v>
      </c>
      <c r="M765" s="3">
        <f>Table1[[#This Row],[Gross_Sales]]-Table1[[#This Row],[Discount]]</f>
        <v>333154.90776436758</v>
      </c>
      <c r="N765" s="3">
        <v>221571.71</v>
      </c>
      <c r="O765" s="3">
        <v>5498.1</v>
      </c>
      <c r="P765" s="3">
        <v>18125.72</v>
      </c>
      <c r="Q765" s="3">
        <v>6438.97</v>
      </c>
      <c r="R765" s="3">
        <v>4420.78</v>
      </c>
      <c r="S765" s="3">
        <f>SUM(Table1[[#This Row],[Product_Cost]:[Other_Cost]])</f>
        <v>256055.28</v>
      </c>
      <c r="T765" s="3">
        <f>Table1[[#This Row],[Net_Sales]]-Table1[[#This Row],[Product_Cost]]</f>
        <v>111583.19776436759</v>
      </c>
      <c r="U765" s="3">
        <f>Table1[[#This Row],[Net_Sales]]-Table1[[#This Row],[Total_Cost]]</f>
        <v>77099.627764367586</v>
      </c>
      <c r="V765" s="4">
        <f>Table1[[#This Row],[Net_Profit]]/Table1[[#This Row],[Net_Sales]]</f>
        <v>0.23142275850517649</v>
      </c>
      <c r="W765" t="s">
        <v>33</v>
      </c>
      <c r="X765" t="s">
        <v>787</v>
      </c>
      <c r="Y765">
        <v>7</v>
      </c>
      <c r="Z765" t="str">
        <f>IF(Table1[[#This Row],[Month_No]]&lt;=6, "H1","H2")</f>
        <v>H2</v>
      </c>
    </row>
    <row r="766" spans="1:26" x14ac:dyDescent="0.25">
      <c r="A766" s="2">
        <v>45851</v>
      </c>
      <c r="B766" t="s">
        <v>845</v>
      </c>
      <c r="C766" t="s">
        <v>36</v>
      </c>
      <c r="D766" t="s">
        <v>50</v>
      </c>
      <c r="E766" t="s">
        <v>51</v>
      </c>
      <c r="F766" t="s">
        <v>30</v>
      </c>
      <c r="G766" t="s">
        <v>76</v>
      </c>
      <c r="H766" t="s">
        <v>59</v>
      </c>
      <c r="I766">
        <v>84.311411954771302</v>
      </c>
      <c r="J766" s="3">
        <v>911.29</v>
      </c>
      <c r="K766" s="3">
        <f>Table1[[#This Row],[Quantity]]*Table1[[#This Row],[Unit_Price]]</f>
        <v>76832.146600263542</v>
      </c>
      <c r="L766" s="3">
        <v>2488.11</v>
      </c>
      <c r="M766" s="3">
        <f>Table1[[#This Row],[Gross_Sales]]-Table1[[#This Row],[Discount]]</f>
        <v>74344.036600263542</v>
      </c>
      <c r="N766" s="3">
        <v>45056.98</v>
      </c>
      <c r="O766" s="3">
        <v>1562.8</v>
      </c>
      <c r="P766" s="3">
        <v>4489.68</v>
      </c>
      <c r="Q766" s="3">
        <v>1518.05</v>
      </c>
      <c r="R766" s="3">
        <v>1546.85</v>
      </c>
      <c r="S766" s="3">
        <f>SUM(Table1[[#This Row],[Product_Cost]:[Other_Cost]])</f>
        <v>54174.360000000008</v>
      </c>
      <c r="T766" s="3">
        <f>Table1[[#This Row],[Net_Sales]]-Table1[[#This Row],[Product_Cost]]</f>
        <v>29287.056600263539</v>
      </c>
      <c r="U766" s="3">
        <f>Table1[[#This Row],[Net_Sales]]-Table1[[#This Row],[Total_Cost]]</f>
        <v>20169.676600263534</v>
      </c>
      <c r="V766" s="4">
        <f>Table1[[#This Row],[Net_Profit]]/Table1[[#This Row],[Net_Sales]]</f>
        <v>0.27130187601613276</v>
      </c>
      <c r="W766" t="s">
        <v>33</v>
      </c>
      <c r="X766" t="s">
        <v>787</v>
      </c>
      <c r="Y766">
        <v>7</v>
      </c>
      <c r="Z766" t="str">
        <f>IF(Table1[[#This Row],[Month_No]]&lt;=6, "H1","H2")</f>
        <v>H2</v>
      </c>
    </row>
    <row r="767" spans="1:26" x14ac:dyDescent="0.25">
      <c r="A767" s="2">
        <v>45851</v>
      </c>
      <c r="B767" t="s">
        <v>846</v>
      </c>
      <c r="C767" t="s">
        <v>117</v>
      </c>
      <c r="D767" t="s">
        <v>28</v>
      </c>
      <c r="E767" t="s">
        <v>29</v>
      </c>
      <c r="F767" t="s">
        <v>39</v>
      </c>
      <c r="G767" t="s">
        <v>40</v>
      </c>
      <c r="H767" t="s">
        <v>41</v>
      </c>
      <c r="I767">
        <v>47.727481679382812</v>
      </c>
      <c r="J767" s="3">
        <v>1257.54</v>
      </c>
      <c r="K767" s="3">
        <f>Table1[[#This Row],[Quantity]]*Table1[[#This Row],[Unit_Price]]</f>
        <v>60019.217311091059</v>
      </c>
      <c r="L767" s="3">
        <v>2120.38</v>
      </c>
      <c r="M767" s="3">
        <f>Table1[[#This Row],[Gross_Sales]]-Table1[[#This Row],[Discount]]</f>
        <v>57898.837311091062</v>
      </c>
      <c r="N767" s="3">
        <v>31879.62</v>
      </c>
      <c r="O767" s="3">
        <v>1576.97</v>
      </c>
      <c r="P767" s="3">
        <v>2821</v>
      </c>
      <c r="Q767" s="3">
        <v>1128.57</v>
      </c>
      <c r="R767" s="3">
        <v>1256.9000000000001</v>
      </c>
      <c r="S767" s="3">
        <f>SUM(Table1[[#This Row],[Product_Cost]:[Other_Cost]])</f>
        <v>38663.06</v>
      </c>
      <c r="T767" s="3">
        <f>Table1[[#This Row],[Net_Sales]]-Table1[[#This Row],[Product_Cost]]</f>
        <v>26019.217311091063</v>
      </c>
      <c r="U767" s="3">
        <f>Table1[[#This Row],[Net_Sales]]-Table1[[#This Row],[Total_Cost]]</f>
        <v>19235.777311091064</v>
      </c>
      <c r="V767" s="4">
        <f>Table1[[#This Row],[Net_Profit]]/Table1[[#This Row],[Net_Sales]]</f>
        <v>0.33223080470056815</v>
      </c>
      <c r="W767" t="s">
        <v>33</v>
      </c>
      <c r="X767" t="s">
        <v>787</v>
      </c>
      <c r="Y767">
        <v>7</v>
      </c>
      <c r="Z767" t="str">
        <f>IF(Table1[[#This Row],[Month_No]]&lt;=6, "H1","H2")</f>
        <v>H2</v>
      </c>
    </row>
    <row r="768" spans="1:26" x14ac:dyDescent="0.25">
      <c r="A768" s="2">
        <v>45851</v>
      </c>
      <c r="B768" t="s">
        <v>847</v>
      </c>
      <c r="C768" t="s">
        <v>27</v>
      </c>
      <c r="D768" t="s">
        <v>56</v>
      </c>
      <c r="E768" t="s">
        <v>57</v>
      </c>
      <c r="F768" t="s">
        <v>46</v>
      </c>
      <c r="G768" t="s">
        <v>58</v>
      </c>
      <c r="H768" t="s">
        <v>41</v>
      </c>
      <c r="I768">
        <v>57.054327555137633</v>
      </c>
      <c r="J768" s="3">
        <v>3144.11</v>
      </c>
      <c r="K768" s="3">
        <f>Table1[[#This Row],[Quantity]]*Table1[[#This Row],[Unit_Price]]</f>
        <v>179385.08180938379</v>
      </c>
      <c r="L768" s="3">
        <v>9604.2199999999993</v>
      </c>
      <c r="M768" s="3">
        <f>Table1[[#This Row],[Gross_Sales]]-Table1[[#This Row],[Discount]]</f>
        <v>169780.86180938379</v>
      </c>
      <c r="N768" s="3">
        <v>83919.02</v>
      </c>
      <c r="O768" s="3">
        <v>3809.71</v>
      </c>
      <c r="P768" s="3">
        <v>8221.6299999999992</v>
      </c>
      <c r="Q768" s="3">
        <v>3702.56</v>
      </c>
      <c r="R768" s="3">
        <v>2374.6999999999998</v>
      </c>
      <c r="S768" s="3">
        <f>SUM(Table1[[#This Row],[Product_Cost]:[Other_Cost]])</f>
        <v>102027.62000000001</v>
      </c>
      <c r="T768" s="3">
        <f>Table1[[#This Row],[Net_Sales]]-Table1[[#This Row],[Product_Cost]]</f>
        <v>85861.841809383783</v>
      </c>
      <c r="U768" s="3">
        <f>Table1[[#This Row],[Net_Sales]]-Table1[[#This Row],[Total_Cost]]</f>
        <v>67753.241809383777</v>
      </c>
      <c r="V768" s="4">
        <f>Table1[[#This Row],[Net_Profit]]/Table1[[#This Row],[Net_Sales]]</f>
        <v>0.39906289252702482</v>
      </c>
      <c r="W768" t="s">
        <v>33</v>
      </c>
      <c r="X768" t="s">
        <v>787</v>
      </c>
      <c r="Y768">
        <v>7</v>
      </c>
      <c r="Z768" t="str">
        <f>IF(Table1[[#This Row],[Month_No]]&lt;=6, "H1","H2")</f>
        <v>H2</v>
      </c>
    </row>
    <row r="769" spans="1:26" x14ac:dyDescent="0.25">
      <c r="A769" s="2">
        <v>45852</v>
      </c>
      <c r="B769" t="s">
        <v>848</v>
      </c>
      <c r="C769" t="s">
        <v>43</v>
      </c>
      <c r="D769" t="s">
        <v>68</v>
      </c>
      <c r="E769" t="s">
        <v>29</v>
      </c>
      <c r="F769" t="s">
        <v>30</v>
      </c>
      <c r="G769" t="s">
        <v>31</v>
      </c>
      <c r="H769" t="s">
        <v>59</v>
      </c>
      <c r="I769">
        <v>147.4620086199875</v>
      </c>
      <c r="J769" s="3">
        <v>386.14</v>
      </c>
      <c r="K769" s="3">
        <f>Table1[[#This Row],[Quantity]]*Table1[[#This Row],[Unit_Price]]</f>
        <v>56940.980008521969</v>
      </c>
      <c r="L769" s="3">
        <v>2269.61</v>
      </c>
      <c r="M769" s="3">
        <f>Table1[[#This Row],[Gross_Sales]]-Table1[[#This Row],[Discount]]</f>
        <v>54671.370008521968</v>
      </c>
      <c r="N769" s="3">
        <v>37522.9</v>
      </c>
      <c r="O769" s="3">
        <v>1480.24</v>
      </c>
      <c r="P769" s="3">
        <v>3219.38</v>
      </c>
      <c r="Q769" s="3">
        <v>1140.0899999999999</v>
      </c>
      <c r="R769" s="3">
        <v>724.06</v>
      </c>
      <c r="S769" s="3">
        <f>SUM(Table1[[#This Row],[Product_Cost]:[Other_Cost]])</f>
        <v>44086.669999999991</v>
      </c>
      <c r="T769" s="3">
        <f>Table1[[#This Row],[Net_Sales]]-Table1[[#This Row],[Product_Cost]]</f>
        <v>17148.470008521967</v>
      </c>
      <c r="U769" s="3">
        <f>Table1[[#This Row],[Net_Sales]]-Table1[[#This Row],[Total_Cost]]</f>
        <v>10584.700008521977</v>
      </c>
      <c r="V769" s="4">
        <f>Table1[[#This Row],[Net_Profit]]/Table1[[#This Row],[Net_Sales]]</f>
        <v>0.1936059039104393</v>
      </c>
      <c r="W769" t="s">
        <v>33</v>
      </c>
      <c r="X769" t="s">
        <v>787</v>
      </c>
      <c r="Y769">
        <v>7</v>
      </c>
      <c r="Z769" t="str">
        <f>IF(Table1[[#This Row],[Month_No]]&lt;=6, "H1","H2")</f>
        <v>H2</v>
      </c>
    </row>
    <row r="770" spans="1:26" x14ac:dyDescent="0.25">
      <c r="A770" s="2">
        <v>45852</v>
      </c>
      <c r="B770" t="s">
        <v>849</v>
      </c>
      <c r="C770" t="s">
        <v>55</v>
      </c>
      <c r="D770" t="s">
        <v>44</v>
      </c>
      <c r="E770" t="s">
        <v>45</v>
      </c>
      <c r="F770" t="s">
        <v>52</v>
      </c>
      <c r="G770" t="s">
        <v>40</v>
      </c>
      <c r="H770" t="s">
        <v>59</v>
      </c>
      <c r="I770">
        <v>27.960527102519102</v>
      </c>
      <c r="J770" s="3">
        <v>4761.68</v>
      </c>
      <c r="K770" s="3">
        <f>Table1[[#This Row],[Quantity]]*Table1[[#This Row],[Unit_Price]]</f>
        <v>133139.08269352317</v>
      </c>
      <c r="L770" s="3">
        <v>4914.3</v>
      </c>
      <c r="M770" s="3">
        <f>Table1[[#This Row],[Gross_Sales]]-Table1[[#This Row],[Discount]]</f>
        <v>128224.78269352317</v>
      </c>
      <c r="N770" s="3">
        <v>80550.570000000007</v>
      </c>
      <c r="O770" s="3">
        <v>2198.09</v>
      </c>
      <c r="P770" s="3">
        <v>6576.46</v>
      </c>
      <c r="Q770" s="3">
        <v>3966.2</v>
      </c>
      <c r="R770" s="3">
        <v>1617.87</v>
      </c>
      <c r="S770" s="3">
        <f>SUM(Table1[[#This Row],[Product_Cost]:[Other_Cost]])</f>
        <v>94909.19</v>
      </c>
      <c r="T770" s="3">
        <f>Table1[[#This Row],[Net_Sales]]-Table1[[#This Row],[Product_Cost]]</f>
        <v>47674.212693523164</v>
      </c>
      <c r="U770" s="3">
        <f>Table1[[#This Row],[Net_Sales]]-Table1[[#This Row],[Total_Cost]]</f>
        <v>33315.592693523169</v>
      </c>
      <c r="V770" s="4">
        <f>Table1[[#This Row],[Net_Profit]]/Table1[[#This Row],[Net_Sales]]</f>
        <v>0.25982179102734398</v>
      </c>
      <c r="W770" t="s">
        <v>72</v>
      </c>
      <c r="X770" t="s">
        <v>787</v>
      </c>
      <c r="Y770">
        <v>7</v>
      </c>
      <c r="Z770" t="str">
        <f>IF(Table1[[#This Row],[Month_No]]&lt;=6, "H1","H2")</f>
        <v>H2</v>
      </c>
    </row>
    <row r="771" spans="1:26" x14ac:dyDescent="0.25">
      <c r="A771" s="2">
        <v>45852</v>
      </c>
      <c r="B771" t="s">
        <v>850</v>
      </c>
      <c r="C771" t="s">
        <v>78</v>
      </c>
      <c r="D771" t="s">
        <v>74</v>
      </c>
      <c r="E771" t="s">
        <v>75</v>
      </c>
      <c r="F771" t="s">
        <v>52</v>
      </c>
      <c r="G771" t="s">
        <v>86</v>
      </c>
      <c r="H771" t="s">
        <v>41</v>
      </c>
      <c r="I771">
        <v>55.195101975607443</v>
      </c>
      <c r="J771" s="3">
        <v>5792.62</v>
      </c>
      <c r="K771" s="3">
        <f>Table1[[#This Row],[Quantity]]*Table1[[#This Row],[Unit_Price]]</f>
        <v>319724.25160594319</v>
      </c>
      <c r="L771" s="3">
        <v>16597.099999999999</v>
      </c>
      <c r="M771" s="3">
        <f>Table1[[#This Row],[Gross_Sales]]-Table1[[#This Row],[Discount]]</f>
        <v>303127.15160594322</v>
      </c>
      <c r="N771" s="3">
        <v>209879.31</v>
      </c>
      <c r="O771" s="3">
        <v>5630.73</v>
      </c>
      <c r="P771" s="3">
        <v>15266.72</v>
      </c>
      <c r="Q771" s="3">
        <v>6555.45</v>
      </c>
      <c r="R771" s="3">
        <v>4766.2299999999996</v>
      </c>
      <c r="S771" s="3">
        <f>SUM(Table1[[#This Row],[Product_Cost]:[Other_Cost]])</f>
        <v>242098.44000000003</v>
      </c>
      <c r="T771" s="3">
        <f>Table1[[#This Row],[Net_Sales]]-Table1[[#This Row],[Product_Cost]]</f>
        <v>93247.84160594322</v>
      </c>
      <c r="U771" s="3">
        <f>Table1[[#This Row],[Net_Sales]]-Table1[[#This Row],[Total_Cost]]</f>
        <v>61028.711605943186</v>
      </c>
      <c r="V771" s="4">
        <f>Table1[[#This Row],[Net_Profit]]/Table1[[#This Row],[Net_Sales]]</f>
        <v>0.20133040304247901</v>
      </c>
      <c r="W771" t="s">
        <v>33</v>
      </c>
      <c r="X771" t="s">
        <v>787</v>
      </c>
      <c r="Y771">
        <v>7</v>
      </c>
      <c r="Z771" t="str">
        <f>IF(Table1[[#This Row],[Month_No]]&lt;=6, "H1","H2")</f>
        <v>H2</v>
      </c>
    </row>
    <row r="772" spans="1:26" x14ac:dyDescent="0.25">
      <c r="A772" s="2">
        <v>45852</v>
      </c>
      <c r="B772" t="s">
        <v>851</v>
      </c>
      <c r="C772" t="s">
        <v>27</v>
      </c>
      <c r="D772" t="s">
        <v>68</v>
      </c>
      <c r="E772" t="s">
        <v>29</v>
      </c>
      <c r="F772" t="s">
        <v>39</v>
      </c>
      <c r="G772" t="s">
        <v>58</v>
      </c>
      <c r="H772" t="s">
        <v>59</v>
      </c>
      <c r="I772">
        <v>130.72482241703071</v>
      </c>
      <c r="J772" s="3">
        <v>371.01</v>
      </c>
      <c r="K772" s="3">
        <f>Table1[[#This Row],[Quantity]]*Table1[[#This Row],[Unit_Price]]</f>
        <v>48500.216364942564</v>
      </c>
      <c r="L772" s="3">
        <v>1922.65</v>
      </c>
      <c r="M772" s="3">
        <f>Table1[[#This Row],[Gross_Sales]]-Table1[[#This Row],[Discount]]</f>
        <v>46577.566364942562</v>
      </c>
      <c r="N772" s="3">
        <v>32138.51</v>
      </c>
      <c r="O772" s="3">
        <v>1413.04</v>
      </c>
      <c r="P772" s="3">
        <v>2620.9499999999998</v>
      </c>
      <c r="Q772" s="3">
        <v>1018.78</v>
      </c>
      <c r="R772" s="3">
        <v>901.98</v>
      </c>
      <c r="S772" s="3">
        <f>SUM(Table1[[#This Row],[Product_Cost]:[Other_Cost]])</f>
        <v>38093.259999999995</v>
      </c>
      <c r="T772" s="3">
        <f>Table1[[#This Row],[Net_Sales]]-Table1[[#This Row],[Product_Cost]]</f>
        <v>14439.056364942564</v>
      </c>
      <c r="U772" s="3">
        <f>Table1[[#This Row],[Net_Sales]]-Table1[[#This Row],[Total_Cost]]</f>
        <v>8484.3063649425676</v>
      </c>
      <c r="V772" s="4">
        <f>Table1[[#This Row],[Net_Profit]]/Table1[[#This Row],[Net_Sales]]</f>
        <v>0.182154350840632</v>
      </c>
      <c r="W772" t="s">
        <v>33</v>
      </c>
      <c r="X772" t="s">
        <v>787</v>
      </c>
      <c r="Y772">
        <v>7</v>
      </c>
      <c r="Z772" t="str">
        <f>IF(Table1[[#This Row],[Month_No]]&lt;=6, "H1","H2")</f>
        <v>H2</v>
      </c>
    </row>
    <row r="773" spans="1:26" x14ac:dyDescent="0.25">
      <c r="A773" s="2">
        <v>45852</v>
      </c>
      <c r="B773" t="s">
        <v>852</v>
      </c>
      <c r="C773" t="s">
        <v>117</v>
      </c>
      <c r="D773" t="s">
        <v>50</v>
      </c>
      <c r="E773" t="s">
        <v>51</v>
      </c>
      <c r="F773" t="s">
        <v>30</v>
      </c>
      <c r="G773" t="s">
        <v>40</v>
      </c>
      <c r="H773" t="s">
        <v>59</v>
      </c>
      <c r="I773">
        <v>52.105369586912772</v>
      </c>
      <c r="J773" s="3">
        <v>865.97</v>
      </c>
      <c r="K773" s="3">
        <f>Table1[[#This Row],[Quantity]]*Table1[[#This Row],[Unit_Price]]</f>
        <v>45121.686901178851</v>
      </c>
      <c r="L773" s="3">
        <v>1682.7</v>
      </c>
      <c r="M773" s="3">
        <f>Table1[[#This Row],[Gross_Sales]]-Table1[[#This Row],[Discount]]</f>
        <v>43438.986901178854</v>
      </c>
      <c r="N773" s="3">
        <v>26568.7</v>
      </c>
      <c r="O773" s="3">
        <v>1005.3</v>
      </c>
      <c r="P773" s="3">
        <v>2284.61</v>
      </c>
      <c r="Q773" s="3">
        <v>1184.8499999999999</v>
      </c>
      <c r="R773" s="3">
        <v>880.61</v>
      </c>
      <c r="S773" s="3">
        <f>SUM(Table1[[#This Row],[Product_Cost]:[Other_Cost]])</f>
        <v>31924.07</v>
      </c>
      <c r="T773" s="3">
        <f>Table1[[#This Row],[Net_Sales]]-Table1[[#This Row],[Product_Cost]]</f>
        <v>16870.286901178853</v>
      </c>
      <c r="U773" s="3">
        <f>Table1[[#This Row],[Net_Sales]]-Table1[[#This Row],[Total_Cost]]</f>
        <v>11514.916901178854</v>
      </c>
      <c r="V773" s="4">
        <f>Table1[[#This Row],[Net_Profit]]/Table1[[#This Row],[Net_Sales]]</f>
        <v>0.26508253812121851</v>
      </c>
      <c r="W773" t="s">
        <v>33</v>
      </c>
      <c r="X773" t="s">
        <v>787</v>
      </c>
      <c r="Y773">
        <v>7</v>
      </c>
      <c r="Z773" t="str">
        <f>IF(Table1[[#This Row],[Month_No]]&lt;=6, "H1","H2")</f>
        <v>H2</v>
      </c>
    </row>
    <row r="774" spans="1:26" x14ac:dyDescent="0.25">
      <c r="A774" s="2">
        <v>45852</v>
      </c>
      <c r="B774" t="s">
        <v>853</v>
      </c>
      <c r="C774" t="s">
        <v>98</v>
      </c>
      <c r="D774" t="s">
        <v>81</v>
      </c>
      <c r="E774" t="s">
        <v>45</v>
      </c>
      <c r="F774" t="s">
        <v>39</v>
      </c>
      <c r="G774" t="s">
        <v>86</v>
      </c>
      <c r="H774" t="s">
        <v>32</v>
      </c>
      <c r="I774">
        <v>47.696090634733217</v>
      </c>
      <c r="J774" s="3">
        <v>6530.99</v>
      </c>
      <c r="K774" s="3">
        <f>Table1[[#This Row],[Quantity]]*Table1[[#This Row],[Unit_Price]]</f>
        <v>311502.69097453629</v>
      </c>
      <c r="L774" s="3">
        <v>16213.33</v>
      </c>
      <c r="M774" s="3">
        <f>Table1[[#This Row],[Gross_Sales]]-Table1[[#This Row],[Discount]]</f>
        <v>295289.36097453628</v>
      </c>
      <c r="N774" s="3">
        <v>158885.64000000001</v>
      </c>
      <c r="O774" s="3">
        <v>8702.1</v>
      </c>
      <c r="P774" s="3">
        <v>14737.55</v>
      </c>
      <c r="Q774" s="3">
        <v>8946.59</v>
      </c>
      <c r="R774" s="3">
        <v>5365.92</v>
      </c>
      <c r="S774" s="3">
        <f>SUM(Table1[[#This Row],[Product_Cost]:[Other_Cost]])</f>
        <v>196637.80000000002</v>
      </c>
      <c r="T774" s="3">
        <f>Table1[[#This Row],[Net_Sales]]-Table1[[#This Row],[Product_Cost]]</f>
        <v>136403.72097453626</v>
      </c>
      <c r="U774" s="3">
        <f>Table1[[#This Row],[Net_Sales]]-Table1[[#This Row],[Total_Cost]]</f>
        <v>98651.56097453626</v>
      </c>
      <c r="V774" s="4">
        <f>Table1[[#This Row],[Net_Profit]]/Table1[[#This Row],[Net_Sales]]</f>
        <v>0.33408437286382048</v>
      </c>
      <c r="W774" t="s">
        <v>72</v>
      </c>
      <c r="X774" t="s">
        <v>787</v>
      </c>
      <c r="Y774">
        <v>7</v>
      </c>
      <c r="Z774" t="str">
        <f>IF(Table1[[#This Row],[Month_No]]&lt;=6, "H1","H2")</f>
        <v>H2</v>
      </c>
    </row>
    <row r="775" spans="1:26" x14ac:dyDescent="0.25">
      <c r="A775" s="2">
        <v>45853</v>
      </c>
      <c r="B775" t="s">
        <v>854</v>
      </c>
      <c r="C775" t="s">
        <v>70</v>
      </c>
      <c r="D775" t="s">
        <v>74</v>
      </c>
      <c r="E775" t="s">
        <v>75</v>
      </c>
      <c r="F775" t="s">
        <v>52</v>
      </c>
      <c r="G775" t="s">
        <v>58</v>
      </c>
      <c r="H775" t="s">
        <v>47</v>
      </c>
      <c r="I775">
        <v>99.225100857037233</v>
      </c>
      <c r="J775" s="3">
        <v>5596.23</v>
      </c>
      <c r="K775" s="3">
        <f>Table1[[#This Row],[Quantity]]*Table1[[#This Row],[Unit_Price]]</f>
        <v>555286.48616917746</v>
      </c>
      <c r="L775" s="3">
        <v>24929.52</v>
      </c>
      <c r="M775" s="3">
        <f>Table1[[#This Row],[Gross_Sales]]-Table1[[#This Row],[Discount]]</f>
        <v>530356.96616917744</v>
      </c>
      <c r="N775" s="3">
        <v>356571.46</v>
      </c>
      <c r="O775" s="3">
        <v>8064.03</v>
      </c>
      <c r="P775" s="3">
        <v>29277.02</v>
      </c>
      <c r="Q775" s="3">
        <v>9606.93</v>
      </c>
      <c r="R775" s="3">
        <v>11481.16</v>
      </c>
      <c r="S775" s="3">
        <f>SUM(Table1[[#This Row],[Product_Cost]:[Other_Cost]])</f>
        <v>415000.60000000003</v>
      </c>
      <c r="T775" s="3">
        <f>Table1[[#This Row],[Net_Sales]]-Table1[[#This Row],[Product_Cost]]</f>
        <v>173785.50616917742</v>
      </c>
      <c r="U775" s="3">
        <f>Table1[[#This Row],[Net_Sales]]-Table1[[#This Row],[Total_Cost]]</f>
        <v>115356.3661691774</v>
      </c>
      <c r="V775" s="4">
        <f>Table1[[#This Row],[Net_Profit]]/Table1[[#This Row],[Net_Sales]]</f>
        <v>0.21750702550851406</v>
      </c>
      <c r="W775" t="s">
        <v>33</v>
      </c>
      <c r="X775" t="s">
        <v>787</v>
      </c>
      <c r="Y775">
        <v>7</v>
      </c>
      <c r="Z775" t="str">
        <f>IF(Table1[[#This Row],[Month_No]]&lt;=6, "H1","H2")</f>
        <v>H2</v>
      </c>
    </row>
    <row r="776" spans="1:26" x14ac:dyDescent="0.25">
      <c r="A776" s="2">
        <v>45853</v>
      </c>
      <c r="B776" t="s">
        <v>855</v>
      </c>
      <c r="C776" t="s">
        <v>43</v>
      </c>
      <c r="D776" t="s">
        <v>44</v>
      </c>
      <c r="E776" t="s">
        <v>45</v>
      </c>
      <c r="F776" t="s">
        <v>52</v>
      </c>
      <c r="G776" t="s">
        <v>61</v>
      </c>
      <c r="H776" t="s">
        <v>41</v>
      </c>
      <c r="I776">
        <v>82.598958662377029</v>
      </c>
      <c r="J776" s="3">
        <v>4545.5</v>
      </c>
      <c r="K776" s="3">
        <f>Table1[[#This Row],[Quantity]]*Table1[[#This Row],[Unit_Price]]</f>
        <v>375453.56659983477</v>
      </c>
      <c r="L776" s="3">
        <v>20279.830000000002</v>
      </c>
      <c r="M776" s="3">
        <f>Table1[[#This Row],[Gross_Sales]]-Table1[[#This Row],[Discount]]</f>
        <v>355173.73659983475</v>
      </c>
      <c r="N776" s="3">
        <v>240112.01</v>
      </c>
      <c r="O776" s="3">
        <v>6791.25</v>
      </c>
      <c r="P776" s="3">
        <v>17653.259999999998</v>
      </c>
      <c r="Q776" s="3">
        <v>6944.94</v>
      </c>
      <c r="R776" s="3">
        <v>5189.25</v>
      </c>
      <c r="S776" s="3">
        <f>SUM(Table1[[#This Row],[Product_Cost]:[Other_Cost]])</f>
        <v>276690.71000000002</v>
      </c>
      <c r="T776" s="3">
        <f>Table1[[#This Row],[Net_Sales]]-Table1[[#This Row],[Product_Cost]]</f>
        <v>115061.72659983474</v>
      </c>
      <c r="U776" s="3">
        <f>Table1[[#This Row],[Net_Sales]]-Table1[[#This Row],[Total_Cost]]</f>
        <v>78483.026599834731</v>
      </c>
      <c r="V776" s="4">
        <f>Table1[[#This Row],[Net_Profit]]/Table1[[#This Row],[Net_Sales]]</f>
        <v>0.22097080530551608</v>
      </c>
      <c r="W776" t="s">
        <v>33</v>
      </c>
      <c r="X776" t="s">
        <v>787</v>
      </c>
      <c r="Y776">
        <v>7</v>
      </c>
      <c r="Z776" t="str">
        <f>IF(Table1[[#This Row],[Month_No]]&lt;=6, "H1","H2")</f>
        <v>H2</v>
      </c>
    </row>
    <row r="777" spans="1:26" x14ac:dyDescent="0.25">
      <c r="A777" s="2">
        <v>45853</v>
      </c>
      <c r="B777" t="s">
        <v>856</v>
      </c>
      <c r="C777" t="s">
        <v>98</v>
      </c>
      <c r="D777" t="s">
        <v>100</v>
      </c>
      <c r="E777" t="s">
        <v>75</v>
      </c>
      <c r="F777" t="s">
        <v>46</v>
      </c>
      <c r="G777" t="s">
        <v>64</v>
      </c>
      <c r="H777" t="s">
        <v>32</v>
      </c>
      <c r="I777">
        <v>48.656678441140933</v>
      </c>
      <c r="J777" s="3">
        <v>7111.16</v>
      </c>
      <c r="K777" s="3">
        <f>Table1[[#This Row],[Quantity]]*Table1[[#This Row],[Unit_Price]]</f>
        <v>346005.42546350375</v>
      </c>
      <c r="L777" s="3">
        <v>18210.189999999999</v>
      </c>
      <c r="M777" s="3">
        <f>Table1[[#This Row],[Gross_Sales]]-Table1[[#This Row],[Discount]]</f>
        <v>327795.23546350375</v>
      </c>
      <c r="N777" s="3">
        <v>180135.11</v>
      </c>
      <c r="O777" s="3">
        <v>6531.55</v>
      </c>
      <c r="P777" s="3">
        <v>20013.72</v>
      </c>
      <c r="Q777" s="3">
        <v>6111.36</v>
      </c>
      <c r="R777" s="3">
        <v>7106.81</v>
      </c>
      <c r="S777" s="3">
        <f>SUM(Table1[[#This Row],[Product_Cost]:[Other_Cost]])</f>
        <v>219898.54999999996</v>
      </c>
      <c r="T777" s="3">
        <f>Table1[[#This Row],[Net_Sales]]-Table1[[#This Row],[Product_Cost]]</f>
        <v>147660.12546350376</v>
      </c>
      <c r="U777" s="3">
        <f>Table1[[#This Row],[Net_Sales]]-Table1[[#This Row],[Total_Cost]]</f>
        <v>107896.68546350379</v>
      </c>
      <c r="V777" s="4">
        <f>Table1[[#This Row],[Net_Profit]]/Table1[[#This Row],[Net_Sales]]</f>
        <v>0.3291587972928815</v>
      </c>
      <c r="W777" t="s">
        <v>33</v>
      </c>
      <c r="X777" t="s">
        <v>787</v>
      </c>
      <c r="Y777">
        <v>7</v>
      </c>
      <c r="Z777" t="str">
        <f>IF(Table1[[#This Row],[Month_No]]&lt;=6, "H1","H2")</f>
        <v>H2</v>
      </c>
    </row>
    <row r="778" spans="1:26" x14ac:dyDescent="0.25">
      <c r="A778" s="2">
        <v>45853</v>
      </c>
      <c r="B778" t="s">
        <v>857</v>
      </c>
      <c r="C778" t="s">
        <v>49</v>
      </c>
      <c r="D778" t="s">
        <v>100</v>
      </c>
      <c r="E778" t="s">
        <v>75</v>
      </c>
      <c r="F778" t="s">
        <v>30</v>
      </c>
      <c r="G778" t="s">
        <v>71</v>
      </c>
      <c r="H778" t="s">
        <v>32</v>
      </c>
      <c r="I778">
        <v>30.667196426577391</v>
      </c>
      <c r="J778" s="3">
        <v>6831.02</v>
      </c>
      <c r="K778" s="3">
        <f>Table1[[#This Row],[Quantity]]*Table1[[#This Row],[Unit_Price]]</f>
        <v>209488.23213387872</v>
      </c>
      <c r="L778" s="3">
        <v>11538.74</v>
      </c>
      <c r="M778" s="3">
        <f>Table1[[#This Row],[Gross_Sales]]-Table1[[#This Row],[Discount]]</f>
        <v>197949.49213387872</v>
      </c>
      <c r="N778" s="3">
        <v>108047.58</v>
      </c>
      <c r="O778" s="3">
        <v>5720.41</v>
      </c>
      <c r="P778" s="3">
        <v>11485.65</v>
      </c>
      <c r="Q778" s="3">
        <v>4563.4799999999996</v>
      </c>
      <c r="R778" s="3">
        <v>4311.91</v>
      </c>
      <c r="S778" s="3">
        <f>SUM(Table1[[#This Row],[Product_Cost]:[Other_Cost]])</f>
        <v>134129.03</v>
      </c>
      <c r="T778" s="3">
        <f>Table1[[#This Row],[Net_Sales]]-Table1[[#This Row],[Product_Cost]]</f>
        <v>89901.912133878723</v>
      </c>
      <c r="U778" s="3">
        <f>Table1[[#This Row],[Net_Sales]]-Table1[[#This Row],[Total_Cost]]</f>
        <v>63820.462133878726</v>
      </c>
      <c r="V778" s="4">
        <f>Table1[[#This Row],[Net_Profit]]/Table1[[#This Row],[Net_Sales]]</f>
        <v>0.32240780941592506</v>
      </c>
      <c r="W778" t="s">
        <v>72</v>
      </c>
      <c r="X778" t="s">
        <v>787</v>
      </c>
      <c r="Y778">
        <v>7</v>
      </c>
      <c r="Z778" t="str">
        <f>IF(Table1[[#This Row],[Month_No]]&lt;=6, "H1","H2")</f>
        <v>H2</v>
      </c>
    </row>
    <row r="779" spans="1:26" x14ac:dyDescent="0.25">
      <c r="A779" s="2">
        <v>45854</v>
      </c>
      <c r="B779" t="s">
        <v>858</v>
      </c>
      <c r="C779" t="s">
        <v>78</v>
      </c>
      <c r="D779" t="s">
        <v>66</v>
      </c>
      <c r="E779" t="s">
        <v>51</v>
      </c>
      <c r="F779" t="s">
        <v>52</v>
      </c>
      <c r="G779" t="s">
        <v>61</v>
      </c>
      <c r="H779" t="s">
        <v>47</v>
      </c>
      <c r="I779">
        <v>60.445326801263093</v>
      </c>
      <c r="J779" s="3">
        <v>1572.42</v>
      </c>
      <c r="K779" s="3">
        <f>Table1[[#This Row],[Quantity]]*Table1[[#This Row],[Unit_Price]]</f>
        <v>95045.44076884212</v>
      </c>
      <c r="L779" s="3">
        <v>2553.81</v>
      </c>
      <c r="M779" s="3">
        <f>Table1[[#This Row],[Gross_Sales]]-Table1[[#This Row],[Discount]]</f>
        <v>92491.630768842122</v>
      </c>
      <c r="N779" s="3">
        <v>43461.27</v>
      </c>
      <c r="O779" s="3">
        <v>1499.95</v>
      </c>
      <c r="P779" s="3">
        <v>4442.3100000000004</v>
      </c>
      <c r="Q779" s="3">
        <v>2553.64</v>
      </c>
      <c r="R779" s="3">
        <v>1646.55</v>
      </c>
      <c r="S779" s="3">
        <f>SUM(Table1[[#This Row],[Product_Cost]:[Other_Cost]])</f>
        <v>53603.719999999994</v>
      </c>
      <c r="T779" s="3">
        <f>Table1[[#This Row],[Net_Sales]]-Table1[[#This Row],[Product_Cost]]</f>
        <v>49030.360768842125</v>
      </c>
      <c r="U779" s="3">
        <f>Table1[[#This Row],[Net_Sales]]-Table1[[#This Row],[Total_Cost]]</f>
        <v>38887.910768842128</v>
      </c>
      <c r="V779" s="4">
        <f>Table1[[#This Row],[Net_Profit]]/Table1[[#This Row],[Net_Sales]]</f>
        <v>0.42044788750705425</v>
      </c>
      <c r="W779" t="s">
        <v>33</v>
      </c>
      <c r="X779" t="s">
        <v>787</v>
      </c>
      <c r="Y779">
        <v>7</v>
      </c>
      <c r="Z779" t="str">
        <f>IF(Table1[[#This Row],[Month_No]]&lt;=6, "H1","H2")</f>
        <v>H2</v>
      </c>
    </row>
    <row r="780" spans="1:26" x14ac:dyDescent="0.25">
      <c r="A780" s="2">
        <v>45854</v>
      </c>
      <c r="B780" t="s">
        <v>859</v>
      </c>
      <c r="C780" t="s">
        <v>70</v>
      </c>
      <c r="D780" t="s">
        <v>183</v>
      </c>
      <c r="E780" t="s">
        <v>38</v>
      </c>
      <c r="F780" t="s">
        <v>30</v>
      </c>
      <c r="G780" t="s">
        <v>76</v>
      </c>
      <c r="H780" t="s">
        <v>32</v>
      </c>
      <c r="I780">
        <v>57.66070529314451</v>
      </c>
      <c r="J780" s="3">
        <v>6957.68</v>
      </c>
      <c r="K780" s="3">
        <f>Table1[[#This Row],[Quantity]]*Table1[[#This Row],[Unit_Price]]</f>
        <v>401184.73600400571</v>
      </c>
      <c r="L780" s="3">
        <v>14968.68</v>
      </c>
      <c r="M780" s="3">
        <f>Table1[[#This Row],[Gross_Sales]]-Table1[[#This Row],[Discount]]</f>
        <v>386216.05600400572</v>
      </c>
      <c r="N780" s="3">
        <v>201677.55</v>
      </c>
      <c r="O780" s="3">
        <v>10523.06</v>
      </c>
      <c r="P780" s="3">
        <v>20871.939999999999</v>
      </c>
      <c r="Q780" s="3">
        <v>9864.75</v>
      </c>
      <c r="R780" s="3">
        <v>8447.17</v>
      </c>
      <c r="S780" s="3">
        <f>SUM(Table1[[#This Row],[Product_Cost]:[Other_Cost]])</f>
        <v>251384.47</v>
      </c>
      <c r="T780" s="3">
        <f>Table1[[#This Row],[Net_Sales]]-Table1[[#This Row],[Product_Cost]]</f>
        <v>184538.50600400573</v>
      </c>
      <c r="U780" s="3">
        <f>Table1[[#This Row],[Net_Sales]]-Table1[[#This Row],[Total_Cost]]</f>
        <v>134831.58600400572</v>
      </c>
      <c r="V780" s="4">
        <f>Table1[[#This Row],[Net_Profit]]/Table1[[#This Row],[Net_Sales]]</f>
        <v>0.34910921984716059</v>
      </c>
      <c r="W780" t="s">
        <v>33</v>
      </c>
      <c r="X780" t="s">
        <v>787</v>
      </c>
      <c r="Y780">
        <v>7</v>
      </c>
      <c r="Z780" t="str">
        <f>IF(Table1[[#This Row],[Month_No]]&lt;=6, "H1","H2")</f>
        <v>H2</v>
      </c>
    </row>
    <row r="781" spans="1:26" x14ac:dyDescent="0.25">
      <c r="A781" s="2">
        <v>45854</v>
      </c>
      <c r="B781" t="s">
        <v>860</v>
      </c>
      <c r="C781" t="s">
        <v>36</v>
      </c>
      <c r="D781" t="s">
        <v>28</v>
      </c>
      <c r="E781" t="s">
        <v>29</v>
      </c>
      <c r="F781" t="s">
        <v>39</v>
      </c>
      <c r="G781" t="s">
        <v>61</v>
      </c>
      <c r="H781" t="s">
        <v>32</v>
      </c>
      <c r="I781">
        <v>82.870117437205991</v>
      </c>
      <c r="J781" s="3">
        <v>1247.8499999999999</v>
      </c>
      <c r="K781" s="3">
        <f>Table1[[#This Row],[Quantity]]*Table1[[#This Row],[Unit_Price]]</f>
        <v>103409.47604401749</v>
      </c>
      <c r="L781" s="3">
        <v>5386.41</v>
      </c>
      <c r="M781" s="3">
        <f>Table1[[#This Row],[Gross_Sales]]-Table1[[#This Row],[Discount]]</f>
        <v>98023.066044017483</v>
      </c>
      <c r="N781" s="3">
        <v>52217.63</v>
      </c>
      <c r="O781" s="3">
        <v>2861.03</v>
      </c>
      <c r="P781" s="3">
        <v>6043.39</v>
      </c>
      <c r="Q781" s="3">
        <v>2440.62</v>
      </c>
      <c r="R781" s="3">
        <v>1271.73</v>
      </c>
      <c r="S781" s="3">
        <f>SUM(Table1[[#This Row],[Product_Cost]:[Other_Cost]])</f>
        <v>64834.400000000001</v>
      </c>
      <c r="T781" s="3">
        <f>Table1[[#This Row],[Net_Sales]]-Table1[[#This Row],[Product_Cost]]</f>
        <v>45805.436044017486</v>
      </c>
      <c r="U781" s="3">
        <f>Table1[[#This Row],[Net_Sales]]-Table1[[#This Row],[Total_Cost]]</f>
        <v>33188.666044017482</v>
      </c>
      <c r="V781" s="4">
        <f>Table1[[#This Row],[Net_Profit]]/Table1[[#This Row],[Net_Sales]]</f>
        <v>0.33858016672437113</v>
      </c>
      <c r="W781" t="s">
        <v>33</v>
      </c>
      <c r="X781" t="s">
        <v>787</v>
      </c>
      <c r="Y781">
        <v>7</v>
      </c>
      <c r="Z781" t="str">
        <f>IF(Table1[[#This Row],[Month_No]]&lt;=6, "H1","H2")</f>
        <v>H2</v>
      </c>
    </row>
    <row r="782" spans="1:26" x14ac:dyDescent="0.25">
      <c r="A782" s="2">
        <v>45854</v>
      </c>
      <c r="B782" t="s">
        <v>861</v>
      </c>
      <c r="C782" t="s">
        <v>78</v>
      </c>
      <c r="D782" t="s">
        <v>183</v>
      </c>
      <c r="E782" t="s">
        <v>38</v>
      </c>
      <c r="F782" t="s">
        <v>52</v>
      </c>
      <c r="G782" t="s">
        <v>64</v>
      </c>
      <c r="H782" t="s">
        <v>32</v>
      </c>
      <c r="I782">
        <v>45.327676639575188</v>
      </c>
      <c r="J782" s="3">
        <v>6543.99</v>
      </c>
      <c r="K782" s="3">
        <f>Table1[[#This Row],[Quantity]]*Table1[[#This Row],[Unit_Price]]</f>
        <v>296623.86265261361</v>
      </c>
      <c r="L782" s="3">
        <v>15886.5</v>
      </c>
      <c r="M782" s="3">
        <f>Table1[[#This Row],[Gross_Sales]]-Table1[[#This Row],[Discount]]</f>
        <v>280737.36265261361</v>
      </c>
      <c r="N782" s="3">
        <v>147960.54999999999</v>
      </c>
      <c r="O782" s="3">
        <v>5002.29</v>
      </c>
      <c r="P782" s="3">
        <v>15234.07</v>
      </c>
      <c r="Q782" s="3">
        <v>5128.32</v>
      </c>
      <c r="R782" s="3">
        <v>4706.49</v>
      </c>
      <c r="S782" s="3">
        <f>SUM(Table1[[#This Row],[Product_Cost]:[Other_Cost]])</f>
        <v>178031.72</v>
      </c>
      <c r="T782" s="3">
        <f>Table1[[#This Row],[Net_Sales]]-Table1[[#This Row],[Product_Cost]]</f>
        <v>132776.81265261362</v>
      </c>
      <c r="U782" s="3">
        <f>Table1[[#This Row],[Net_Sales]]-Table1[[#This Row],[Total_Cost]]</f>
        <v>102705.64265261361</v>
      </c>
      <c r="V782" s="4">
        <f>Table1[[#This Row],[Net_Profit]]/Table1[[#This Row],[Net_Sales]]</f>
        <v>0.3658424432080396</v>
      </c>
      <c r="W782" t="s">
        <v>33</v>
      </c>
      <c r="X782" t="s">
        <v>787</v>
      </c>
      <c r="Y782">
        <v>7</v>
      </c>
      <c r="Z782" t="str">
        <f>IF(Table1[[#This Row],[Month_No]]&lt;=6, "H1","H2")</f>
        <v>H2</v>
      </c>
    </row>
    <row r="783" spans="1:26" x14ac:dyDescent="0.25">
      <c r="A783" s="2">
        <v>45854</v>
      </c>
      <c r="B783" t="s">
        <v>862</v>
      </c>
      <c r="C783" t="s">
        <v>78</v>
      </c>
      <c r="D783" t="s">
        <v>28</v>
      </c>
      <c r="E783" t="s">
        <v>29</v>
      </c>
      <c r="F783" t="s">
        <v>52</v>
      </c>
      <c r="G783" t="s">
        <v>86</v>
      </c>
      <c r="H783" t="s">
        <v>59</v>
      </c>
      <c r="I783">
        <v>77.472060883587901</v>
      </c>
      <c r="J783" s="3">
        <v>1212.6199999999999</v>
      </c>
      <c r="K783" s="3">
        <f>Table1[[#This Row],[Quantity]]*Table1[[#This Row],[Unit_Price]]</f>
        <v>93944.170468656346</v>
      </c>
      <c r="L783" s="3">
        <v>3049.85</v>
      </c>
      <c r="M783" s="3">
        <f>Table1[[#This Row],[Gross_Sales]]-Table1[[#This Row],[Discount]]</f>
        <v>90894.32046865634</v>
      </c>
      <c r="N783" s="3">
        <v>49448.19</v>
      </c>
      <c r="O783" s="3">
        <v>1519.95</v>
      </c>
      <c r="P783" s="3">
        <v>4862.24</v>
      </c>
      <c r="Q783" s="3">
        <v>2314.33</v>
      </c>
      <c r="R783" s="3">
        <v>1675.65</v>
      </c>
      <c r="S783" s="3">
        <f>SUM(Table1[[#This Row],[Product_Cost]:[Other_Cost]])</f>
        <v>59820.36</v>
      </c>
      <c r="T783" s="3">
        <f>Table1[[#This Row],[Net_Sales]]-Table1[[#This Row],[Product_Cost]]</f>
        <v>41446.130468656338</v>
      </c>
      <c r="U783" s="3">
        <f>Table1[[#This Row],[Net_Sales]]-Table1[[#This Row],[Total_Cost]]</f>
        <v>31073.96046865634</v>
      </c>
      <c r="V783" s="4">
        <f>Table1[[#This Row],[Net_Profit]]/Table1[[#This Row],[Net_Sales]]</f>
        <v>0.3418691102858486</v>
      </c>
      <c r="W783" t="s">
        <v>33</v>
      </c>
      <c r="X783" t="s">
        <v>787</v>
      </c>
      <c r="Y783">
        <v>7</v>
      </c>
      <c r="Z783" t="str">
        <f>IF(Table1[[#This Row],[Month_No]]&lt;=6, "H1","H2")</f>
        <v>H2</v>
      </c>
    </row>
    <row r="784" spans="1:26" x14ac:dyDescent="0.25">
      <c r="A784" s="2">
        <v>45855</v>
      </c>
      <c r="B784" t="s">
        <v>863</v>
      </c>
      <c r="C784" t="s">
        <v>27</v>
      </c>
      <c r="D784" t="s">
        <v>68</v>
      </c>
      <c r="E784" t="s">
        <v>29</v>
      </c>
      <c r="F784" t="s">
        <v>52</v>
      </c>
      <c r="G784" t="s">
        <v>40</v>
      </c>
      <c r="H784" t="s">
        <v>41</v>
      </c>
      <c r="I784">
        <v>67.827196862969103</v>
      </c>
      <c r="J784" s="3">
        <v>381.43</v>
      </c>
      <c r="K784" s="3">
        <f>Table1[[#This Row],[Quantity]]*Table1[[#This Row],[Unit_Price]]</f>
        <v>25871.327699442307</v>
      </c>
      <c r="L784" s="3">
        <v>1130.48</v>
      </c>
      <c r="M784" s="3">
        <f>Table1[[#This Row],[Gross_Sales]]-Table1[[#This Row],[Discount]]</f>
        <v>24740.847699442307</v>
      </c>
      <c r="N784" s="3">
        <v>18542.36</v>
      </c>
      <c r="O784" s="3">
        <v>446.22</v>
      </c>
      <c r="P784" s="3">
        <v>1516.33</v>
      </c>
      <c r="Q784" s="3">
        <v>583.25</v>
      </c>
      <c r="R784" s="3">
        <v>348.78</v>
      </c>
      <c r="S784" s="3">
        <f>SUM(Table1[[#This Row],[Product_Cost]:[Other_Cost]])</f>
        <v>21436.940000000002</v>
      </c>
      <c r="T784" s="3">
        <f>Table1[[#This Row],[Net_Sales]]-Table1[[#This Row],[Product_Cost]]</f>
        <v>6198.4876994423066</v>
      </c>
      <c r="U784" s="3">
        <f>Table1[[#This Row],[Net_Sales]]-Table1[[#This Row],[Total_Cost]]</f>
        <v>3303.9076994423049</v>
      </c>
      <c r="V784" s="4">
        <f>Table1[[#This Row],[Net_Profit]]/Table1[[#This Row],[Net_Sales]]</f>
        <v>0.13354060214827559</v>
      </c>
      <c r="W784" t="s">
        <v>33</v>
      </c>
      <c r="X784" t="s">
        <v>787</v>
      </c>
      <c r="Y784">
        <v>7</v>
      </c>
      <c r="Z784" t="str">
        <f>IF(Table1[[#This Row],[Month_No]]&lt;=6, "H1","H2")</f>
        <v>H2</v>
      </c>
    </row>
    <row r="785" spans="1:26" x14ac:dyDescent="0.25">
      <c r="A785" s="2">
        <v>45855</v>
      </c>
      <c r="B785" t="s">
        <v>864</v>
      </c>
      <c r="C785" t="s">
        <v>49</v>
      </c>
      <c r="D785" t="s">
        <v>81</v>
      </c>
      <c r="E785" t="s">
        <v>45</v>
      </c>
      <c r="F785" t="s">
        <v>52</v>
      </c>
      <c r="G785" t="s">
        <v>58</v>
      </c>
      <c r="H785" t="s">
        <v>32</v>
      </c>
      <c r="I785">
        <v>49.53864158972911</v>
      </c>
      <c r="J785" s="3">
        <v>6919.49</v>
      </c>
      <c r="K785" s="3">
        <f>Table1[[#This Row],[Quantity]]*Table1[[#This Row],[Unit_Price]]</f>
        <v>342782.13509371469</v>
      </c>
      <c r="L785" s="3">
        <v>17720.439999999999</v>
      </c>
      <c r="M785" s="3">
        <f>Table1[[#This Row],[Gross_Sales]]-Table1[[#This Row],[Discount]]</f>
        <v>325061.69509371469</v>
      </c>
      <c r="N785" s="3">
        <v>170214.87</v>
      </c>
      <c r="O785" s="3">
        <v>6146.52</v>
      </c>
      <c r="P785" s="3">
        <v>16992.43</v>
      </c>
      <c r="Q785" s="3">
        <v>10274.06</v>
      </c>
      <c r="R785" s="3">
        <v>3928.8</v>
      </c>
      <c r="S785" s="3">
        <f>SUM(Table1[[#This Row],[Product_Cost]:[Other_Cost]])</f>
        <v>207556.67999999996</v>
      </c>
      <c r="T785" s="3">
        <f>Table1[[#This Row],[Net_Sales]]-Table1[[#This Row],[Product_Cost]]</f>
        <v>154846.82509371469</v>
      </c>
      <c r="U785" s="3">
        <f>Table1[[#This Row],[Net_Sales]]-Table1[[#This Row],[Total_Cost]]</f>
        <v>117505.01509371473</v>
      </c>
      <c r="V785" s="4">
        <f>Table1[[#This Row],[Net_Profit]]/Table1[[#This Row],[Net_Sales]]</f>
        <v>0.36148527146466225</v>
      </c>
      <c r="W785" t="s">
        <v>33</v>
      </c>
      <c r="X785" t="s">
        <v>787</v>
      </c>
      <c r="Y785">
        <v>7</v>
      </c>
      <c r="Z785" t="str">
        <f>IF(Table1[[#This Row],[Month_No]]&lt;=6, "H1","H2")</f>
        <v>H2</v>
      </c>
    </row>
    <row r="786" spans="1:26" x14ac:dyDescent="0.25">
      <c r="A786" s="2">
        <v>45856</v>
      </c>
      <c r="B786" t="s">
        <v>865</v>
      </c>
      <c r="C786" t="s">
        <v>117</v>
      </c>
      <c r="D786" t="s">
        <v>100</v>
      </c>
      <c r="E786" t="s">
        <v>75</v>
      </c>
      <c r="F786" t="s">
        <v>52</v>
      </c>
      <c r="G786" t="s">
        <v>71</v>
      </c>
      <c r="H786" t="s">
        <v>59</v>
      </c>
      <c r="I786">
        <v>49.215433372569088</v>
      </c>
      <c r="J786" s="3">
        <v>7045.56</v>
      </c>
      <c r="K786" s="3">
        <f>Table1[[#This Row],[Quantity]]*Table1[[#This Row],[Unit_Price]]</f>
        <v>346750.28875243786</v>
      </c>
      <c r="L786" s="3">
        <v>11727.08</v>
      </c>
      <c r="M786" s="3">
        <f>Table1[[#This Row],[Gross_Sales]]-Table1[[#This Row],[Discount]]</f>
        <v>335023.20875243784</v>
      </c>
      <c r="N786" s="3">
        <v>193583.53</v>
      </c>
      <c r="O786" s="3">
        <v>7131.3</v>
      </c>
      <c r="P786" s="3">
        <v>16572.439999999999</v>
      </c>
      <c r="Q786" s="3">
        <v>6734.33</v>
      </c>
      <c r="R786" s="3">
        <v>5794.1</v>
      </c>
      <c r="S786" s="3">
        <f>SUM(Table1[[#This Row],[Product_Cost]:[Other_Cost]])</f>
        <v>229815.69999999998</v>
      </c>
      <c r="T786" s="3">
        <f>Table1[[#This Row],[Net_Sales]]-Table1[[#This Row],[Product_Cost]]</f>
        <v>141439.67875243785</v>
      </c>
      <c r="U786" s="3">
        <f>Table1[[#This Row],[Net_Sales]]-Table1[[#This Row],[Total_Cost]]</f>
        <v>105207.50875243786</v>
      </c>
      <c r="V786" s="4">
        <f>Table1[[#This Row],[Net_Profit]]/Table1[[#This Row],[Net_Sales]]</f>
        <v>0.3140305089435757</v>
      </c>
      <c r="W786" t="s">
        <v>72</v>
      </c>
      <c r="X786" t="s">
        <v>787</v>
      </c>
      <c r="Y786">
        <v>7</v>
      </c>
      <c r="Z786" t="str">
        <f>IF(Table1[[#This Row],[Month_No]]&lt;=6, "H1","H2")</f>
        <v>H2</v>
      </c>
    </row>
    <row r="787" spans="1:26" x14ac:dyDescent="0.25">
      <c r="A787" s="2">
        <v>45856</v>
      </c>
      <c r="B787" t="s">
        <v>866</v>
      </c>
      <c r="C787" t="s">
        <v>83</v>
      </c>
      <c r="D787" t="s">
        <v>100</v>
      </c>
      <c r="E787" t="s">
        <v>75</v>
      </c>
      <c r="F787" t="s">
        <v>30</v>
      </c>
      <c r="G787" t="s">
        <v>76</v>
      </c>
      <c r="H787" t="s">
        <v>32</v>
      </c>
      <c r="I787">
        <v>38.765677668385543</v>
      </c>
      <c r="J787" s="3">
        <v>7190.03</v>
      </c>
      <c r="K787" s="3">
        <f>Table1[[#This Row],[Quantity]]*Table1[[#This Row],[Unit_Price]]</f>
        <v>278726.38540602208</v>
      </c>
      <c r="L787" s="3">
        <v>15608.34</v>
      </c>
      <c r="M787" s="3">
        <f>Table1[[#This Row],[Gross_Sales]]-Table1[[#This Row],[Discount]]</f>
        <v>263118.04540602205</v>
      </c>
      <c r="N787" s="3">
        <v>150141.12</v>
      </c>
      <c r="O787" s="3">
        <v>6705.72</v>
      </c>
      <c r="P787" s="3">
        <v>14539.77</v>
      </c>
      <c r="Q787" s="3">
        <v>6466.07</v>
      </c>
      <c r="R787" s="3">
        <v>3195.97</v>
      </c>
      <c r="S787" s="3">
        <f>SUM(Table1[[#This Row],[Product_Cost]:[Other_Cost]])</f>
        <v>181048.65</v>
      </c>
      <c r="T787" s="3">
        <f>Table1[[#This Row],[Net_Sales]]-Table1[[#This Row],[Product_Cost]]</f>
        <v>112976.92540602206</v>
      </c>
      <c r="U787" s="3">
        <f>Table1[[#This Row],[Net_Sales]]-Table1[[#This Row],[Total_Cost]]</f>
        <v>82069.395406022057</v>
      </c>
      <c r="V787" s="4">
        <f>Table1[[#This Row],[Net_Profit]]/Table1[[#This Row],[Net_Sales]]</f>
        <v>0.31191093442253015</v>
      </c>
      <c r="W787" t="s">
        <v>33</v>
      </c>
      <c r="X787" t="s">
        <v>787</v>
      </c>
      <c r="Y787">
        <v>7</v>
      </c>
      <c r="Z787" t="str">
        <f>IF(Table1[[#This Row],[Month_No]]&lt;=6, "H1","H2")</f>
        <v>H2</v>
      </c>
    </row>
    <row r="788" spans="1:26" x14ac:dyDescent="0.25">
      <c r="A788" s="2">
        <v>45856</v>
      </c>
      <c r="B788" t="s">
        <v>867</v>
      </c>
      <c r="C788" t="s">
        <v>55</v>
      </c>
      <c r="D788" t="s">
        <v>100</v>
      </c>
      <c r="E788" t="s">
        <v>75</v>
      </c>
      <c r="F788" t="s">
        <v>46</v>
      </c>
      <c r="G788" t="s">
        <v>31</v>
      </c>
      <c r="H788" t="s">
        <v>47</v>
      </c>
      <c r="I788">
        <v>34.355973236695007</v>
      </c>
      <c r="J788" s="3">
        <v>7304.43</v>
      </c>
      <c r="K788" s="3">
        <f>Table1[[#This Row],[Quantity]]*Table1[[#This Row],[Unit_Price]]</f>
        <v>250950.80158931212</v>
      </c>
      <c r="L788" s="3">
        <v>8599.4500000000007</v>
      </c>
      <c r="M788" s="3">
        <f>Table1[[#This Row],[Gross_Sales]]-Table1[[#This Row],[Discount]]</f>
        <v>242351.35158931211</v>
      </c>
      <c r="N788" s="3">
        <v>137278.04</v>
      </c>
      <c r="O788" s="3">
        <v>5847.99</v>
      </c>
      <c r="P788" s="3">
        <v>14939.09</v>
      </c>
      <c r="Q788" s="3">
        <v>6669.83</v>
      </c>
      <c r="R788" s="3">
        <v>3452.88</v>
      </c>
      <c r="S788" s="3">
        <f>SUM(Table1[[#This Row],[Product_Cost]:[Other_Cost]])</f>
        <v>168187.83</v>
      </c>
      <c r="T788" s="3">
        <f>Table1[[#This Row],[Net_Sales]]-Table1[[#This Row],[Product_Cost]]</f>
        <v>105073.3115893121</v>
      </c>
      <c r="U788" s="3">
        <f>Table1[[#This Row],[Net_Sales]]-Table1[[#This Row],[Total_Cost]]</f>
        <v>74163.52158931212</v>
      </c>
      <c r="V788" s="4">
        <f>Table1[[#This Row],[Net_Profit]]/Table1[[#This Row],[Net_Sales]]</f>
        <v>0.30601653798485684</v>
      </c>
      <c r="W788" t="s">
        <v>33</v>
      </c>
      <c r="X788" t="s">
        <v>787</v>
      </c>
      <c r="Y788">
        <v>7</v>
      </c>
      <c r="Z788" t="str">
        <f>IF(Table1[[#This Row],[Month_No]]&lt;=6, "H1","H2")</f>
        <v>H2</v>
      </c>
    </row>
    <row r="789" spans="1:26" x14ac:dyDescent="0.25">
      <c r="A789" s="2">
        <v>45856</v>
      </c>
      <c r="B789" t="s">
        <v>868</v>
      </c>
      <c r="C789" t="s">
        <v>27</v>
      </c>
      <c r="D789" t="s">
        <v>66</v>
      </c>
      <c r="E789" t="s">
        <v>51</v>
      </c>
      <c r="F789" t="s">
        <v>52</v>
      </c>
      <c r="G789" t="s">
        <v>64</v>
      </c>
      <c r="H789" t="s">
        <v>47</v>
      </c>
      <c r="I789">
        <v>29.14208929923165</v>
      </c>
      <c r="J789" s="3">
        <v>1490.93</v>
      </c>
      <c r="K789" s="3">
        <f>Table1[[#This Row],[Quantity]]*Table1[[#This Row],[Unit_Price]]</f>
        <v>43448.815198903445</v>
      </c>
      <c r="L789" s="3">
        <v>1694.33</v>
      </c>
      <c r="M789" s="3">
        <f>Table1[[#This Row],[Gross_Sales]]-Table1[[#This Row],[Discount]]</f>
        <v>41754.485198903443</v>
      </c>
      <c r="N789" s="3">
        <v>20349.64</v>
      </c>
      <c r="O789" s="3">
        <v>719.03</v>
      </c>
      <c r="P789" s="3">
        <v>2296.09</v>
      </c>
      <c r="Q789" s="3">
        <v>1143.07</v>
      </c>
      <c r="R789" s="3">
        <v>688.53</v>
      </c>
      <c r="S789" s="3">
        <f>SUM(Table1[[#This Row],[Product_Cost]:[Other_Cost]])</f>
        <v>25196.359999999997</v>
      </c>
      <c r="T789" s="3">
        <f>Table1[[#This Row],[Net_Sales]]-Table1[[#This Row],[Product_Cost]]</f>
        <v>21404.845198903444</v>
      </c>
      <c r="U789" s="3">
        <f>Table1[[#This Row],[Net_Sales]]-Table1[[#This Row],[Total_Cost]]</f>
        <v>16558.125198903446</v>
      </c>
      <c r="V789" s="4">
        <f>Table1[[#This Row],[Net_Profit]]/Table1[[#This Row],[Net_Sales]]</f>
        <v>0.39655919885076912</v>
      </c>
      <c r="W789" t="s">
        <v>33</v>
      </c>
      <c r="X789" t="s">
        <v>787</v>
      </c>
      <c r="Y789">
        <v>7</v>
      </c>
      <c r="Z789" t="str">
        <f>IF(Table1[[#This Row],[Month_No]]&lt;=6, "H1","H2")</f>
        <v>H2</v>
      </c>
    </row>
    <row r="790" spans="1:26" x14ac:dyDescent="0.25">
      <c r="A790" s="2">
        <v>45856</v>
      </c>
      <c r="B790" t="s">
        <v>869</v>
      </c>
      <c r="C790" t="s">
        <v>49</v>
      </c>
      <c r="D790" t="s">
        <v>100</v>
      </c>
      <c r="E790" t="s">
        <v>75</v>
      </c>
      <c r="F790" t="s">
        <v>52</v>
      </c>
      <c r="G790" t="s">
        <v>76</v>
      </c>
      <c r="H790" t="s">
        <v>59</v>
      </c>
      <c r="I790">
        <v>38.462550629927527</v>
      </c>
      <c r="J790" s="3">
        <v>7333.24</v>
      </c>
      <c r="K790" s="3">
        <f>Table1[[#This Row],[Quantity]]*Table1[[#This Row],[Unit_Price]]</f>
        <v>282055.11478140973</v>
      </c>
      <c r="L790" s="3">
        <v>9280.32</v>
      </c>
      <c r="M790" s="3">
        <f>Table1[[#This Row],[Gross_Sales]]-Table1[[#This Row],[Discount]]</f>
        <v>272774.79478140973</v>
      </c>
      <c r="N790" s="3">
        <v>147610.97</v>
      </c>
      <c r="O790" s="3">
        <v>4796.91</v>
      </c>
      <c r="P790" s="3">
        <v>15953.23</v>
      </c>
      <c r="Q790" s="3">
        <v>5834.72</v>
      </c>
      <c r="R790" s="3">
        <v>3411.2</v>
      </c>
      <c r="S790" s="3">
        <f>SUM(Table1[[#This Row],[Product_Cost]:[Other_Cost]])</f>
        <v>177607.03000000003</v>
      </c>
      <c r="T790" s="3">
        <f>Table1[[#This Row],[Net_Sales]]-Table1[[#This Row],[Product_Cost]]</f>
        <v>125163.82478140973</v>
      </c>
      <c r="U790" s="3">
        <f>Table1[[#This Row],[Net_Sales]]-Table1[[#This Row],[Total_Cost]]</f>
        <v>95167.7647814097</v>
      </c>
      <c r="V790" s="4">
        <f>Table1[[#This Row],[Net_Profit]]/Table1[[#This Row],[Net_Sales]]</f>
        <v>0.34888767804838111</v>
      </c>
      <c r="W790" t="s">
        <v>33</v>
      </c>
      <c r="X790" t="s">
        <v>787</v>
      </c>
      <c r="Y790">
        <v>7</v>
      </c>
      <c r="Z790" t="str">
        <f>IF(Table1[[#This Row],[Month_No]]&lt;=6, "H1","H2")</f>
        <v>H2</v>
      </c>
    </row>
    <row r="791" spans="1:26" x14ac:dyDescent="0.25">
      <c r="A791" s="2">
        <v>45857</v>
      </c>
      <c r="B791" t="s">
        <v>870</v>
      </c>
      <c r="C791" t="s">
        <v>78</v>
      </c>
      <c r="D791" t="s">
        <v>56</v>
      </c>
      <c r="E791" t="s">
        <v>57</v>
      </c>
      <c r="F791" t="s">
        <v>39</v>
      </c>
      <c r="G791" t="s">
        <v>64</v>
      </c>
      <c r="H791" t="s">
        <v>59</v>
      </c>
      <c r="I791">
        <v>57.890217820650292</v>
      </c>
      <c r="J791" s="3">
        <v>3157.38</v>
      </c>
      <c r="K791" s="3">
        <f>Table1[[#This Row],[Quantity]]*Table1[[#This Row],[Unit_Price]]</f>
        <v>182781.41594256484</v>
      </c>
      <c r="L791" s="3">
        <v>6971.28</v>
      </c>
      <c r="M791" s="3">
        <f>Table1[[#This Row],[Gross_Sales]]-Table1[[#This Row],[Discount]]</f>
        <v>175810.13594256484</v>
      </c>
      <c r="N791" s="3">
        <v>89662.66</v>
      </c>
      <c r="O791" s="3">
        <v>4230.6499999999996</v>
      </c>
      <c r="P791" s="3">
        <v>10708.08</v>
      </c>
      <c r="Q791" s="3">
        <v>4267.87</v>
      </c>
      <c r="R791" s="3">
        <v>2510.14</v>
      </c>
      <c r="S791" s="3">
        <f>SUM(Table1[[#This Row],[Product_Cost]:[Other_Cost]])</f>
        <v>111379.4</v>
      </c>
      <c r="T791" s="3">
        <f>Table1[[#This Row],[Net_Sales]]-Table1[[#This Row],[Product_Cost]]</f>
        <v>86147.475942564837</v>
      </c>
      <c r="U791" s="3">
        <f>Table1[[#This Row],[Net_Sales]]-Table1[[#This Row],[Total_Cost]]</f>
        <v>64430.735942564846</v>
      </c>
      <c r="V791" s="4">
        <f>Table1[[#This Row],[Net_Profit]]/Table1[[#This Row],[Net_Sales]]</f>
        <v>0.36647907469688568</v>
      </c>
      <c r="W791" t="s">
        <v>33</v>
      </c>
      <c r="X791" t="s">
        <v>787</v>
      </c>
      <c r="Y791">
        <v>7</v>
      </c>
      <c r="Z791" t="str">
        <f>IF(Table1[[#This Row],[Month_No]]&lt;=6, "H1","H2")</f>
        <v>H2</v>
      </c>
    </row>
    <row r="792" spans="1:26" x14ac:dyDescent="0.25">
      <c r="A792" s="2">
        <v>45857</v>
      </c>
      <c r="B792" t="s">
        <v>871</v>
      </c>
      <c r="C792" t="s">
        <v>43</v>
      </c>
      <c r="D792" t="s">
        <v>50</v>
      </c>
      <c r="E792" t="s">
        <v>51</v>
      </c>
      <c r="F792" t="s">
        <v>39</v>
      </c>
      <c r="G792" t="s">
        <v>61</v>
      </c>
      <c r="H792" t="s">
        <v>41</v>
      </c>
      <c r="I792">
        <v>83.763126553433949</v>
      </c>
      <c r="J792" s="3">
        <v>903.37</v>
      </c>
      <c r="K792" s="3">
        <f>Table1[[#This Row],[Quantity]]*Table1[[#This Row],[Unit_Price]]</f>
        <v>75669.095634575628</v>
      </c>
      <c r="L792" s="3">
        <v>2656.92</v>
      </c>
      <c r="M792" s="3">
        <f>Table1[[#This Row],[Gross_Sales]]-Table1[[#This Row],[Discount]]</f>
        <v>73012.175634575629</v>
      </c>
      <c r="N792" s="3">
        <v>42936.12</v>
      </c>
      <c r="O792" s="3">
        <v>1901.88</v>
      </c>
      <c r="P792" s="3">
        <v>4097.6400000000003</v>
      </c>
      <c r="Q792" s="3">
        <v>1976.64</v>
      </c>
      <c r="R792" s="3">
        <v>1592.13</v>
      </c>
      <c r="S792" s="3">
        <f>SUM(Table1[[#This Row],[Product_Cost]:[Other_Cost]])</f>
        <v>52504.409999999996</v>
      </c>
      <c r="T792" s="3">
        <f>Table1[[#This Row],[Net_Sales]]-Table1[[#This Row],[Product_Cost]]</f>
        <v>30076.055634575627</v>
      </c>
      <c r="U792" s="3">
        <f>Table1[[#This Row],[Net_Sales]]-Table1[[#This Row],[Total_Cost]]</f>
        <v>20507.765634575633</v>
      </c>
      <c r="V792" s="4">
        <f>Table1[[#This Row],[Net_Profit]]/Table1[[#This Row],[Net_Sales]]</f>
        <v>0.28088144828359257</v>
      </c>
      <c r="W792" t="s">
        <v>33</v>
      </c>
      <c r="X792" t="s">
        <v>787</v>
      </c>
      <c r="Y792">
        <v>7</v>
      </c>
      <c r="Z792" t="str">
        <f>IF(Table1[[#This Row],[Month_No]]&lt;=6, "H1","H2")</f>
        <v>H2</v>
      </c>
    </row>
    <row r="793" spans="1:26" x14ac:dyDescent="0.25">
      <c r="A793" s="2">
        <v>45858</v>
      </c>
      <c r="B793" t="s">
        <v>872</v>
      </c>
      <c r="C793" t="s">
        <v>36</v>
      </c>
      <c r="D793" t="s">
        <v>100</v>
      </c>
      <c r="E793" t="s">
        <v>75</v>
      </c>
      <c r="F793" t="s">
        <v>39</v>
      </c>
      <c r="G793" t="s">
        <v>86</v>
      </c>
      <c r="H793" t="s">
        <v>59</v>
      </c>
      <c r="I793">
        <v>28.288310666890212</v>
      </c>
      <c r="J793" s="3">
        <v>7407.14</v>
      </c>
      <c r="K793" s="3">
        <f>Table1[[#This Row],[Quantity]]*Table1[[#This Row],[Unit_Price]]</f>
        <v>209535.47747314916</v>
      </c>
      <c r="L793" s="3">
        <v>9156.8700000000008</v>
      </c>
      <c r="M793" s="3">
        <f>Table1[[#This Row],[Gross_Sales]]-Table1[[#This Row],[Discount]]</f>
        <v>200378.60747314917</v>
      </c>
      <c r="N793" s="3">
        <v>104097.55</v>
      </c>
      <c r="O793" s="3">
        <v>6475.51</v>
      </c>
      <c r="P793" s="3">
        <v>11124.73</v>
      </c>
      <c r="Q793" s="3">
        <v>4199.3500000000004</v>
      </c>
      <c r="R793" s="3">
        <v>2775.51</v>
      </c>
      <c r="S793" s="3">
        <f>SUM(Table1[[#This Row],[Product_Cost]:[Other_Cost]])</f>
        <v>128672.65</v>
      </c>
      <c r="T793" s="3">
        <f>Table1[[#This Row],[Net_Sales]]-Table1[[#This Row],[Product_Cost]]</f>
        <v>96281.057473149165</v>
      </c>
      <c r="U793" s="3">
        <f>Table1[[#This Row],[Net_Sales]]-Table1[[#This Row],[Total_Cost]]</f>
        <v>71705.957473149174</v>
      </c>
      <c r="V793" s="4">
        <f>Table1[[#This Row],[Net_Profit]]/Table1[[#This Row],[Net_Sales]]</f>
        <v>0.357852359477834</v>
      </c>
      <c r="W793" t="s">
        <v>33</v>
      </c>
      <c r="X793" t="s">
        <v>787</v>
      </c>
      <c r="Y793">
        <v>7</v>
      </c>
      <c r="Z793" t="str">
        <f>IF(Table1[[#This Row],[Month_No]]&lt;=6, "H1","H2")</f>
        <v>H2</v>
      </c>
    </row>
    <row r="794" spans="1:26" x14ac:dyDescent="0.25">
      <c r="A794" s="2">
        <v>45858</v>
      </c>
      <c r="B794" t="s">
        <v>873</v>
      </c>
      <c r="C794" t="s">
        <v>78</v>
      </c>
      <c r="D794" t="s">
        <v>100</v>
      </c>
      <c r="E794" t="s">
        <v>75</v>
      </c>
      <c r="F794" t="s">
        <v>46</v>
      </c>
      <c r="G794" t="s">
        <v>71</v>
      </c>
      <c r="H794" t="s">
        <v>41</v>
      </c>
      <c r="I794">
        <v>10.856535212180081</v>
      </c>
      <c r="J794" s="3">
        <v>7040.27</v>
      </c>
      <c r="K794" s="3">
        <f>Table1[[#This Row],[Quantity]]*Table1[[#This Row],[Unit_Price]]</f>
        <v>76432.93915825506</v>
      </c>
      <c r="L794" s="3">
        <v>2553.25</v>
      </c>
      <c r="M794" s="3">
        <f>Table1[[#This Row],[Gross_Sales]]-Table1[[#This Row],[Discount]]</f>
        <v>73879.68915825506</v>
      </c>
      <c r="N794" s="3">
        <v>41607.449999999997</v>
      </c>
      <c r="O794" s="3">
        <v>1767.57</v>
      </c>
      <c r="P794" s="3">
        <v>3776.56</v>
      </c>
      <c r="Q794" s="3">
        <v>1816.61</v>
      </c>
      <c r="R794" s="3">
        <v>1281.3599999999999</v>
      </c>
      <c r="S794" s="3">
        <f>SUM(Table1[[#This Row],[Product_Cost]:[Other_Cost]])</f>
        <v>50249.549999999996</v>
      </c>
      <c r="T794" s="3">
        <f>Table1[[#This Row],[Net_Sales]]-Table1[[#This Row],[Product_Cost]]</f>
        <v>32272.239158255063</v>
      </c>
      <c r="U794" s="3">
        <f>Table1[[#This Row],[Net_Sales]]-Table1[[#This Row],[Total_Cost]]</f>
        <v>23630.139158255064</v>
      </c>
      <c r="V794" s="4">
        <f>Table1[[#This Row],[Net_Profit]]/Table1[[#This Row],[Net_Sales]]</f>
        <v>0.31984621791840218</v>
      </c>
      <c r="W794" t="s">
        <v>33</v>
      </c>
      <c r="X794" t="s">
        <v>787</v>
      </c>
      <c r="Y794">
        <v>7</v>
      </c>
      <c r="Z794" t="str">
        <f>IF(Table1[[#This Row],[Month_No]]&lt;=6, "H1","H2")</f>
        <v>H2</v>
      </c>
    </row>
    <row r="795" spans="1:26" x14ac:dyDescent="0.25">
      <c r="A795" s="2">
        <v>45858</v>
      </c>
      <c r="B795" t="s">
        <v>874</v>
      </c>
      <c r="C795" t="s">
        <v>83</v>
      </c>
      <c r="D795" t="s">
        <v>68</v>
      </c>
      <c r="E795" t="s">
        <v>29</v>
      </c>
      <c r="F795" t="s">
        <v>52</v>
      </c>
      <c r="G795" t="s">
        <v>58</v>
      </c>
      <c r="H795" t="s">
        <v>32</v>
      </c>
      <c r="I795">
        <v>104.08837307607359</v>
      </c>
      <c r="J795" s="3">
        <v>374.66</v>
      </c>
      <c r="K795" s="3">
        <f>Table1[[#This Row],[Quantity]]*Table1[[#This Row],[Unit_Price]]</f>
        <v>38997.749856681738</v>
      </c>
      <c r="L795" s="3">
        <v>2198.7600000000002</v>
      </c>
      <c r="M795" s="3">
        <f>Table1[[#This Row],[Gross_Sales]]-Table1[[#This Row],[Discount]]</f>
        <v>36798.989856681736</v>
      </c>
      <c r="N795" s="3">
        <v>26992.66</v>
      </c>
      <c r="O795" s="3">
        <v>693.39</v>
      </c>
      <c r="P795" s="3">
        <v>2051.64</v>
      </c>
      <c r="Q795" s="3">
        <v>1125.04</v>
      </c>
      <c r="R795" s="3">
        <v>582.79999999999995</v>
      </c>
      <c r="S795" s="3">
        <f>SUM(Table1[[#This Row],[Product_Cost]:[Other_Cost]])</f>
        <v>31445.53</v>
      </c>
      <c r="T795" s="3">
        <f>Table1[[#This Row],[Net_Sales]]-Table1[[#This Row],[Product_Cost]]</f>
        <v>9806.3298566817357</v>
      </c>
      <c r="U795" s="3">
        <f>Table1[[#This Row],[Net_Sales]]-Table1[[#This Row],[Total_Cost]]</f>
        <v>5353.4598566817367</v>
      </c>
      <c r="V795" s="4">
        <f>Table1[[#This Row],[Net_Profit]]/Table1[[#This Row],[Net_Sales]]</f>
        <v>0.14547844594461573</v>
      </c>
      <c r="W795" t="s">
        <v>33</v>
      </c>
      <c r="X795" t="s">
        <v>787</v>
      </c>
      <c r="Y795">
        <v>7</v>
      </c>
      <c r="Z795" t="str">
        <f>IF(Table1[[#This Row],[Month_No]]&lt;=6, "H1","H2")</f>
        <v>H2</v>
      </c>
    </row>
    <row r="796" spans="1:26" x14ac:dyDescent="0.25">
      <c r="A796" s="2">
        <v>45858</v>
      </c>
      <c r="B796" t="s">
        <v>875</v>
      </c>
      <c r="C796" t="s">
        <v>55</v>
      </c>
      <c r="D796" t="s">
        <v>68</v>
      </c>
      <c r="E796" t="s">
        <v>29</v>
      </c>
      <c r="F796" t="s">
        <v>52</v>
      </c>
      <c r="G796" t="s">
        <v>86</v>
      </c>
      <c r="H796" t="s">
        <v>47</v>
      </c>
      <c r="I796">
        <v>75.386372770175853</v>
      </c>
      <c r="J796" s="3">
        <v>394.12</v>
      </c>
      <c r="K796" s="3">
        <f>Table1[[#This Row],[Quantity]]*Table1[[#This Row],[Unit_Price]]</f>
        <v>29711.277236181708</v>
      </c>
      <c r="L796" s="3">
        <v>1011.46</v>
      </c>
      <c r="M796" s="3">
        <f>Table1[[#This Row],[Gross_Sales]]-Table1[[#This Row],[Discount]]</f>
        <v>28699.817236181709</v>
      </c>
      <c r="N796" s="3">
        <v>20529.650000000001</v>
      </c>
      <c r="O796" s="3">
        <v>549.33000000000004</v>
      </c>
      <c r="P796" s="3">
        <v>1762.53</v>
      </c>
      <c r="Q796" s="3">
        <v>537.79999999999995</v>
      </c>
      <c r="R796" s="3">
        <v>409.97</v>
      </c>
      <c r="S796" s="3">
        <f>SUM(Table1[[#This Row],[Product_Cost]:[Other_Cost]])</f>
        <v>23789.280000000002</v>
      </c>
      <c r="T796" s="3">
        <f>Table1[[#This Row],[Net_Sales]]-Table1[[#This Row],[Product_Cost]]</f>
        <v>8170.1672361817073</v>
      </c>
      <c r="U796" s="3">
        <f>Table1[[#This Row],[Net_Sales]]-Table1[[#This Row],[Total_Cost]]</f>
        <v>4910.5372361817062</v>
      </c>
      <c r="V796" s="4">
        <f>Table1[[#This Row],[Net_Profit]]/Table1[[#This Row],[Net_Sales]]</f>
        <v>0.17109994798123723</v>
      </c>
      <c r="W796" t="s">
        <v>33</v>
      </c>
      <c r="X796" t="s">
        <v>787</v>
      </c>
      <c r="Y796">
        <v>7</v>
      </c>
      <c r="Z796" t="str">
        <f>IF(Table1[[#This Row],[Month_No]]&lt;=6, "H1","H2")</f>
        <v>H2</v>
      </c>
    </row>
    <row r="797" spans="1:26" x14ac:dyDescent="0.25">
      <c r="A797" s="2">
        <v>45858</v>
      </c>
      <c r="B797" t="s">
        <v>876</v>
      </c>
      <c r="C797" t="s">
        <v>27</v>
      </c>
      <c r="D797" t="s">
        <v>56</v>
      </c>
      <c r="E797" t="s">
        <v>57</v>
      </c>
      <c r="F797" t="s">
        <v>39</v>
      </c>
      <c r="G797" t="s">
        <v>61</v>
      </c>
      <c r="H797" t="s">
        <v>47</v>
      </c>
      <c r="I797">
        <v>27.71126492660348</v>
      </c>
      <c r="J797" s="3">
        <v>3146.2</v>
      </c>
      <c r="K797" s="3">
        <f>Table1[[#This Row],[Quantity]]*Table1[[#This Row],[Unit_Price]]</f>
        <v>87185.181712079866</v>
      </c>
      <c r="L797" s="3">
        <v>2729.9</v>
      </c>
      <c r="M797" s="3">
        <f>Table1[[#This Row],[Gross_Sales]]-Table1[[#This Row],[Discount]]</f>
        <v>84455.281712079872</v>
      </c>
      <c r="N797" s="3">
        <v>44446.27</v>
      </c>
      <c r="O797" s="3">
        <v>2429.35</v>
      </c>
      <c r="P797" s="3">
        <v>4824.38</v>
      </c>
      <c r="Q797" s="3">
        <v>2513.12</v>
      </c>
      <c r="R797" s="3">
        <v>1598.68</v>
      </c>
      <c r="S797" s="3">
        <f>SUM(Table1[[#This Row],[Product_Cost]:[Other_Cost]])</f>
        <v>55811.799999999996</v>
      </c>
      <c r="T797" s="3">
        <f>Table1[[#This Row],[Net_Sales]]-Table1[[#This Row],[Product_Cost]]</f>
        <v>40009.011712079875</v>
      </c>
      <c r="U797" s="3">
        <f>Table1[[#This Row],[Net_Sales]]-Table1[[#This Row],[Total_Cost]]</f>
        <v>28643.481712079876</v>
      </c>
      <c r="V797" s="4">
        <f>Table1[[#This Row],[Net_Profit]]/Table1[[#This Row],[Net_Sales]]</f>
        <v>0.33915559964301106</v>
      </c>
      <c r="W797" t="s">
        <v>33</v>
      </c>
      <c r="X797" t="s">
        <v>787</v>
      </c>
      <c r="Y797">
        <v>7</v>
      </c>
      <c r="Z797" t="str">
        <f>IF(Table1[[#This Row],[Month_No]]&lt;=6, "H1","H2")</f>
        <v>H2</v>
      </c>
    </row>
    <row r="798" spans="1:26" x14ac:dyDescent="0.25">
      <c r="A798" s="2">
        <v>45858</v>
      </c>
      <c r="B798" t="s">
        <v>877</v>
      </c>
      <c r="C798" t="s">
        <v>78</v>
      </c>
      <c r="D798" t="s">
        <v>100</v>
      </c>
      <c r="E798" t="s">
        <v>75</v>
      </c>
      <c r="F798" t="s">
        <v>30</v>
      </c>
      <c r="G798" t="s">
        <v>86</v>
      </c>
      <c r="H798" t="s">
        <v>59</v>
      </c>
      <c r="I798">
        <v>48.254867364210831</v>
      </c>
      <c r="J798" s="3">
        <v>6979.01</v>
      </c>
      <c r="K798" s="3">
        <f>Table1[[#This Row],[Quantity]]*Table1[[#This Row],[Unit_Price]]</f>
        <v>336771.20188350102</v>
      </c>
      <c r="L798" s="3">
        <v>8203.86</v>
      </c>
      <c r="M798" s="3">
        <f>Table1[[#This Row],[Gross_Sales]]-Table1[[#This Row],[Discount]]</f>
        <v>328567.34188350104</v>
      </c>
      <c r="N798" s="3">
        <v>176993.21</v>
      </c>
      <c r="O798" s="3">
        <v>8997.09</v>
      </c>
      <c r="P798" s="3">
        <v>16566.73</v>
      </c>
      <c r="Q798" s="3">
        <v>8259.3700000000008</v>
      </c>
      <c r="R798" s="3">
        <v>4625.82</v>
      </c>
      <c r="S798" s="3">
        <f>SUM(Table1[[#This Row],[Product_Cost]:[Other_Cost]])</f>
        <v>215442.22</v>
      </c>
      <c r="T798" s="3">
        <f>Table1[[#This Row],[Net_Sales]]-Table1[[#This Row],[Product_Cost]]</f>
        <v>151574.13188350105</v>
      </c>
      <c r="U798" s="3">
        <f>Table1[[#This Row],[Net_Sales]]-Table1[[#This Row],[Total_Cost]]</f>
        <v>113125.12188350104</v>
      </c>
      <c r="V798" s="4">
        <f>Table1[[#This Row],[Net_Profit]]/Table1[[#This Row],[Net_Sales]]</f>
        <v>0.34429813150331723</v>
      </c>
      <c r="W798" t="s">
        <v>33</v>
      </c>
      <c r="X798" t="s">
        <v>787</v>
      </c>
      <c r="Y798">
        <v>7</v>
      </c>
      <c r="Z798" t="str">
        <f>IF(Table1[[#This Row],[Month_No]]&lt;=6, "H1","H2")</f>
        <v>H2</v>
      </c>
    </row>
    <row r="799" spans="1:26" x14ac:dyDescent="0.25">
      <c r="A799" s="2">
        <v>45858</v>
      </c>
      <c r="B799" t="s">
        <v>878</v>
      </c>
      <c r="C799" t="s">
        <v>117</v>
      </c>
      <c r="D799" t="s">
        <v>100</v>
      </c>
      <c r="E799" t="s">
        <v>75</v>
      </c>
      <c r="F799" t="s">
        <v>46</v>
      </c>
      <c r="G799" t="s">
        <v>71</v>
      </c>
      <c r="H799" t="s">
        <v>59</v>
      </c>
      <c r="I799">
        <v>30.357157188884969</v>
      </c>
      <c r="J799" s="3">
        <v>7018.05</v>
      </c>
      <c r="K799" s="3">
        <f>Table1[[#This Row],[Quantity]]*Table1[[#This Row],[Unit_Price]]</f>
        <v>213048.04700945417</v>
      </c>
      <c r="L799" s="3">
        <v>7669.69</v>
      </c>
      <c r="M799" s="3">
        <f>Table1[[#This Row],[Gross_Sales]]-Table1[[#This Row],[Discount]]</f>
        <v>205378.35700945416</v>
      </c>
      <c r="N799" s="3">
        <v>104897.9</v>
      </c>
      <c r="O799" s="3">
        <v>3532.52</v>
      </c>
      <c r="P799" s="3">
        <v>9882.36</v>
      </c>
      <c r="Q799" s="3">
        <v>5385.72</v>
      </c>
      <c r="R799" s="3">
        <v>3590.36</v>
      </c>
      <c r="S799" s="3">
        <f>SUM(Table1[[#This Row],[Product_Cost]:[Other_Cost]])</f>
        <v>127288.86</v>
      </c>
      <c r="T799" s="3">
        <f>Table1[[#This Row],[Net_Sales]]-Table1[[#This Row],[Product_Cost]]</f>
        <v>100480.45700945417</v>
      </c>
      <c r="U799" s="3">
        <f>Table1[[#This Row],[Net_Sales]]-Table1[[#This Row],[Total_Cost]]</f>
        <v>78089.497009454164</v>
      </c>
      <c r="V799" s="4">
        <f>Table1[[#This Row],[Net_Profit]]/Table1[[#This Row],[Net_Sales]]</f>
        <v>0.38022262007802254</v>
      </c>
      <c r="W799" t="s">
        <v>72</v>
      </c>
      <c r="X799" t="s">
        <v>787</v>
      </c>
      <c r="Y799">
        <v>7</v>
      </c>
      <c r="Z799" t="str">
        <f>IF(Table1[[#This Row],[Month_No]]&lt;=6, "H1","H2")</f>
        <v>H2</v>
      </c>
    </row>
    <row r="800" spans="1:26" x14ac:dyDescent="0.25">
      <c r="A800" s="2">
        <v>45859</v>
      </c>
      <c r="B800" t="s">
        <v>879</v>
      </c>
      <c r="C800" t="s">
        <v>78</v>
      </c>
      <c r="D800" t="s">
        <v>74</v>
      </c>
      <c r="E800" t="s">
        <v>75</v>
      </c>
      <c r="F800" t="s">
        <v>39</v>
      </c>
      <c r="G800" t="s">
        <v>71</v>
      </c>
      <c r="H800" t="s">
        <v>47</v>
      </c>
      <c r="I800">
        <v>69.160070120398103</v>
      </c>
      <c r="J800" s="3">
        <v>5472.03</v>
      </c>
      <c r="K800" s="3">
        <f>Table1[[#This Row],[Quantity]]*Table1[[#This Row],[Unit_Price]]</f>
        <v>378445.97850092204</v>
      </c>
      <c r="L800" s="3">
        <v>13757.37</v>
      </c>
      <c r="M800" s="3">
        <f>Table1[[#This Row],[Gross_Sales]]-Table1[[#This Row],[Discount]]</f>
        <v>364688.60850092204</v>
      </c>
      <c r="N800" s="3">
        <v>255158.74</v>
      </c>
      <c r="O800" s="3">
        <v>9206.43</v>
      </c>
      <c r="P800" s="3">
        <v>19805.099999999999</v>
      </c>
      <c r="Q800" s="3">
        <v>7234.46</v>
      </c>
      <c r="R800" s="3">
        <v>5327.5</v>
      </c>
      <c r="S800" s="3">
        <f>SUM(Table1[[#This Row],[Product_Cost]:[Other_Cost]])</f>
        <v>296732.23</v>
      </c>
      <c r="T800" s="3">
        <f>Table1[[#This Row],[Net_Sales]]-Table1[[#This Row],[Product_Cost]]</f>
        <v>109529.86850092205</v>
      </c>
      <c r="U800" s="3">
        <f>Table1[[#This Row],[Net_Sales]]-Table1[[#This Row],[Total_Cost]]</f>
        <v>67956.378500922059</v>
      </c>
      <c r="V800" s="4">
        <f>Table1[[#This Row],[Net_Profit]]/Table1[[#This Row],[Net_Sales]]</f>
        <v>0.18634083137463903</v>
      </c>
      <c r="W800" t="s">
        <v>33</v>
      </c>
      <c r="X800" t="s">
        <v>787</v>
      </c>
      <c r="Y800">
        <v>7</v>
      </c>
      <c r="Z800" t="str">
        <f>IF(Table1[[#This Row],[Month_No]]&lt;=6, "H1","H2")</f>
        <v>H2</v>
      </c>
    </row>
    <row r="801" spans="1:26" x14ac:dyDescent="0.25">
      <c r="A801" s="2">
        <v>45859</v>
      </c>
      <c r="B801" t="s">
        <v>880</v>
      </c>
      <c r="C801" t="s">
        <v>70</v>
      </c>
      <c r="D801" t="s">
        <v>50</v>
      </c>
      <c r="E801" t="s">
        <v>51</v>
      </c>
      <c r="F801" t="s">
        <v>52</v>
      </c>
      <c r="G801" t="s">
        <v>58</v>
      </c>
      <c r="H801" t="s">
        <v>32</v>
      </c>
      <c r="I801">
        <v>60.277661441816399</v>
      </c>
      <c r="J801" s="3">
        <v>890.27</v>
      </c>
      <c r="K801" s="3">
        <f>Table1[[#This Row],[Quantity]]*Table1[[#This Row],[Unit_Price]]</f>
        <v>53663.393651805884</v>
      </c>
      <c r="L801" s="3">
        <v>3018.63</v>
      </c>
      <c r="M801" s="3">
        <f>Table1[[#This Row],[Gross_Sales]]-Table1[[#This Row],[Discount]]</f>
        <v>50644.763651805886</v>
      </c>
      <c r="N801" s="3">
        <v>32391.97</v>
      </c>
      <c r="O801" s="3">
        <v>1002.35</v>
      </c>
      <c r="P801" s="3">
        <v>2492.34</v>
      </c>
      <c r="Q801" s="3">
        <v>1426.28</v>
      </c>
      <c r="R801" s="3">
        <v>843.75</v>
      </c>
      <c r="S801" s="3">
        <f>SUM(Table1[[#This Row],[Product_Cost]:[Other_Cost]])</f>
        <v>38156.69</v>
      </c>
      <c r="T801" s="3">
        <f>Table1[[#This Row],[Net_Sales]]-Table1[[#This Row],[Product_Cost]]</f>
        <v>18252.793651805885</v>
      </c>
      <c r="U801" s="3">
        <f>Table1[[#This Row],[Net_Sales]]-Table1[[#This Row],[Total_Cost]]</f>
        <v>12488.073651805884</v>
      </c>
      <c r="V801" s="4">
        <f>Table1[[#This Row],[Net_Profit]]/Table1[[#This Row],[Net_Sales]]</f>
        <v>0.24658173424727958</v>
      </c>
      <c r="W801" t="s">
        <v>33</v>
      </c>
      <c r="X801" t="s">
        <v>787</v>
      </c>
      <c r="Y801">
        <v>7</v>
      </c>
      <c r="Z801" t="str">
        <f>IF(Table1[[#This Row],[Month_No]]&lt;=6, "H1","H2")</f>
        <v>H2</v>
      </c>
    </row>
    <row r="802" spans="1:26" x14ac:dyDescent="0.25">
      <c r="A802" s="2">
        <v>45859</v>
      </c>
      <c r="B802" t="s">
        <v>881</v>
      </c>
      <c r="C802" t="s">
        <v>36</v>
      </c>
      <c r="D802" t="s">
        <v>56</v>
      </c>
      <c r="E802" t="s">
        <v>57</v>
      </c>
      <c r="F802" t="s">
        <v>46</v>
      </c>
      <c r="G802" t="s">
        <v>76</v>
      </c>
      <c r="H802" t="s">
        <v>41</v>
      </c>
      <c r="I802">
        <v>36.159649353837267</v>
      </c>
      <c r="J802" s="3">
        <v>3311.5</v>
      </c>
      <c r="K802" s="3">
        <f>Table1[[#This Row],[Quantity]]*Table1[[#This Row],[Unit_Price]]</f>
        <v>119742.67883523212</v>
      </c>
      <c r="L802" s="3">
        <v>4799.5</v>
      </c>
      <c r="M802" s="3">
        <f>Table1[[#This Row],[Gross_Sales]]-Table1[[#This Row],[Discount]]</f>
        <v>114943.17883523212</v>
      </c>
      <c r="N802" s="3">
        <v>54815.66</v>
      </c>
      <c r="O802" s="3">
        <v>2346.15</v>
      </c>
      <c r="P802" s="3">
        <v>5530.64</v>
      </c>
      <c r="Q802" s="3">
        <v>3224.09</v>
      </c>
      <c r="R802" s="3">
        <v>2512.4699999999998</v>
      </c>
      <c r="S802" s="3">
        <f>SUM(Table1[[#This Row],[Product_Cost]:[Other_Cost]])</f>
        <v>68429.010000000009</v>
      </c>
      <c r="T802" s="3">
        <f>Table1[[#This Row],[Net_Sales]]-Table1[[#This Row],[Product_Cost]]</f>
        <v>60127.518835232113</v>
      </c>
      <c r="U802" s="3">
        <f>Table1[[#This Row],[Net_Sales]]-Table1[[#This Row],[Total_Cost]]</f>
        <v>46514.168835232107</v>
      </c>
      <c r="V802" s="4">
        <f>Table1[[#This Row],[Net_Profit]]/Table1[[#This Row],[Net_Sales]]</f>
        <v>0.40467098010147162</v>
      </c>
      <c r="W802" t="s">
        <v>33</v>
      </c>
      <c r="X802" t="s">
        <v>787</v>
      </c>
      <c r="Y802">
        <v>7</v>
      </c>
      <c r="Z802" t="str">
        <f>IF(Table1[[#This Row],[Month_No]]&lt;=6, "H1","H2")</f>
        <v>H2</v>
      </c>
    </row>
    <row r="803" spans="1:26" x14ac:dyDescent="0.25">
      <c r="A803" s="2">
        <v>45860</v>
      </c>
      <c r="B803" t="s">
        <v>882</v>
      </c>
      <c r="C803" t="s">
        <v>78</v>
      </c>
      <c r="D803" t="s">
        <v>37</v>
      </c>
      <c r="E803" t="s">
        <v>38</v>
      </c>
      <c r="F803" t="s">
        <v>30</v>
      </c>
      <c r="G803" t="s">
        <v>64</v>
      </c>
      <c r="H803" t="s">
        <v>47</v>
      </c>
      <c r="I803">
        <v>45.525660967405457</v>
      </c>
      <c r="J803" s="3">
        <v>4592.87</v>
      </c>
      <c r="K803" s="3">
        <f>Table1[[#This Row],[Quantity]]*Table1[[#This Row],[Unit_Price]]</f>
        <v>209093.44248736749</v>
      </c>
      <c r="L803" s="3">
        <v>9783.27</v>
      </c>
      <c r="M803" s="3">
        <f>Table1[[#This Row],[Gross_Sales]]-Table1[[#This Row],[Discount]]</f>
        <v>199310.1724873675</v>
      </c>
      <c r="N803" s="3">
        <v>127794.25</v>
      </c>
      <c r="O803" s="3">
        <v>5405.45</v>
      </c>
      <c r="P803" s="3">
        <v>9653.33</v>
      </c>
      <c r="Q803" s="3">
        <v>3838.8</v>
      </c>
      <c r="R803" s="3">
        <v>3983.19</v>
      </c>
      <c r="S803" s="3">
        <f>SUM(Table1[[#This Row],[Product_Cost]:[Other_Cost]])</f>
        <v>150675.01999999999</v>
      </c>
      <c r="T803" s="3">
        <f>Table1[[#This Row],[Net_Sales]]-Table1[[#This Row],[Product_Cost]]</f>
        <v>71515.922487367498</v>
      </c>
      <c r="U803" s="3">
        <f>Table1[[#This Row],[Net_Sales]]-Table1[[#This Row],[Total_Cost]]</f>
        <v>48635.152487367508</v>
      </c>
      <c r="V803" s="4">
        <f>Table1[[#This Row],[Net_Profit]]/Table1[[#This Row],[Net_Sales]]</f>
        <v>0.24401741205883537</v>
      </c>
      <c r="W803" t="s">
        <v>33</v>
      </c>
      <c r="X803" t="s">
        <v>787</v>
      </c>
      <c r="Y803">
        <v>7</v>
      </c>
      <c r="Z803" t="str">
        <f>IF(Table1[[#This Row],[Month_No]]&lt;=6, "H1","H2")</f>
        <v>H2</v>
      </c>
    </row>
    <row r="804" spans="1:26" x14ac:dyDescent="0.25">
      <c r="A804" s="2">
        <v>45860</v>
      </c>
      <c r="B804" t="s">
        <v>883</v>
      </c>
      <c r="C804" t="s">
        <v>107</v>
      </c>
      <c r="D804" t="s">
        <v>100</v>
      </c>
      <c r="E804" t="s">
        <v>75</v>
      </c>
      <c r="F804" t="s">
        <v>39</v>
      </c>
      <c r="G804" t="s">
        <v>86</v>
      </c>
      <c r="H804" t="s">
        <v>41</v>
      </c>
      <c r="I804">
        <v>39.404047694378981</v>
      </c>
      <c r="J804" s="3">
        <v>7082.48</v>
      </c>
      <c r="K804" s="3">
        <f>Table1[[#This Row],[Quantity]]*Table1[[#This Row],[Unit_Price]]</f>
        <v>279078.37971448526</v>
      </c>
      <c r="L804" s="3">
        <v>14014.77</v>
      </c>
      <c r="M804" s="3">
        <f>Table1[[#This Row],[Gross_Sales]]-Table1[[#This Row],[Discount]]</f>
        <v>265063.60971448524</v>
      </c>
      <c r="N804" s="3">
        <v>146319.96</v>
      </c>
      <c r="O804" s="3">
        <v>8264.2900000000009</v>
      </c>
      <c r="P804" s="3">
        <v>13133.59</v>
      </c>
      <c r="Q804" s="3">
        <v>6927.72</v>
      </c>
      <c r="R804" s="3">
        <v>5568.28</v>
      </c>
      <c r="S804" s="3">
        <f>SUM(Table1[[#This Row],[Product_Cost]:[Other_Cost]])</f>
        <v>180213.84</v>
      </c>
      <c r="T804" s="3">
        <f>Table1[[#This Row],[Net_Sales]]-Table1[[#This Row],[Product_Cost]]</f>
        <v>118743.64971448525</v>
      </c>
      <c r="U804" s="3">
        <f>Table1[[#This Row],[Net_Sales]]-Table1[[#This Row],[Total_Cost]]</f>
        <v>84849.769714485243</v>
      </c>
      <c r="V804" s="4">
        <f>Table1[[#This Row],[Net_Profit]]/Table1[[#This Row],[Net_Sales]]</f>
        <v>0.32011097187532322</v>
      </c>
      <c r="W804" t="s">
        <v>33</v>
      </c>
      <c r="X804" t="s">
        <v>787</v>
      </c>
      <c r="Y804">
        <v>7</v>
      </c>
      <c r="Z804" t="str">
        <f>IF(Table1[[#This Row],[Month_No]]&lt;=6, "H1","H2")</f>
        <v>H2</v>
      </c>
    </row>
    <row r="805" spans="1:26" x14ac:dyDescent="0.25">
      <c r="A805" s="2">
        <v>45860</v>
      </c>
      <c r="B805" t="s">
        <v>884</v>
      </c>
      <c r="C805" t="s">
        <v>70</v>
      </c>
      <c r="D805" t="s">
        <v>28</v>
      </c>
      <c r="E805" t="s">
        <v>29</v>
      </c>
      <c r="F805" t="s">
        <v>52</v>
      </c>
      <c r="G805" t="s">
        <v>64</v>
      </c>
      <c r="H805" t="s">
        <v>41</v>
      </c>
      <c r="I805">
        <v>72.211499513463508</v>
      </c>
      <c r="J805" s="3">
        <v>1180.31</v>
      </c>
      <c r="K805" s="3">
        <f>Table1[[#This Row],[Quantity]]*Table1[[#This Row],[Unit_Price]]</f>
        <v>85231.954990736107</v>
      </c>
      <c r="L805" s="3">
        <v>3642.92</v>
      </c>
      <c r="M805" s="3">
        <f>Table1[[#This Row],[Gross_Sales]]-Table1[[#This Row],[Discount]]</f>
        <v>81589.034990736109</v>
      </c>
      <c r="N805" s="3">
        <v>41819.72</v>
      </c>
      <c r="O805" s="3">
        <v>1582.66</v>
      </c>
      <c r="P805" s="3">
        <v>4487.47</v>
      </c>
      <c r="Q805" s="3">
        <v>1474.82</v>
      </c>
      <c r="R805" s="3">
        <v>1712.58</v>
      </c>
      <c r="S805" s="3">
        <f>SUM(Table1[[#This Row],[Product_Cost]:[Other_Cost]])</f>
        <v>51077.250000000007</v>
      </c>
      <c r="T805" s="3">
        <f>Table1[[#This Row],[Net_Sales]]-Table1[[#This Row],[Product_Cost]]</f>
        <v>39769.314990736108</v>
      </c>
      <c r="U805" s="3">
        <f>Table1[[#This Row],[Net_Sales]]-Table1[[#This Row],[Total_Cost]]</f>
        <v>30511.784990736101</v>
      </c>
      <c r="V805" s="4">
        <f>Table1[[#This Row],[Net_Profit]]/Table1[[#This Row],[Net_Sales]]</f>
        <v>0.37396918586180744</v>
      </c>
      <c r="W805" t="s">
        <v>33</v>
      </c>
      <c r="X805" t="s">
        <v>787</v>
      </c>
      <c r="Y805">
        <v>7</v>
      </c>
      <c r="Z805" t="str">
        <f>IF(Table1[[#This Row],[Month_No]]&lt;=6, "H1","H2")</f>
        <v>H2</v>
      </c>
    </row>
    <row r="806" spans="1:26" x14ac:dyDescent="0.25">
      <c r="A806" s="2">
        <v>45860</v>
      </c>
      <c r="B806" t="s">
        <v>885</v>
      </c>
      <c r="C806" t="s">
        <v>36</v>
      </c>
      <c r="D806" t="s">
        <v>28</v>
      </c>
      <c r="E806" t="s">
        <v>29</v>
      </c>
      <c r="F806" t="s">
        <v>30</v>
      </c>
      <c r="G806" t="s">
        <v>58</v>
      </c>
      <c r="H806" t="s">
        <v>41</v>
      </c>
      <c r="I806">
        <v>90.055387317725916</v>
      </c>
      <c r="J806" s="3">
        <v>1255.8800000000001</v>
      </c>
      <c r="K806" s="3">
        <f>Table1[[#This Row],[Quantity]]*Table1[[#This Row],[Unit_Price]]</f>
        <v>113098.75982458564</v>
      </c>
      <c r="L806" s="3">
        <v>4639.17</v>
      </c>
      <c r="M806" s="3">
        <f>Table1[[#This Row],[Gross_Sales]]-Table1[[#This Row],[Discount]]</f>
        <v>108459.58982458564</v>
      </c>
      <c r="N806" s="3">
        <v>55993.56</v>
      </c>
      <c r="O806" s="3">
        <v>2513.7199999999998</v>
      </c>
      <c r="P806" s="3">
        <v>5545.93</v>
      </c>
      <c r="Q806" s="3">
        <v>3372.5</v>
      </c>
      <c r="R806" s="3">
        <v>1398.94</v>
      </c>
      <c r="S806" s="3">
        <f>SUM(Table1[[#This Row],[Product_Cost]:[Other_Cost]])</f>
        <v>68824.649999999994</v>
      </c>
      <c r="T806" s="3">
        <f>Table1[[#This Row],[Net_Sales]]-Table1[[#This Row],[Product_Cost]]</f>
        <v>52466.029824585639</v>
      </c>
      <c r="U806" s="3">
        <f>Table1[[#This Row],[Net_Sales]]-Table1[[#This Row],[Total_Cost]]</f>
        <v>39634.939824585643</v>
      </c>
      <c r="V806" s="4">
        <f>Table1[[#This Row],[Net_Profit]]/Table1[[#This Row],[Net_Sales]]</f>
        <v>0.36543508866932106</v>
      </c>
      <c r="W806" t="s">
        <v>33</v>
      </c>
      <c r="X806" t="s">
        <v>787</v>
      </c>
      <c r="Y806">
        <v>7</v>
      </c>
      <c r="Z806" t="str">
        <f>IF(Table1[[#This Row],[Month_No]]&lt;=6, "H1","H2")</f>
        <v>H2</v>
      </c>
    </row>
    <row r="807" spans="1:26" x14ac:dyDescent="0.25">
      <c r="A807" s="2">
        <v>45860</v>
      </c>
      <c r="B807" t="s">
        <v>886</v>
      </c>
      <c r="C807" t="s">
        <v>43</v>
      </c>
      <c r="D807" t="s">
        <v>100</v>
      </c>
      <c r="E807" t="s">
        <v>75</v>
      </c>
      <c r="F807" t="s">
        <v>52</v>
      </c>
      <c r="G807" t="s">
        <v>86</v>
      </c>
      <c r="H807" t="s">
        <v>32</v>
      </c>
      <c r="I807">
        <v>57.955838620564897</v>
      </c>
      <c r="J807" s="3">
        <v>7366.9</v>
      </c>
      <c r="K807" s="3">
        <f>Table1[[#This Row],[Quantity]]*Table1[[#This Row],[Unit_Price]]</f>
        <v>426954.86753383954</v>
      </c>
      <c r="L807" s="3">
        <v>20575.939999999999</v>
      </c>
      <c r="M807" s="3">
        <f>Table1[[#This Row],[Gross_Sales]]-Table1[[#This Row],[Discount]]</f>
        <v>406378.92753383954</v>
      </c>
      <c r="N807" s="3">
        <v>224741.13</v>
      </c>
      <c r="O807" s="3">
        <v>7788.96</v>
      </c>
      <c r="P807" s="3">
        <v>24835.99</v>
      </c>
      <c r="Q807" s="3">
        <v>8921.68</v>
      </c>
      <c r="R807" s="3">
        <v>8326.86</v>
      </c>
      <c r="S807" s="3">
        <f>SUM(Table1[[#This Row],[Product_Cost]:[Other_Cost]])</f>
        <v>274614.62</v>
      </c>
      <c r="T807" s="3">
        <f>Table1[[#This Row],[Net_Sales]]-Table1[[#This Row],[Product_Cost]]</f>
        <v>181637.79753383953</v>
      </c>
      <c r="U807" s="3">
        <f>Table1[[#This Row],[Net_Sales]]-Table1[[#This Row],[Total_Cost]]</f>
        <v>131764.30753383954</v>
      </c>
      <c r="V807" s="4">
        <f>Table1[[#This Row],[Net_Profit]]/Table1[[#This Row],[Net_Sales]]</f>
        <v>0.3242400100159411</v>
      </c>
      <c r="W807" t="s">
        <v>33</v>
      </c>
      <c r="X807" t="s">
        <v>787</v>
      </c>
      <c r="Y807">
        <v>7</v>
      </c>
      <c r="Z807" t="str">
        <f>IF(Table1[[#This Row],[Month_No]]&lt;=6, "H1","H2")</f>
        <v>H2</v>
      </c>
    </row>
    <row r="808" spans="1:26" x14ac:dyDescent="0.25">
      <c r="A808" s="2">
        <v>45860</v>
      </c>
      <c r="B808" t="s">
        <v>887</v>
      </c>
      <c r="C808" t="s">
        <v>117</v>
      </c>
      <c r="D808" t="s">
        <v>28</v>
      </c>
      <c r="E808" t="s">
        <v>29</v>
      </c>
      <c r="F808" t="s">
        <v>30</v>
      </c>
      <c r="G808" t="s">
        <v>58</v>
      </c>
      <c r="H808" t="s">
        <v>41</v>
      </c>
      <c r="I808">
        <v>52.785178758918008</v>
      </c>
      <c r="J808" s="3">
        <v>1195.02</v>
      </c>
      <c r="K808" s="3">
        <f>Table1[[#This Row],[Quantity]]*Table1[[#This Row],[Unit_Price]]</f>
        <v>63079.344320482196</v>
      </c>
      <c r="L808" s="3">
        <v>2385.5500000000002</v>
      </c>
      <c r="M808" s="3">
        <f>Table1[[#This Row],[Gross_Sales]]-Table1[[#This Row],[Discount]]</f>
        <v>60693.794320482193</v>
      </c>
      <c r="N808" s="3">
        <v>32083.84</v>
      </c>
      <c r="O808" s="3">
        <v>1527.31</v>
      </c>
      <c r="P808" s="3">
        <v>3660.27</v>
      </c>
      <c r="Q808" s="3">
        <v>1612.21</v>
      </c>
      <c r="R808" s="3">
        <v>1136.0899999999999</v>
      </c>
      <c r="S808" s="3">
        <f>SUM(Table1[[#This Row],[Product_Cost]:[Other_Cost]])</f>
        <v>40019.719999999994</v>
      </c>
      <c r="T808" s="3">
        <f>Table1[[#This Row],[Net_Sales]]-Table1[[#This Row],[Product_Cost]]</f>
        <v>28609.954320482193</v>
      </c>
      <c r="U808" s="3">
        <f>Table1[[#This Row],[Net_Sales]]-Table1[[#This Row],[Total_Cost]]</f>
        <v>20674.074320482199</v>
      </c>
      <c r="V808" s="4">
        <f>Table1[[#This Row],[Net_Profit]]/Table1[[#This Row],[Net_Sales]]</f>
        <v>0.34062912941834922</v>
      </c>
      <c r="W808" t="s">
        <v>33</v>
      </c>
      <c r="X808" t="s">
        <v>787</v>
      </c>
      <c r="Y808">
        <v>7</v>
      </c>
      <c r="Z808" t="str">
        <f>IF(Table1[[#This Row],[Month_No]]&lt;=6, "H1","H2")</f>
        <v>H2</v>
      </c>
    </row>
    <row r="809" spans="1:26" x14ac:dyDescent="0.25">
      <c r="A809" s="2">
        <v>45861</v>
      </c>
      <c r="B809" t="s">
        <v>888</v>
      </c>
      <c r="C809" t="s">
        <v>27</v>
      </c>
      <c r="D809" t="s">
        <v>28</v>
      </c>
      <c r="E809" t="s">
        <v>29</v>
      </c>
      <c r="F809" t="s">
        <v>52</v>
      </c>
      <c r="G809" t="s">
        <v>71</v>
      </c>
      <c r="H809" t="s">
        <v>41</v>
      </c>
      <c r="I809">
        <v>135.6986479066897</v>
      </c>
      <c r="J809" s="3">
        <v>1240.83</v>
      </c>
      <c r="K809" s="3">
        <f>Table1[[#This Row],[Quantity]]*Table1[[#This Row],[Unit_Price]]</f>
        <v>168378.95328205777</v>
      </c>
      <c r="L809" s="3">
        <v>6484.75</v>
      </c>
      <c r="M809" s="3">
        <f>Table1[[#This Row],[Gross_Sales]]-Table1[[#This Row],[Discount]]</f>
        <v>161894.20328205777</v>
      </c>
      <c r="N809" s="3">
        <v>90711.57</v>
      </c>
      <c r="O809" s="3">
        <v>2698.6</v>
      </c>
      <c r="P809" s="3">
        <v>9180.61</v>
      </c>
      <c r="Q809" s="3">
        <v>3858.19</v>
      </c>
      <c r="R809" s="3">
        <v>2487.33</v>
      </c>
      <c r="S809" s="3">
        <f>SUM(Table1[[#This Row],[Product_Cost]:[Other_Cost]])</f>
        <v>108936.30000000002</v>
      </c>
      <c r="T809" s="3">
        <f>Table1[[#This Row],[Net_Sales]]-Table1[[#This Row],[Product_Cost]]</f>
        <v>71182.633282057766</v>
      </c>
      <c r="U809" s="3">
        <f>Table1[[#This Row],[Net_Sales]]-Table1[[#This Row],[Total_Cost]]</f>
        <v>52957.903282057756</v>
      </c>
      <c r="V809" s="4">
        <f>Table1[[#This Row],[Net_Profit]]/Table1[[#This Row],[Net_Sales]]</f>
        <v>0.32711426480040567</v>
      </c>
      <c r="W809" t="s">
        <v>33</v>
      </c>
      <c r="X809" t="s">
        <v>787</v>
      </c>
      <c r="Y809">
        <v>7</v>
      </c>
      <c r="Z809" t="str">
        <f>IF(Table1[[#This Row],[Month_No]]&lt;=6, "H1","H2")</f>
        <v>H2</v>
      </c>
    </row>
    <row r="810" spans="1:26" x14ac:dyDescent="0.25">
      <c r="A810" s="2">
        <v>45861</v>
      </c>
      <c r="B810" t="s">
        <v>889</v>
      </c>
      <c r="C810" t="s">
        <v>63</v>
      </c>
      <c r="D810" t="s">
        <v>85</v>
      </c>
      <c r="E810" t="s">
        <v>57</v>
      </c>
      <c r="F810" t="s">
        <v>52</v>
      </c>
      <c r="G810" t="s">
        <v>86</v>
      </c>
      <c r="H810" t="s">
        <v>59</v>
      </c>
      <c r="I810">
        <v>55.533948718675752</v>
      </c>
      <c r="J810" s="3">
        <v>1916.99</v>
      </c>
      <c r="K810" s="3">
        <f>Table1[[#This Row],[Quantity]]*Table1[[#This Row],[Unit_Price]]</f>
        <v>106458.02435421423</v>
      </c>
      <c r="L810" s="3">
        <v>3802.35</v>
      </c>
      <c r="M810" s="3">
        <f>Table1[[#This Row],[Gross_Sales]]-Table1[[#This Row],[Discount]]</f>
        <v>102655.67435421422</v>
      </c>
      <c r="N810" s="3">
        <v>66226.460000000006</v>
      </c>
      <c r="O810" s="3">
        <v>1987.88</v>
      </c>
      <c r="P810" s="3">
        <v>6228.22</v>
      </c>
      <c r="Q810" s="3">
        <v>2773.32</v>
      </c>
      <c r="R810" s="3">
        <v>1715.25</v>
      </c>
      <c r="S810" s="3">
        <f>SUM(Table1[[#This Row],[Product_Cost]:[Other_Cost]])</f>
        <v>78931.130000000019</v>
      </c>
      <c r="T810" s="3">
        <f>Table1[[#This Row],[Net_Sales]]-Table1[[#This Row],[Product_Cost]]</f>
        <v>36429.214354214215</v>
      </c>
      <c r="U810" s="3">
        <f>Table1[[#This Row],[Net_Sales]]-Table1[[#This Row],[Total_Cost]]</f>
        <v>23724.544354214202</v>
      </c>
      <c r="V810" s="4">
        <f>Table1[[#This Row],[Net_Profit]]/Table1[[#This Row],[Net_Sales]]</f>
        <v>0.23110796849234533</v>
      </c>
      <c r="W810" t="s">
        <v>72</v>
      </c>
      <c r="X810" t="s">
        <v>787</v>
      </c>
      <c r="Y810">
        <v>7</v>
      </c>
      <c r="Z810" t="str">
        <f>IF(Table1[[#This Row],[Month_No]]&lt;=6, "H1","H2")</f>
        <v>H2</v>
      </c>
    </row>
    <row r="811" spans="1:26" x14ac:dyDescent="0.25">
      <c r="A811" s="2">
        <v>45862</v>
      </c>
      <c r="B811" t="s">
        <v>890</v>
      </c>
      <c r="C811" t="s">
        <v>117</v>
      </c>
      <c r="D811" t="s">
        <v>85</v>
      </c>
      <c r="E811" t="s">
        <v>57</v>
      </c>
      <c r="F811" t="s">
        <v>39</v>
      </c>
      <c r="G811" t="s">
        <v>61</v>
      </c>
      <c r="H811" t="s">
        <v>32</v>
      </c>
      <c r="I811">
        <v>47.861989239359019</v>
      </c>
      <c r="J811" s="3">
        <v>1950.79</v>
      </c>
      <c r="K811" s="3">
        <f>Table1[[#This Row],[Quantity]]*Table1[[#This Row],[Unit_Price]]</f>
        <v>93368.689988249185</v>
      </c>
      <c r="L811" s="3">
        <v>3293.02</v>
      </c>
      <c r="M811" s="3">
        <f>Table1[[#This Row],[Gross_Sales]]-Table1[[#This Row],[Discount]]</f>
        <v>90075.669988249181</v>
      </c>
      <c r="N811" s="3">
        <v>55613.22</v>
      </c>
      <c r="O811" s="3">
        <v>2958.36</v>
      </c>
      <c r="P811" s="3">
        <v>5423.23</v>
      </c>
      <c r="Q811" s="3">
        <v>2253.65</v>
      </c>
      <c r="R811" s="3">
        <v>1612.81</v>
      </c>
      <c r="S811" s="3">
        <f>SUM(Table1[[#This Row],[Product_Cost]:[Other_Cost]])</f>
        <v>67861.26999999999</v>
      </c>
      <c r="T811" s="3">
        <f>Table1[[#This Row],[Net_Sales]]-Table1[[#This Row],[Product_Cost]]</f>
        <v>34462.44998824918</v>
      </c>
      <c r="U811" s="3">
        <f>Table1[[#This Row],[Net_Sales]]-Table1[[#This Row],[Total_Cost]]</f>
        <v>22214.399988249192</v>
      </c>
      <c r="V811" s="4">
        <f>Table1[[#This Row],[Net_Profit]]/Table1[[#This Row],[Net_Sales]]</f>
        <v>0.24661931452907507</v>
      </c>
      <c r="W811" t="s">
        <v>72</v>
      </c>
      <c r="X811" t="s">
        <v>787</v>
      </c>
      <c r="Y811">
        <v>7</v>
      </c>
      <c r="Z811" t="str">
        <f>IF(Table1[[#This Row],[Month_No]]&lt;=6, "H1","H2")</f>
        <v>H2</v>
      </c>
    </row>
    <row r="812" spans="1:26" x14ac:dyDescent="0.25">
      <c r="A812" s="2">
        <v>45862</v>
      </c>
      <c r="B812" t="s">
        <v>891</v>
      </c>
      <c r="C812" t="s">
        <v>27</v>
      </c>
      <c r="D812" t="s">
        <v>81</v>
      </c>
      <c r="E812" t="s">
        <v>45</v>
      </c>
      <c r="F812" t="s">
        <v>30</v>
      </c>
      <c r="G812" t="s">
        <v>31</v>
      </c>
      <c r="H812" t="s">
        <v>41</v>
      </c>
      <c r="I812">
        <v>45.023551491742673</v>
      </c>
      <c r="J812" s="3">
        <v>6572.31</v>
      </c>
      <c r="K812" s="3">
        <f>Table1[[#This Row],[Quantity]]*Table1[[#This Row],[Unit_Price]]</f>
        <v>295908.73770469532</v>
      </c>
      <c r="L812" s="3">
        <v>13282.92</v>
      </c>
      <c r="M812" s="3">
        <f>Table1[[#This Row],[Gross_Sales]]-Table1[[#This Row],[Discount]]</f>
        <v>282625.81770469534</v>
      </c>
      <c r="N812" s="3">
        <v>144251.01</v>
      </c>
      <c r="O812" s="3">
        <v>5807.29</v>
      </c>
      <c r="P812" s="3">
        <v>15963.77</v>
      </c>
      <c r="Q812" s="3">
        <v>7160.12</v>
      </c>
      <c r="R812" s="3">
        <v>4505.41</v>
      </c>
      <c r="S812" s="3">
        <f>SUM(Table1[[#This Row],[Product_Cost]:[Other_Cost]])</f>
        <v>177687.6</v>
      </c>
      <c r="T812" s="3">
        <f>Table1[[#This Row],[Net_Sales]]-Table1[[#This Row],[Product_Cost]]</f>
        <v>138374.80770469533</v>
      </c>
      <c r="U812" s="3">
        <f>Table1[[#This Row],[Net_Sales]]-Table1[[#This Row],[Total_Cost]]</f>
        <v>104938.21770469533</v>
      </c>
      <c r="V812" s="4">
        <f>Table1[[#This Row],[Net_Profit]]/Table1[[#This Row],[Net_Sales]]</f>
        <v>0.37129735194376745</v>
      </c>
      <c r="W812" t="s">
        <v>33</v>
      </c>
      <c r="X812" t="s">
        <v>787</v>
      </c>
      <c r="Y812">
        <v>7</v>
      </c>
      <c r="Z812" t="str">
        <f>IF(Table1[[#This Row],[Month_No]]&lt;=6, "H1","H2")</f>
        <v>H2</v>
      </c>
    </row>
    <row r="813" spans="1:26" x14ac:dyDescent="0.25">
      <c r="A813" s="2">
        <v>45862</v>
      </c>
      <c r="B813" t="s">
        <v>892</v>
      </c>
      <c r="C813" t="s">
        <v>107</v>
      </c>
      <c r="D813" t="s">
        <v>28</v>
      </c>
      <c r="E813" t="s">
        <v>29</v>
      </c>
      <c r="F813" t="s">
        <v>30</v>
      </c>
      <c r="G813" t="s">
        <v>71</v>
      </c>
      <c r="H813" t="s">
        <v>47</v>
      </c>
      <c r="I813">
        <v>55.665959255243067</v>
      </c>
      <c r="J813" s="3">
        <v>1169.1400000000001</v>
      </c>
      <c r="K813" s="3">
        <f>Table1[[#This Row],[Quantity]]*Table1[[#This Row],[Unit_Price]]</f>
        <v>65081.299603674881</v>
      </c>
      <c r="L813" s="3">
        <v>1976.21</v>
      </c>
      <c r="M813" s="3">
        <f>Table1[[#This Row],[Gross_Sales]]-Table1[[#This Row],[Discount]]</f>
        <v>63105.089603674882</v>
      </c>
      <c r="N813" s="3">
        <v>34133.1</v>
      </c>
      <c r="O813" s="3">
        <v>1714.89</v>
      </c>
      <c r="P813" s="3">
        <v>3226.36</v>
      </c>
      <c r="Q813" s="3">
        <v>1913.73</v>
      </c>
      <c r="R813" s="3">
        <v>809.33</v>
      </c>
      <c r="S813" s="3">
        <f>SUM(Table1[[#This Row],[Product_Cost]:[Other_Cost]])</f>
        <v>41797.410000000003</v>
      </c>
      <c r="T813" s="3">
        <f>Table1[[#This Row],[Net_Sales]]-Table1[[#This Row],[Product_Cost]]</f>
        <v>28971.989603674883</v>
      </c>
      <c r="U813" s="3">
        <f>Table1[[#This Row],[Net_Sales]]-Table1[[#This Row],[Total_Cost]]</f>
        <v>21307.679603674878</v>
      </c>
      <c r="V813" s="4">
        <f>Table1[[#This Row],[Net_Profit]]/Table1[[#This Row],[Net_Sales]]</f>
        <v>0.337653899827979</v>
      </c>
      <c r="W813" t="s">
        <v>33</v>
      </c>
      <c r="X813" t="s">
        <v>787</v>
      </c>
      <c r="Y813">
        <v>7</v>
      </c>
      <c r="Z813" t="str">
        <f>IF(Table1[[#This Row],[Month_No]]&lt;=6, "H1","H2")</f>
        <v>H2</v>
      </c>
    </row>
    <row r="814" spans="1:26" x14ac:dyDescent="0.25">
      <c r="A814" s="2">
        <v>45863</v>
      </c>
      <c r="B814" t="s">
        <v>893</v>
      </c>
      <c r="C814" t="s">
        <v>27</v>
      </c>
      <c r="D814" t="s">
        <v>85</v>
      </c>
      <c r="E814" t="s">
        <v>57</v>
      </c>
      <c r="F814" t="s">
        <v>30</v>
      </c>
      <c r="G814" t="s">
        <v>71</v>
      </c>
      <c r="H814" t="s">
        <v>41</v>
      </c>
      <c r="I814">
        <v>57.193311152542208</v>
      </c>
      <c r="J814" s="3">
        <v>1979.78</v>
      </c>
      <c r="K814" s="3">
        <f>Table1[[#This Row],[Quantity]]*Table1[[#This Row],[Unit_Price]]</f>
        <v>113230.17355358001</v>
      </c>
      <c r="L814" s="3">
        <v>5681.27</v>
      </c>
      <c r="M814" s="3">
        <f>Table1[[#This Row],[Gross_Sales]]-Table1[[#This Row],[Discount]]</f>
        <v>107548.90355358001</v>
      </c>
      <c r="N814" s="3">
        <v>69776.350000000006</v>
      </c>
      <c r="O814" s="3">
        <v>2711.54</v>
      </c>
      <c r="P814" s="3">
        <v>5483.94</v>
      </c>
      <c r="Q814" s="3">
        <v>2596.7800000000002</v>
      </c>
      <c r="R814" s="3">
        <v>1341.13</v>
      </c>
      <c r="S814" s="3">
        <f>SUM(Table1[[#This Row],[Product_Cost]:[Other_Cost]])</f>
        <v>81909.740000000005</v>
      </c>
      <c r="T814" s="3">
        <f>Table1[[#This Row],[Net_Sales]]-Table1[[#This Row],[Product_Cost]]</f>
        <v>37772.553553580001</v>
      </c>
      <c r="U814" s="3">
        <f>Table1[[#This Row],[Net_Sales]]-Table1[[#This Row],[Total_Cost]]</f>
        <v>25639.163553580001</v>
      </c>
      <c r="V814" s="4">
        <f>Table1[[#This Row],[Net_Profit]]/Table1[[#This Row],[Net_Sales]]</f>
        <v>0.23839539694430054</v>
      </c>
      <c r="W814" t="s">
        <v>33</v>
      </c>
      <c r="X814" t="s">
        <v>787</v>
      </c>
      <c r="Y814">
        <v>7</v>
      </c>
      <c r="Z814" t="str">
        <f>IF(Table1[[#This Row],[Month_No]]&lt;=6, "H1","H2")</f>
        <v>H2</v>
      </c>
    </row>
    <row r="815" spans="1:26" x14ac:dyDescent="0.25">
      <c r="A815" s="2">
        <v>45863</v>
      </c>
      <c r="B815" t="s">
        <v>894</v>
      </c>
      <c r="C815" t="s">
        <v>63</v>
      </c>
      <c r="D815" t="s">
        <v>28</v>
      </c>
      <c r="E815" t="s">
        <v>29</v>
      </c>
      <c r="F815" t="s">
        <v>39</v>
      </c>
      <c r="G815" t="s">
        <v>64</v>
      </c>
      <c r="H815" t="s">
        <v>32</v>
      </c>
      <c r="I815">
        <v>88.759313746124405</v>
      </c>
      <c r="J815" s="3">
        <v>1197.8399999999999</v>
      </c>
      <c r="K815" s="3">
        <f>Table1[[#This Row],[Quantity]]*Table1[[#This Row],[Unit_Price]]</f>
        <v>106319.45637765765</v>
      </c>
      <c r="L815" s="3">
        <v>4076.78</v>
      </c>
      <c r="M815" s="3">
        <f>Table1[[#This Row],[Gross_Sales]]-Table1[[#This Row],[Discount]]</f>
        <v>102242.67637765766</v>
      </c>
      <c r="N815" s="3">
        <v>51331.25</v>
      </c>
      <c r="O815" s="3">
        <v>2604.11</v>
      </c>
      <c r="P815" s="3">
        <v>5503.56</v>
      </c>
      <c r="Q815" s="3">
        <v>1930.52</v>
      </c>
      <c r="R815" s="3">
        <v>2201.41</v>
      </c>
      <c r="S815" s="3">
        <f>SUM(Table1[[#This Row],[Product_Cost]:[Other_Cost]])</f>
        <v>63570.849999999991</v>
      </c>
      <c r="T815" s="3">
        <f>Table1[[#This Row],[Net_Sales]]-Table1[[#This Row],[Product_Cost]]</f>
        <v>50911.426377657655</v>
      </c>
      <c r="U815" s="3">
        <f>Table1[[#This Row],[Net_Sales]]-Table1[[#This Row],[Total_Cost]]</f>
        <v>38671.826377657664</v>
      </c>
      <c r="V815" s="4">
        <f>Table1[[#This Row],[Net_Profit]]/Table1[[#This Row],[Net_Sales]]</f>
        <v>0.37823566193449465</v>
      </c>
      <c r="W815" t="s">
        <v>33</v>
      </c>
      <c r="X815" t="s">
        <v>787</v>
      </c>
      <c r="Y815">
        <v>7</v>
      </c>
      <c r="Z815" t="str">
        <f>IF(Table1[[#This Row],[Month_No]]&lt;=6, "H1","H2")</f>
        <v>H2</v>
      </c>
    </row>
    <row r="816" spans="1:26" x14ac:dyDescent="0.25">
      <c r="A816" s="2">
        <v>45863</v>
      </c>
      <c r="B816" t="s">
        <v>895</v>
      </c>
      <c r="C816" t="s">
        <v>83</v>
      </c>
      <c r="D816" t="s">
        <v>50</v>
      </c>
      <c r="E816" t="s">
        <v>51</v>
      </c>
      <c r="F816" t="s">
        <v>46</v>
      </c>
      <c r="G816" t="s">
        <v>31</v>
      </c>
      <c r="H816" t="s">
        <v>41</v>
      </c>
      <c r="I816">
        <v>62.487101412130059</v>
      </c>
      <c r="J816" s="3">
        <v>869.96</v>
      </c>
      <c r="K816" s="3">
        <f>Table1[[#This Row],[Quantity]]*Table1[[#This Row],[Unit_Price]]</f>
        <v>54361.278744496667</v>
      </c>
      <c r="L816" s="3">
        <v>1872.33</v>
      </c>
      <c r="M816" s="3">
        <f>Table1[[#This Row],[Gross_Sales]]-Table1[[#This Row],[Discount]]</f>
        <v>52488.948744496665</v>
      </c>
      <c r="N816" s="3">
        <v>31092.92</v>
      </c>
      <c r="O816" s="3">
        <v>1076.31</v>
      </c>
      <c r="P816" s="3">
        <v>2697.7</v>
      </c>
      <c r="Q816" s="3">
        <v>1318.61</v>
      </c>
      <c r="R816" s="3">
        <v>672.82</v>
      </c>
      <c r="S816" s="3">
        <f>SUM(Table1[[#This Row],[Product_Cost]:[Other_Cost]])</f>
        <v>36858.36</v>
      </c>
      <c r="T816" s="3">
        <f>Table1[[#This Row],[Net_Sales]]-Table1[[#This Row],[Product_Cost]]</f>
        <v>21396.028744496667</v>
      </c>
      <c r="U816" s="3">
        <f>Table1[[#This Row],[Net_Sales]]-Table1[[#This Row],[Total_Cost]]</f>
        <v>15630.588744496665</v>
      </c>
      <c r="V816" s="4">
        <f>Table1[[#This Row],[Net_Profit]]/Table1[[#This Row],[Net_Sales]]</f>
        <v>0.29778818433919374</v>
      </c>
      <c r="W816" t="s">
        <v>33</v>
      </c>
      <c r="X816" t="s">
        <v>787</v>
      </c>
      <c r="Y816">
        <v>7</v>
      </c>
      <c r="Z816" t="str">
        <f>IF(Table1[[#This Row],[Month_No]]&lt;=6, "H1","H2")</f>
        <v>H2</v>
      </c>
    </row>
    <row r="817" spans="1:26" x14ac:dyDescent="0.25">
      <c r="A817" s="2">
        <v>45865</v>
      </c>
      <c r="B817" t="s">
        <v>896</v>
      </c>
      <c r="C817" t="s">
        <v>63</v>
      </c>
      <c r="D817" t="s">
        <v>85</v>
      </c>
      <c r="E817" t="s">
        <v>57</v>
      </c>
      <c r="F817" t="s">
        <v>39</v>
      </c>
      <c r="G817" t="s">
        <v>58</v>
      </c>
      <c r="H817" t="s">
        <v>41</v>
      </c>
      <c r="I817">
        <v>99.322437513549787</v>
      </c>
      <c r="J817" s="3">
        <v>2044.11</v>
      </c>
      <c r="K817" s="3">
        <f>Table1[[#This Row],[Quantity]]*Table1[[#This Row],[Unit_Price]]</f>
        <v>203025.98774582223</v>
      </c>
      <c r="L817" s="3">
        <v>9605.74</v>
      </c>
      <c r="M817" s="3">
        <f>Table1[[#This Row],[Gross_Sales]]-Table1[[#This Row],[Discount]]</f>
        <v>193420.24774582224</v>
      </c>
      <c r="N817" s="3">
        <v>119786.56</v>
      </c>
      <c r="O817" s="3">
        <v>5218.88</v>
      </c>
      <c r="P817" s="3">
        <v>10442.719999999999</v>
      </c>
      <c r="Q817" s="3">
        <v>4328.3100000000004</v>
      </c>
      <c r="R817" s="3">
        <v>3114.11</v>
      </c>
      <c r="S817" s="3">
        <f>SUM(Table1[[#This Row],[Product_Cost]:[Other_Cost]])</f>
        <v>142890.57999999999</v>
      </c>
      <c r="T817" s="3">
        <f>Table1[[#This Row],[Net_Sales]]-Table1[[#This Row],[Product_Cost]]</f>
        <v>73633.687745822244</v>
      </c>
      <c r="U817" s="3">
        <f>Table1[[#This Row],[Net_Sales]]-Table1[[#This Row],[Total_Cost]]</f>
        <v>50529.667745822255</v>
      </c>
      <c r="V817" s="4">
        <f>Table1[[#This Row],[Net_Profit]]/Table1[[#This Row],[Net_Sales]]</f>
        <v>0.26124290675206036</v>
      </c>
      <c r="W817" t="s">
        <v>33</v>
      </c>
      <c r="X817" t="s">
        <v>787</v>
      </c>
      <c r="Y817">
        <v>7</v>
      </c>
      <c r="Z817" t="str">
        <f>IF(Table1[[#This Row],[Month_No]]&lt;=6, "H1","H2")</f>
        <v>H2</v>
      </c>
    </row>
    <row r="818" spans="1:26" x14ac:dyDescent="0.25">
      <c r="A818" s="2">
        <v>45866</v>
      </c>
      <c r="B818" t="s">
        <v>897</v>
      </c>
      <c r="C818" t="s">
        <v>55</v>
      </c>
      <c r="D818" t="s">
        <v>85</v>
      </c>
      <c r="E818" t="s">
        <v>57</v>
      </c>
      <c r="F818" t="s">
        <v>52</v>
      </c>
      <c r="G818" t="s">
        <v>61</v>
      </c>
      <c r="H818" t="s">
        <v>41</v>
      </c>
      <c r="I818">
        <v>71.043604282533693</v>
      </c>
      <c r="J818" s="3">
        <v>1909.93</v>
      </c>
      <c r="K818" s="3">
        <f>Table1[[#This Row],[Quantity]]*Table1[[#This Row],[Unit_Price]]</f>
        <v>135688.31112733958</v>
      </c>
      <c r="L818" s="3">
        <v>7183.82</v>
      </c>
      <c r="M818" s="3">
        <f>Table1[[#This Row],[Gross_Sales]]-Table1[[#This Row],[Discount]]</f>
        <v>128504.49112733957</v>
      </c>
      <c r="N818" s="3">
        <v>81121.41</v>
      </c>
      <c r="O818" s="3">
        <v>2335.64</v>
      </c>
      <c r="P818" s="3">
        <v>6512.85</v>
      </c>
      <c r="Q818" s="3">
        <v>3892.87</v>
      </c>
      <c r="R818" s="3">
        <v>2083.06</v>
      </c>
      <c r="S818" s="3">
        <f>SUM(Table1[[#This Row],[Product_Cost]:[Other_Cost]])</f>
        <v>95945.83</v>
      </c>
      <c r="T818" s="3">
        <f>Table1[[#This Row],[Net_Sales]]-Table1[[#This Row],[Product_Cost]]</f>
        <v>47383.081127339567</v>
      </c>
      <c r="U818" s="3">
        <f>Table1[[#This Row],[Net_Sales]]-Table1[[#This Row],[Total_Cost]]</f>
        <v>32558.661127339568</v>
      </c>
      <c r="V818" s="4">
        <f>Table1[[#This Row],[Net_Profit]]/Table1[[#This Row],[Net_Sales]]</f>
        <v>0.25336593952250319</v>
      </c>
      <c r="W818" t="s">
        <v>33</v>
      </c>
      <c r="X818" t="s">
        <v>787</v>
      </c>
      <c r="Y818">
        <v>7</v>
      </c>
      <c r="Z818" t="str">
        <f>IF(Table1[[#This Row],[Month_No]]&lt;=6, "H1","H2")</f>
        <v>H2</v>
      </c>
    </row>
    <row r="819" spans="1:26" x14ac:dyDescent="0.25">
      <c r="A819" s="2">
        <v>45866</v>
      </c>
      <c r="B819" t="s">
        <v>898</v>
      </c>
      <c r="C819" t="s">
        <v>83</v>
      </c>
      <c r="D819" t="s">
        <v>100</v>
      </c>
      <c r="E819" t="s">
        <v>75</v>
      </c>
      <c r="F819" t="s">
        <v>52</v>
      </c>
      <c r="G819" t="s">
        <v>31</v>
      </c>
      <c r="H819" t="s">
        <v>47</v>
      </c>
      <c r="I819">
        <v>45.481900504908182</v>
      </c>
      <c r="J819" s="3">
        <v>7004.86</v>
      </c>
      <c r="K819" s="3">
        <f>Table1[[#This Row],[Quantity]]*Table1[[#This Row],[Unit_Price]]</f>
        <v>318594.34557081113</v>
      </c>
      <c r="L819" s="3">
        <v>10110.219999999999</v>
      </c>
      <c r="M819" s="3">
        <f>Table1[[#This Row],[Gross_Sales]]-Table1[[#This Row],[Discount]]</f>
        <v>308484.12557081116</v>
      </c>
      <c r="N819" s="3">
        <v>171314.48</v>
      </c>
      <c r="O819" s="3">
        <v>4987.1400000000003</v>
      </c>
      <c r="P819" s="3">
        <v>16337.5</v>
      </c>
      <c r="Q819" s="3">
        <v>7040.92</v>
      </c>
      <c r="R819" s="3">
        <v>5554.48</v>
      </c>
      <c r="S819" s="3">
        <f>SUM(Table1[[#This Row],[Product_Cost]:[Other_Cost]])</f>
        <v>205234.52000000005</v>
      </c>
      <c r="T819" s="3">
        <f>Table1[[#This Row],[Net_Sales]]-Table1[[#This Row],[Product_Cost]]</f>
        <v>137169.64557081115</v>
      </c>
      <c r="U819" s="3">
        <f>Table1[[#This Row],[Net_Sales]]-Table1[[#This Row],[Total_Cost]]</f>
        <v>103249.60557081111</v>
      </c>
      <c r="V819" s="4">
        <f>Table1[[#This Row],[Net_Profit]]/Table1[[#This Row],[Net_Sales]]</f>
        <v>0.33469989867310246</v>
      </c>
      <c r="W819" t="s">
        <v>33</v>
      </c>
      <c r="X819" t="s">
        <v>787</v>
      </c>
      <c r="Y819">
        <v>7</v>
      </c>
      <c r="Z819" t="str">
        <f>IF(Table1[[#This Row],[Month_No]]&lt;=6, "H1","H2")</f>
        <v>H2</v>
      </c>
    </row>
    <row r="820" spans="1:26" x14ac:dyDescent="0.25">
      <c r="A820" s="2">
        <v>45866</v>
      </c>
      <c r="B820" t="s">
        <v>899</v>
      </c>
      <c r="C820" t="s">
        <v>36</v>
      </c>
      <c r="D820" t="s">
        <v>74</v>
      </c>
      <c r="E820" t="s">
        <v>75</v>
      </c>
      <c r="F820" t="s">
        <v>52</v>
      </c>
      <c r="G820" t="s">
        <v>40</v>
      </c>
      <c r="H820" t="s">
        <v>32</v>
      </c>
      <c r="I820">
        <v>44.386651990836313</v>
      </c>
      <c r="J820" s="3">
        <v>5568.19</v>
      </c>
      <c r="K820" s="3">
        <f>Table1[[#This Row],[Quantity]]*Table1[[#This Row],[Unit_Price]]</f>
        <v>247153.31174885485</v>
      </c>
      <c r="L820" s="3">
        <v>12379.37</v>
      </c>
      <c r="M820" s="3">
        <f>Table1[[#This Row],[Gross_Sales]]-Table1[[#This Row],[Discount]]</f>
        <v>234773.94174885485</v>
      </c>
      <c r="N820" s="3">
        <v>166288.25</v>
      </c>
      <c r="O820" s="3">
        <v>3991.01</v>
      </c>
      <c r="P820" s="3">
        <v>13769.24</v>
      </c>
      <c r="Q820" s="3">
        <v>4598.2299999999996</v>
      </c>
      <c r="R820" s="3">
        <v>4947.41</v>
      </c>
      <c r="S820" s="3">
        <f>SUM(Table1[[#This Row],[Product_Cost]:[Other_Cost]])</f>
        <v>193594.14</v>
      </c>
      <c r="T820" s="3">
        <f>Table1[[#This Row],[Net_Sales]]-Table1[[#This Row],[Product_Cost]]</f>
        <v>68485.69174885485</v>
      </c>
      <c r="U820" s="3">
        <f>Table1[[#This Row],[Net_Sales]]-Table1[[#This Row],[Total_Cost]]</f>
        <v>41179.801748854836</v>
      </c>
      <c r="V820" s="4">
        <f>Table1[[#This Row],[Net_Profit]]/Table1[[#This Row],[Net_Sales]]</f>
        <v>0.17540192681565223</v>
      </c>
      <c r="W820" t="s">
        <v>33</v>
      </c>
      <c r="X820" t="s">
        <v>787</v>
      </c>
      <c r="Y820">
        <v>7</v>
      </c>
      <c r="Z820" t="str">
        <f>IF(Table1[[#This Row],[Month_No]]&lt;=6, "H1","H2")</f>
        <v>H2</v>
      </c>
    </row>
    <row r="821" spans="1:26" x14ac:dyDescent="0.25">
      <c r="A821" s="2">
        <v>45866</v>
      </c>
      <c r="B821" t="s">
        <v>900</v>
      </c>
      <c r="C821" t="s">
        <v>70</v>
      </c>
      <c r="D821" t="s">
        <v>100</v>
      </c>
      <c r="E821" t="s">
        <v>75</v>
      </c>
      <c r="F821" t="s">
        <v>30</v>
      </c>
      <c r="G821" t="s">
        <v>31</v>
      </c>
      <c r="H821" t="s">
        <v>47</v>
      </c>
      <c r="I821">
        <v>50.468050078968162</v>
      </c>
      <c r="J821" s="3">
        <v>6954.59</v>
      </c>
      <c r="K821" s="3">
        <f>Table1[[#This Row],[Quantity]]*Table1[[#This Row],[Unit_Price]]</f>
        <v>350984.59639869118</v>
      </c>
      <c r="L821" s="3">
        <v>13288.53</v>
      </c>
      <c r="M821" s="3">
        <f>Table1[[#This Row],[Gross_Sales]]-Table1[[#This Row],[Discount]]</f>
        <v>337696.06639869115</v>
      </c>
      <c r="N821" s="3">
        <v>177283.04</v>
      </c>
      <c r="O821" s="3">
        <v>7823.6</v>
      </c>
      <c r="P821" s="3">
        <v>20565.080000000002</v>
      </c>
      <c r="Q821" s="3">
        <v>7177.27</v>
      </c>
      <c r="R821" s="3">
        <v>6832.12</v>
      </c>
      <c r="S821" s="3">
        <f>SUM(Table1[[#This Row],[Product_Cost]:[Other_Cost]])</f>
        <v>219681.11000000002</v>
      </c>
      <c r="T821" s="3">
        <f>Table1[[#This Row],[Net_Sales]]-Table1[[#This Row],[Product_Cost]]</f>
        <v>160413.02639869115</v>
      </c>
      <c r="U821" s="3">
        <f>Table1[[#This Row],[Net_Sales]]-Table1[[#This Row],[Total_Cost]]</f>
        <v>118014.95639869114</v>
      </c>
      <c r="V821" s="4">
        <f>Table1[[#This Row],[Net_Profit]]/Table1[[#This Row],[Net_Sales]]</f>
        <v>0.34947092412785219</v>
      </c>
      <c r="W821" t="s">
        <v>33</v>
      </c>
      <c r="X821" t="s">
        <v>787</v>
      </c>
      <c r="Y821">
        <v>7</v>
      </c>
      <c r="Z821" t="str">
        <f>IF(Table1[[#This Row],[Month_No]]&lt;=6, "H1","H2")</f>
        <v>H2</v>
      </c>
    </row>
    <row r="822" spans="1:26" x14ac:dyDescent="0.25">
      <c r="A822" s="2">
        <v>45867</v>
      </c>
      <c r="B822" t="s">
        <v>901</v>
      </c>
      <c r="C822" t="s">
        <v>70</v>
      </c>
      <c r="D822" t="s">
        <v>183</v>
      </c>
      <c r="E822" t="s">
        <v>38</v>
      </c>
      <c r="F822" t="s">
        <v>52</v>
      </c>
      <c r="G822" t="s">
        <v>86</v>
      </c>
      <c r="H822" t="s">
        <v>41</v>
      </c>
      <c r="I822">
        <v>47.597849037592198</v>
      </c>
      <c r="J822" s="3">
        <v>7038.62</v>
      </c>
      <c r="K822" s="3">
        <f>Table1[[#This Row],[Quantity]]*Table1[[#This Row],[Unit_Price]]</f>
        <v>335023.17219297722</v>
      </c>
      <c r="L822" s="3">
        <v>17544.55</v>
      </c>
      <c r="M822" s="3">
        <f>Table1[[#This Row],[Gross_Sales]]-Table1[[#This Row],[Discount]]</f>
        <v>317478.62219297723</v>
      </c>
      <c r="N822" s="3">
        <v>165133.47</v>
      </c>
      <c r="O822" s="3">
        <v>4613.6400000000003</v>
      </c>
      <c r="P822" s="3">
        <v>16395.330000000002</v>
      </c>
      <c r="Q822" s="3">
        <v>9699.39</v>
      </c>
      <c r="R822" s="3">
        <v>4866.3599999999997</v>
      </c>
      <c r="S822" s="3">
        <f>SUM(Table1[[#This Row],[Product_Cost]:[Other_Cost]])</f>
        <v>200708.19</v>
      </c>
      <c r="T822" s="3">
        <f>Table1[[#This Row],[Net_Sales]]-Table1[[#This Row],[Product_Cost]]</f>
        <v>152345.15219297723</v>
      </c>
      <c r="U822" s="3">
        <f>Table1[[#This Row],[Net_Sales]]-Table1[[#This Row],[Total_Cost]]</f>
        <v>116770.43219297723</v>
      </c>
      <c r="V822" s="4">
        <f>Table1[[#This Row],[Net_Profit]]/Table1[[#This Row],[Net_Sales]]</f>
        <v>0.36780565376776492</v>
      </c>
      <c r="W822" t="s">
        <v>33</v>
      </c>
      <c r="X822" t="s">
        <v>787</v>
      </c>
      <c r="Y822">
        <v>7</v>
      </c>
      <c r="Z822" t="str">
        <f>IF(Table1[[#This Row],[Month_No]]&lt;=6, "H1","H2")</f>
        <v>H2</v>
      </c>
    </row>
    <row r="823" spans="1:26" x14ac:dyDescent="0.25">
      <c r="A823" s="2">
        <v>45867</v>
      </c>
      <c r="B823" t="s">
        <v>902</v>
      </c>
      <c r="C823" t="s">
        <v>70</v>
      </c>
      <c r="D823" t="s">
        <v>28</v>
      </c>
      <c r="E823" t="s">
        <v>29</v>
      </c>
      <c r="F823" t="s">
        <v>52</v>
      </c>
      <c r="G823" t="s">
        <v>31</v>
      </c>
      <c r="H823" t="s">
        <v>41</v>
      </c>
      <c r="I823">
        <v>78.130215611247309</v>
      </c>
      <c r="J823" s="3">
        <v>1246.6099999999999</v>
      </c>
      <c r="K823" s="3">
        <f>Table1[[#This Row],[Quantity]]*Table1[[#This Row],[Unit_Price]]</f>
        <v>97397.908083136994</v>
      </c>
      <c r="L823" s="3">
        <v>3956.27</v>
      </c>
      <c r="M823" s="3">
        <f>Table1[[#This Row],[Gross_Sales]]-Table1[[#This Row],[Discount]]</f>
        <v>93441.63808313699</v>
      </c>
      <c r="N823" s="3">
        <v>50316.23</v>
      </c>
      <c r="O823" s="3">
        <v>1717.24</v>
      </c>
      <c r="P823" s="3">
        <v>4758.0600000000004</v>
      </c>
      <c r="Q823" s="3">
        <v>2828.46</v>
      </c>
      <c r="R823" s="3">
        <v>1227.18</v>
      </c>
      <c r="S823" s="3">
        <f>SUM(Table1[[#This Row],[Product_Cost]:[Other_Cost]])</f>
        <v>60847.17</v>
      </c>
      <c r="T823" s="3">
        <f>Table1[[#This Row],[Net_Sales]]-Table1[[#This Row],[Product_Cost]]</f>
        <v>43125.408083136987</v>
      </c>
      <c r="U823" s="3">
        <f>Table1[[#This Row],[Net_Sales]]-Table1[[#This Row],[Total_Cost]]</f>
        <v>32594.468083136991</v>
      </c>
      <c r="V823" s="4">
        <f>Table1[[#This Row],[Net_Profit]]/Table1[[#This Row],[Net_Sales]]</f>
        <v>0.34882166828172478</v>
      </c>
      <c r="W823" t="s">
        <v>33</v>
      </c>
      <c r="X823" t="s">
        <v>787</v>
      </c>
      <c r="Y823">
        <v>7</v>
      </c>
      <c r="Z823" t="str">
        <f>IF(Table1[[#This Row],[Month_No]]&lt;=6, "H1","H2")</f>
        <v>H2</v>
      </c>
    </row>
    <row r="824" spans="1:26" x14ac:dyDescent="0.25">
      <c r="A824" s="2">
        <v>45867</v>
      </c>
      <c r="B824" t="s">
        <v>903</v>
      </c>
      <c r="C824" t="s">
        <v>98</v>
      </c>
      <c r="D824" t="s">
        <v>100</v>
      </c>
      <c r="E824" t="s">
        <v>75</v>
      </c>
      <c r="F824" t="s">
        <v>39</v>
      </c>
      <c r="G824" t="s">
        <v>71</v>
      </c>
      <c r="H824" t="s">
        <v>41</v>
      </c>
      <c r="I824">
        <v>29.65027333159702</v>
      </c>
      <c r="J824" s="3">
        <v>7143.46</v>
      </c>
      <c r="K824" s="3">
        <f>Table1[[#This Row],[Quantity]]*Table1[[#This Row],[Unit_Price]]</f>
        <v>211805.54153333005</v>
      </c>
      <c r="L824" s="3">
        <v>10666.7</v>
      </c>
      <c r="M824" s="3">
        <f>Table1[[#This Row],[Gross_Sales]]-Table1[[#This Row],[Discount]]</f>
        <v>201138.84153333004</v>
      </c>
      <c r="N824" s="3">
        <v>111857.77</v>
      </c>
      <c r="O824" s="3">
        <v>5437.38</v>
      </c>
      <c r="P824" s="3">
        <v>10705.05</v>
      </c>
      <c r="Q824" s="3">
        <v>4610.29</v>
      </c>
      <c r="R824" s="3">
        <v>3583.18</v>
      </c>
      <c r="S824" s="3">
        <f>SUM(Table1[[#This Row],[Product_Cost]:[Other_Cost]])</f>
        <v>136193.67000000001</v>
      </c>
      <c r="T824" s="3">
        <f>Table1[[#This Row],[Net_Sales]]-Table1[[#This Row],[Product_Cost]]</f>
        <v>89281.071533330032</v>
      </c>
      <c r="U824" s="3">
        <f>Table1[[#This Row],[Net_Sales]]-Table1[[#This Row],[Total_Cost]]</f>
        <v>64945.171533330024</v>
      </c>
      <c r="V824" s="4">
        <f>Table1[[#This Row],[Net_Profit]]/Table1[[#This Row],[Net_Sales]]</f>
        <v>0.32288727049553073</v>
      </c>
      <c r="W824" t="s">
        <v>33</v>
      </c>
      <c r="X824" t="s">
        <v>787</v>
      </c>
      <c r="Y824">
        <v>7</v>
      </c>
      <c r="Z824" t="str">
        <f>IF(Table1[[#This Row],[Month_No]]&lt;=6, "H1","H2")</f>
        <v>H2</v>
      </c>
    </row>
    <row r="825" spans="1:26" x14ac:dyDescent="0.25">
      <c r="A825" s="2">
        <v>45867</v>
      </c>
      <c r="B825" t="s">
        <v>904</v>
      </c>
      <c r="C825" t="s">
        <v>43</v>
      </c>
      <c r="D825" t="s">
        <v>28</v>
      </c>
      <c r="E825" t="s">
        <v>29</v>
      </c>
      <c r="F825" t="s">
        <v>30</v>
      </c>
      <c r="G825" t="s">
        <v>76</v>
      </c>
      <c r="H825" t="s">
        <v>41</v>
      </c>
      <c r="I825">
        <v>79.489733549425651</v>
      </c>
      <c r="J825" s="3">
        <v>1249.02</v>
      </c>
      <c r="K825" s="3">
        <f>Table1[[#This Row],[Quantity]]*Table1[[#This Row],[Unit_Price]]</f>
        <v>99284.266997903629</v>
      </c>
      <c r="L825" s="3">
        <v>5317.36</v>
      </c>
      <c r="M825" s="3">
        <f>Table1[[#This Row],[Gross_Sales]]-Table1[[#This Row],[Discount]]</f>
        <v>93966.906997903629</v>
      </c>
      <c r="N825" s="3">
        <v>51820.02</v>
      </c>
      <c r="O825" s="3">
        <v>2232.71</v>
      </c>
      <c r="P825" s="3">
        <v>4965.12</v>
      </c>
      <c r="Q825" s="3">
        <v>2645.76</v>
      </c>
      <c r="R825" s="3">
        <v>1656.9</v>
      </c>
      <c r="S825" s="3">
        <f>SUM(Table1[[#This Row],[Product_Cost]:[Other_Cost]])</f>
        <v>63320.51</v>
      </c>
      <c r="T825" s="3">
        <f>Table1[[#This Row],[Net_Sales]]-Table1[[#This Row],[Product_Cost]]</f>
        <v>42146.886997903632</v>
      </c>
      <c r="U825" s="3">
        <f>Table1[[#This Row],[Net_Sales]]-Table1[[#This Row],[Total_Cost]]</f>
        <v>30646.396997903626</v>
      </c>
      <c r="V825" s="4">
        <f>Table1[[#This Row],[Net_Profit]]/Table1[[#This Row],[Net_Sales]]</f>
        <v>0.32614031872505217</v>
      </c>
      <c r="W825" t="s">
        <v>33</v>
      </c>
      <c r="X825" t="s">
        <v>787</v>
      </c>
      <c r="Y825">
        <v>7</v>
      </c>
      <c r="Z825" t="str">
        <f>IF(Table1[[#This Row],[Month_No]]&lt;=6, "H1","H2")</f>
        <v>H2</v>
      </c>
    </row>
    <row r="826" spans="1:26" x14ac:dyDescent="0.25">
      <c r="A826" s="2">
        <v>45867</v>
      </c>
      <c r="B826" t="s">
        <v>905</v>
      </c>
      <c r="C826" t="s">
        <v>78</v>
      </c>
      <c r="D826" t="s">
        <v>28</v>
      </c>
      <c r="E826" t="s">
        <v>29</v>
      </c>
      <c r="F826" t="s">
        <v>39</v>
      </c>
      <c r="G826" t="s">
        <v>58</v>
      </c>
      <c r="H826" t="s">
        <v>32</v>
      </c>
      <c r="I826">
        <v>82.988309268454259</v>
      </c>
      <c r="J826" s="3">
        <v>1224.3</v>
      </c>
      <c r="K826" s="3">
        <f>Table1[[#This Row],[Quantity]]*Table1[[#This Row],[Unit_Price]]</f>
        <v>101602.58703736855</v>
      </c>
      <c r="L826" s="3">
        <v>5520.42</v>
      </c>
      <c r="M826" s="3">
        <f>Table1[[#This Row],[Gross_Sales]]-Table1[[#This Row],[Discount]]</f>
        <v>96082.167037368548</v>
      </c>
      <c r="N826" s="3">
        <v>51593.11</v>
      </c>
      <c r="O826" s="3">
        <v>3301.57</v>
      </c>
      <c r="P826" s="3">
        <v>5136.13</v>
      </c>
      <c r="Q826" s="3">
        <v>1746.32</v>
      </c>
      <c r="R826" s="3">
        <v>1333.53</v>
      </c>
      <c r="S826" s="3">
        <f>SUM(Table1[[#This Row],[Product_Cost]:[Other_Cost]])</f>
        <v>63110.659999999996</v>
      </c>
      <c r="T826" s="3">
        <f>Table1[[#This Row],[Net_Sales]]-Table1[[#This Row],[Product_Cost]]</f>
        <v>44489.057037368548</v>
      </c>
      <c r="U826" s="3">
        <f>Table1[[#This Row],[Net_Sales]]-Table1[[#This Row],[Total_Cost]]</f>
        <v>32971.507037368552</v>
      </c>
      <c r="V826" s="4">
        <f>Table1[[#This Row],[Net_Profit]]/Table1[[#This Row],[Net_Sales]]</f>
        <v>0.34315948582368233</v>
      </c>
      <c r="W826" t="s">
        <v>33</v>
      </c>
      <c r="X826" t="s">
        <v>787</v>
      </c>
      <c r="Y826">
        <v>7</v>
      </c>
      <c r="Z826" t="str">
        <f>IF(Table1[[#This Row],[Month_No]]&lt;=6, "H1","H2")</f>
        <v>H2</v>
      </c>
    </row>
    <row r="827" spans="1:26" x14ac:dyDescent="0.25">
      <c r="A827" s="2">
        <v>45867</v>
      </c>
      <c r="B827" t="s">
        <v>906</v>
      </c>
      <c r="C827" t="s">
        <v>70</v>
      </c>
      <c r="D827" t="s">
        <v>28</v>
      </c>
      <c r="E827" t="s">
        <v>29</v>
      </c>
      <c r="F827" t="s">
        <v>30</v>
      </c>
      <c r="G827" t="s">
        <v>58</v>
      </c>
      <c r="H827" t="s">
        <v>41</v>
      </c>
      <c r="I827">
        <v>41.262216951076333</v>
      </c>
      <c r="J827" s="3">
        <v>1196.74</v>
      </c>
      <c r="K827" s="3">
        <f>Table1[[#This Row],[Quantity]]*Table1[[#This Row],[Unit_Price]]</f>
        <v>49380.145514031094</v>
      </c>
      <c r="L827" s="3">
        <v>2286.85</v>
      </c>
      <c r="M827" s="3">
        <f>Table1[[#This Row],[Gross_Sales]]-Table1[[#This Row],[Discount]]</f>
        <v>47093.295514031095</v>
      </c>
      <c r="N827" s="3">
        <v>25344.35</v>
      </c>
      <c r="O827" s="3">
        <v>1343.11</v>
      </c>
      <c r="P827" s="3">
        <v>2909.89</v>
      </c>
      <c r="Q827" s="3">
        <v>1135.23</v>
      </c>
      <c r="R827" s="3">
        <v>731.21</v>
      </c>
      <c r="S827" s="3">
        <f>SUM(Table1[[#This Row],[Product_Cost]:[Other_Cost]])</f>
        <v>31463.789999999997</v>
      </c>
      <c r="T827" s="3">
        <f>Table1[[#This Row],[Net_Sales]]-Table1[[#This Row],[Product_Cost]]</f>
        <v>21748.945514031097</v>
      </c>
      <c r="U827" s="3">
        <f>Table1[[#This Row],[Net_Sales]]-Table1[[#This Row],[Total_Cost]]</f>
        <v>15629.505514031098</v>
      </c>
      <c r="V827" s="4">
        <f>Table1[[#This Row],[Net_Profit]]/Table1[[#This Row],[Net_Sales]]</f>
        <v>0.33188387738493269</v>
      </c>
      <c r="W827" t="s">
        <v>33</v>
      </c>
      <c r="X827" t="s">
        <v>787</v>
      </c>
      <c r="Y827">
        <v>7</v>
      </c>
      <c r="Z827" t="str">
        <f>IF(Table1[[#This Row],[Month_No]]&lt;=6, "H1","H2")</f>
        <v>H2</v>
      </c>
    </row>
    <row r="828" spans="1:26" x14ac:dyDescent="0.25">
      <c r="A828" s="2">
        <v>45868</v>
      </c>
      <c r="B828" t="s">
        <v>907</v>
      </c>
      <c r="C828" t="s">
        <v>55</v>
      </c>
      <c r="D828" t="s">
        <v>81</v>
      </c>
      <c r="E828" t="s">
        <v>45</v>
      </c>
      <c r="F828" t="s">
        <v>52</v>
      </c>
      <c r="G828" t="s">
        <v>31</v>
      </c>
      <c r="H828" t="s">
        <v>41</v>
      </c>
      <c r="I828">
        <v>45.64548113313348</v>
      </c>
      <c r="J828" s="3">
        <v>6703.13</v>
      </c>
      <c r="K828" s="3">
        <f>Table1[[#This Row],[Quantity]]*Table1[[#This Row],[Unit_Price]]</f>
        <v>305967.59394794103</v>
      </c>
      <c r="L828" s="3">
        <v>10629.5</v>
      </c>
      <c r="M828" s="3">
        <f>Table1[[#This Row],[Gross_Sales]]-Table1[[#This Row],[Discount]]</f>
        <v>295338.09394794103</v>
      </c>
      <c r="N828" s="3">
        <v>150195.91</v>
      </c>
      <c r="O828" s="3">
        <v>4577.3</v>
      </c>
      <c r="P828" s="3">
        <v>18184.75</v>
      </c>
      <c r="Q828" s="3">
        <v>9381.39</v>
      </c>
      <c r="R828" s="3">
        <v>5000.63</v>
      </c>
      <c r="S828" s="3">
        <f>SUM(Table1[[#This Row],[Product_Cost]:[Other_Cost]])</f>
        <v>187339.97999999998</v>
      </c>
      <c r="T828" s="3">
        <f>Table1[[#This Row],[Net_Sales]]-Table1[[#This Row],[Product_Cost]]</f>
        <v>145142.18394794103</v>
      </c>
      <c r="U828" s="3">
        <f>Table1[[#This Row],[Net_Sales]]-Table1[[#This Row],[Total_Cost]]</f>
        <v>107998.11394794105</v>
      </c>
      <c r="V828" s="4">
        <f>Table1[[#This Row],[Net_Profit]]/Table1[[#This Row],[Net_Sales]]</f>
        <v>0.36567620689993946</v>
      </c>
      <c r="W828" t="s">
        <v>33</v>
      </c>
      <c r="X828" t="s">
        <v>787</v>
      </c>
      <c r="Y828">
        <v>7</v>
      </c>
      <c r="Z828" t="str">
        <f>IF(Table1[[#This Row],[Month_No]]&lt;=6, "H1","H2")</f>
        <v>H2</v>
      </c>
    </row>
    <row r="829" spans="1:26" x14ac:dyDescent="0.25">
      <c r="A829" s="2">
        <v>45868</v>
      </c>
      <c r="B829" t="s">
        <v>908</v>
      </c>
      <c r="C829" t="s">
        <v>43</v>
      </c>
      <c r="D829" t="s">
        <v>56</v>
      </c>
      <c r="E829" t="s">
        <v>57</v>
      </c>
      <c r="F829" t="s">
        <v>52</v>
      </c>
      <c r="G829" t="s">
        <v>76</v>
      </c>
      <c r="H829" t="s">
        <v>32</v>
      </c>
      <c r="I829">
        <v>34.337166325672143</v>
      </c>
      <c r="J829" s="3">
        <v>3389.92</v>
      </c>
      <c r="K829" s="3">
        <f>Table1[[#This Row],[Quantity]]*Table1[[#This Row],[Unit_Price]]</f>
        <v>116400.24687072252</v>
      </c>
      <c r="L829" s="3">
        <v>6578.93</v>
      </c>
      <c r="M829" s="3">
        <f>Table1[[#This Row],[Gross_Sales]]-Table1[[#This Row],[Discount]]</f>
        <v>109821.31687072251</v>
      </c>
      <c r="N829" s="3">
        <v>54548.03</v>
      </c>
      <c r="O829" s="3">
        <v>1907.76</v>
      </c>
      <c r="P829" s="3">
        <v>6274.21</v>
      </c>
      <c r="Q829" s="3">
        <v>2021.82</v>
      </c>
      <c r="R829" s="3">
        <v>1439.19</v>
      </c>
      <c r="S829" s="3">
        <f>SUM(Table1[[#This Row],[Product_Cost]:[Other_Cost]])</f>
        <v>66191.009999999995</v>
      </c>
      <c r="T829" s="3">
        <f>Table1[[#This Row],[Net_Sales]]-Table1[[#This Row],[Product_Cost]]</f>
        <v>55273.286870722513</v>
      </c>
      <c r="U829" s="3">
        <f>Table1[[#This Row],[Net_Sales]]-Table1[[#This Row],[Total_Cost]]</f>
        <v>43630.306870722517</v>
      </c>
      <c r="V829" s="4">
        <f>Table1[[#This Row],[Net_Profit]]/Table1[[#This Row],[Net_Sales]]</f>
        <v>0.39728449916588104</v>
      </c>
      <c r="W829" t="s">
        <v>33</v>
      </c>
      <c r="X829" t="s">
        <v>787</v>
      </c>
      <c r="Y829">
        <v>7</v>
      </c>
      <c r="Z829" t="str">
        <f>IF(Table1[[#This Row],[Month_No]]&lt;=6, "H1","H2")</f>
        <v>H2</v>
      </c>
    </row>
    <row r="830" spans="1:26" x14ac:dyDescent="0.25">
      <c r="A830" s="2">
        <v>45868</v>
      </c>
      <c r="B830" t="s">
        <v>909</v>
      </c>
      <c r="C830" t="s">
        <v>63</v>
      </c>
      <c r="D830" t="s">
        <v>66</v>
      </c>
      <c r="E830" t="s">
        <v>51</v>
      </c>
      <c r="F830" t="s">
        <v>30</v>
      </c>
      <c r="G830" t="s">
        <v>71</v>
      </c>
      <c r="H830" t="s">
        <v>32</v>
      </c>
      <c r="I830">
        <v>47.012072760618452</v>
      </c>
      <c r="J830" s="3">
        <v>1586.07</v>
      </c>
      <c r="K830" s="3">
        <f>Table1[[#This Row],[Quantity]]*Table1[[#This Row],[Unit_Price]]</f>
        <v>74564.43824343411</v>
      </c>
      <c r="L830" s="3">
        <v>3765.97</v>
      </c>
      <c r="M830" s="3">
        <f>Table1[[#This Row],[Gross_Sales]]-Table1[[#This Row],[Discount]]</f>
        <v>70798.468243434108</v>
      </c>
      <c r="N830" s="3">
        <v>32807.879999999997</v>
      </c>
      <c r="O830" s="3">
        <v>1900.11</v>
      </c>
      <c r="P830" s="3">
        <v>4350.5</v>
      </c>
      <c r="Q830" s="3">
        <v>1361.01</v>
      </c>
      <c r="R830" s="3">
        <v>1133.3</v>
      </c>
      <c r="S830" s="3">
        <f>SUM(Table1[[#This Row],[Product_Cost]:[Other_Cost]])</f>
        <v>41552.800000000003</v>
      </c>
      <c r="T830" s="3">
        <f>Table1[[#This Row],[Net_Sales]]-Table1[[#This Row],[Product_Cost]]</f>
        <v>37990.588243434111</v>
      </c>
      <c r="U830" s="3">
        <f>Table1[[#This Row],[Net_Sales]]-Table1[[#This Row],[Total_Cost]]</f>
        <v>29245.668243434106</v>
      </c>
      <c r="V830" s="4">
        <f>Table1[[#This Row],[Net_Profit]]/Table1[[#This Row],[Net_Sales]]</f>
        <v>0.41308334726784668</v>
      </c>
      <c r="W830" t="s">
        <v>33</v>
      </c>
      <c r="X830" t="s">
        <v>787</v>
      </c>
      <c r="Y830">
        <v>7</v>
      </c>
      <c r="Z830" t="str">
        <f>IF(Table1[[#This Row],[Month_No]]&lt;=6, "H1","H2")</f>
        <v>H2</v>
      </c>
    </row>
    <row r="831" spans="1:26" x14ac:dyDescent="0.25">
      <c r="A831" s="2">
        <v>45868</v>
      </c>
      <c r="B831" t="s">
        <v>910</v>
      </c>
      <c r="C831" t="s">
        <v>55</v>
      </c>
      <c r="D831" t="s">
        <v>100</v>
      </c>
      <c r="E831" t="s">
        <v>75</v>
      </c>
      <c r="F831" t="s">
        <v>30</v>
      </c>
      <c r="G831" t="s">
        <v>58</v>
      </c>
      <c r="H831" t="s">
        <v>41</v>
      </c>
      <c r="I831">
        <v>50.777354808589422</v>
      </c>
      <c r="J831" s="3">
        <v>7108.31</v>
      </c>
      <c r="K831" s="3">
        <f>Table1[[#This Row],[Quantity]]*Table1[[#This Row],[Unit_Price]]</f>
        <v>360941.17895944428</v>
      </c>
      <c r="L831" s="3">
        <v>15455.47</v>
      </c>
      <c r="M831" s="3">
        <f>Table1[[#This Row],[Gross_Sales]]-Table1[[#This Row],[Discount]]</f>
        <v>345485.70895944431</v>
      </c>
      <c r="N831" s="3">
        <v>189700.7</v>
      </c>
      <c r="O831" s="3">
        <v>8863.33</v>
      </c>
      <c r="P831" s="3">
        <v>19929.560000000001</v>
      </c>
      <c r="Q831" s="3">
        <v>7002.68</v>
      </c>
      <c r="R831" s="3">
        <v>7416.81</v>
      </c>
      <c r="S831" s="3">
        <f>SUM(Table1[[#This Row],[Product_Cost]:[Other_Cost]])</f>
        <v>232913.08</v>
      </c>
      <c r="T831" s="3">
        <f>Table1[[#This Row],[Net_Sales]]-Table1[[#This Row],[Product_Cost]]</f>
        <v>155785.0089594443</v>
      </c>
      <c r="U831" s="3">
        <f>Table1[[#This Row],[Net_Sales]]-Table1[[#This Row],[Total_Cost]]</f>
        <v>112572.62895944432</v>
      </c>
      <c r="V831" s="4">
        <f>Table1[[#This Row],[Net_Profit]]/Table1[[#This Row],[Net_Sales]]</f>
        <v>0.32583874250109413</v>
      </c>
      <c r="W831" t="s">
        <v>33</v>
      </c>
      <c r="X831" t="s">
        <v>787</v>
      </c>
      <c r="Y831">
        <v>7</v>
      </c>
      <c r="Z831" t="str">
        <f>IF(Table1[[#This Row],[Month_No]]&lt;=6, "H1","H2")</f>
        <v>H2</v>
      </c>
    </row>
    <row r="832" spans="1:26" x14ac:dyDescent="0.25">
      <c r="A832" s="2">
        <v>45869</v>
      </c>
      <c r="B832" t="s">
        <v>911</v>
      </c>
      <c r="C832" t="s">
        <v>107</v>
      </c>
      <c r="D832" t="s">
        <v>183</v>
      </c>
      <c r="E832" t="s">
        <v>38</v>
      </c>
      <c r="F832" t="s">
        <v>46</v>
      </c>
      <c r="G832" t="s">
        <v>86</v>
      </c>
      <c r="H832" t="s">
        <v>59</v>
      </c>
      <c r="I832">
        <v>43.627009401920652</v>
      </c>
      <c r="J832" s="3">
        <v>6989.7</v>
      </c>
      <c r="K832" s="3">
        <f>Table1[[#This Row],[Quantity]]*Table1[[#This Row],[Unit_Price]]</f>
        <v>304939.70761660475</v>
      </c>
      <c r="L832" s="3">
        <v>6197.42</v>
      </c>
      <c r="M832" s="3">
        <f>Table1[[#This Row],[Gross_Sales]]-Table1[[#This Row],[Discount]]</f>
        <v>298742.28761660476</v>
      </c>
      <c r="N832" s="3">
        <v>150676.75</v>
      </c>
      <c r="O832" s="3">
        <v>5277.95</v>
      </c>
      <c r="P832" s="3">
        <v>18188.87</v>
      </c>
      <c r="Q832" s="3">
        <v>5485.58</v>
      </c>
      <c r="R832" s="3">
        <v>5120.51</v>
      </c>
      <c r="S832" s="3">
        <f>SUM(Table1[[#This Row],[Product_Cost]:[Other_Cost]])</f>
        <v>184749.66</v>
      </c>
      <c r="T832" s="3">
        <f>Table1[[#This Row],[Net_Sales]]-Table1[[#This Row],[Product_Cost]]</f>
        <v>148065.53761660476</v>
      </c>
      <c r="U832" s="3">
        <f>Table1[[#This Row],[Net_Sales]]-Table1[[#This Row],[Total_Cost]]</f>
        <v>113992.62761660476</v>
      </c>
      <c r="V832" s="4">
        <f>Table1[[#This Row],[Net_Profit]]/Table1[[#This Row],[Net_Sales]]</f>
        <v>0.38157513128137671</v>
      </c>
      <c r="W832" t="s">
        <v>33</v>
      </c>
      <c r="X832" t="s">
        <v>787</v>
      </c>
      <c r="Y832">
        <v>7</v>
      </c>
      <c r="Z832" t="str">
        <f>IF(Table1[[#This Row],[Month_No]]&lt;=6, "H1","H2")</f>
        <v>H2</v>
      </c>
    </row>
    <row r="833" spans="1:26" x14ac:dyDescent="0.25">
      <c r="A833" s="2">
        <v>45869</v>
      </c>
      <c r="B833" t="s">
        <v>912</v>
      </c>
      <c r="C833" t="s">
        <v>36</v>
      </c>
      <c r="D833" t="s">
        <v>50</v>
      </c>
      <c r="E833" t="s">
        <v>51</v>
      </c>
      <c r="F833" t="s">
        <v>52</v>
      </c>
      <c r="G833" t="s">
        <v>76</v>
      </c>
      <c r="H833" t="s">
        <v>41</v>
      </c>
      <c r="I833">
        <v>57.901626140571899</v>
      </c>
      <c r="J833" s="3">
        <v>842.61</v>
      </c>
      <c r="K833" s="3">
        <f>Table1[[#This Row],[Quantity]]*Table1[[#This Row],[Unit_Price]]</f>
        <v>48788.48920230729</v>
      </c>
      <c r="L833" s="3">
        <v>2093.9</v>
      </c>
      <c r="M833" s="3">
        <f>Table1[[#This Row],[Gross_Sales]]-Table1[[#This Row],[Discount]]</f>
        <v>46694.589202307288</v>
      </c>
      <c r="N833" s="3">
        <v>28044.75</v>
      </c>
      <c r="O833" s="3">
        <v>902.67</v>
      </c>
      <c r="P833" s="3">
        <v>2734.37</v>
      </c>
      <c r="Q833" s="3">
        <v>877.95</v>
      </c>
      <c r="R833" s="3">
        <v>567.37</v>
      </c>
      <c r="S833" s="3">
        <f>SUM(Table1[[#This Row],[Product_Cost]:[Other_Cost]])</f>
        <v>33127.11</v>
      </c>
      <c r="T833" s="3">
        <f>Table1[[#This Row],[Net_Sales]]-Table1[[#This Row],[Product_Cost]]</f>
        <v>18649.839202307288</v>
      </c>
      <c r="U833" s="3">
        <f>Table1[[#This Row],[Net_Sales]]-Table1[[#This Row],[Total_Cost]]</f>
        <v>13567.479202307288</v>
      </c>
      <c r="V833" s="4">
        <f>Table1[[#This Row],[Net_Profit]]/Table1[[#This Row],[Net_Sales]]</f>
        <v>0.29055784479707741</v>
      </c>
      <c r="W833" t="s">
        <v>33</v>
      </c>
      <c r="X833" t="s">
        <v>787</v>
      </c>
      <c r="Y833">
        <v>7</v>
      </c>
      <c r="Z833" t="str">
        <f>IF(Table1[[#This Row],[Month_No]]&lt;=6, "H1","H2")</f>
        <v>H2</v>
      </c>
    </row>
    <row r="834" spans="1:26" x14ac:dyDescent="0.25">
      <c r="A834" s="2">
        <v>45869</v>
      </c>
      <c r="B834" t="s">
        <v>913</v>
      </c>
      <c r="C834" t="s">
        <v>27</v>
      </c>
      <c r="D834" t="s">
        <v>56</v>
      </c>
      <c r="E834" t="s">
        <v>57</v>
      </c>
      <c r="F834" t="s">
        <v>52</v>
      </c>
      <c r="G834" t="s">
        <v>40</v>
      </c>
      <c r="H834" t="s">
        <v>32</v>
      </c>
      <c r="I834">
        <v>36.69162036024337</v>
      </c>
      <c r="J834" s="3">
        <v>3408.25</v>
      </c>
      <c r="K834" s="3">
        <f>Table1[[#This Row],[Quantity]]*Table1[[#This Row],[Unit_Price]]</f>
        <v>125054.21509279947</v>
      </c>
      <c r="L834" s="3">
        <v>7132.71</v>
      </c>
      <c r="M834" s="3">
        <f>Table1[[#This Row],[Gross_Sales]]-Table1[[#This Row],[Discount]]</f>
        <v>117921.50509279946</v>
      </c>
      <c r="N834" s="3">
        <v>56836.639999999999</v>
      </c>
      <c r="O834" s="3">
        <v>2279.15</v>
      </c>
      <c r="P834" s="3">
        <v>5894.63</v>
      </c>
      <c r="Q834" s="3">
        <v>2433.92</v>
      </c>
      <c r="R834" s="3">
        <v>1498.71</v>
      </c>
      <c r="S834" s="3">
        <f>SUM(Table1[[#This Row],[Product_Cost]:[Other_Cost]])</f>
        <v>68943.05</v>
      </c>
      <c r="T834" s="3">
        <f>Table1[[#This Row],[Net_Sales]]-Table1[[#This Row],[Product_Cost]]</f>
        <v>61084.86509279946</v>
      </c>
      <c r="U834" s="3">
        <f>Table1[[#This Row],[Net_Sales]]-Table1[[#This Row],[Total_Cost]]</f>
        <v>48978.455092799457</v>
      </c>
      <c r="V834" s="4">
        <f>Table1[[#This Row],[Net_Profit]]/Table1[[#This Row],[Net_Sales]]</f>
        <v>0.41534794738462161</v>
      </c>
      <c r="W834" t="s">
        <v>33</v>
      </c>
      <c r="X834" t="s">
        <v>787</v>
      </c>
      <c r="Y834">
        <v>7</v>
      </c>
      <c r="Z834" t="str">
        <f>IF(Table1[[#This Row],[Month_No]]&lt;=6, "H1","H2")</f>
        <v>H2</v>
      </c>
    </row>
    <row r="835" spans="1:26" x14ac:dyDescent="0.25">
      <c r="A835" s="2">
        <v>45869</v>
      </c>
      <c r="B835" t="s">
        <v>914</v>
      </c>
      <c r="C835" t="s">
        <v>83</v>
      </c>
      <c r="D835" t="s">
        <v>66</v>
      </c>
      <c r="E835" t="s">
        <v>51</v>
      </c>
      <c r="F835" t="s">
        <v>30</v>
      </c>
      <c r="G835" t="s">
        <v>76</v>
      </c>
      <c r="H835" t="s">
        <v>32</v>
      </c>
      <c r="I835">
        <v>59.136022253198021</v>
      </c>
      <c r="J835" s="3">
        <v>1587.8</v>
      </c>
      <c r="K835" s="3">
        <f>Table1[[#This Row],[Quantity]]*Table1[[#This Row],[Unit_Price]]</f>
        <v>93896.176133627814</v>
      </c>
      <c r="L835" s="3">
        <v>3330.99</v>
      </c>
      <c r="M835" s="3">
        <f>Table1[[#This Row],[Gross_Sales]]-Table1[[#This Row],[Discount]]</f>
        <v>90565.186133627809</v>
      </c>
      <c r="N835" s="3">
        <v>43360.04</v>
      </c>
      <c r="O835" s="3">
        <v>2031.52</v>
      </c>
      <c r="P835" s="3">
        <v>4923.28</v>
      </c>
      <c r="Q835" s="3">
        <v>2121.56</v>
      </c>
      <c r="R835" s="3">
        <v>1313.12</v>
      </c>
      <c r="S835" s="3">
        <f>SUM(Table1[[#This Row],[Product_Cost]:[Other_Cost]])</f>
        <v>53749.52</v>
      </c>
      <c r="T835" s="3">
        <f>Table1[[#This Row],[Net_Sales]]-Table1[[#This Row],[Product_Cost]]</f>
        <v>47205.146133627808</v>
      </c>
      <c r="U835" s="3">
        <f>Table1[[#This Row],[Net_Sales]]-Table1[[#This Row],[Total_Cost]]</f>
        <v>36815.666133627812</v>
      </c>
      <c r="V835" s="4">
        <f>Table1[[#This Row],[Net_Profit]]/Table1[[#This Row],[Net_Sales]]</f>
        <v>0.40651013601746211</v>
      </c>
      <c r="W835" t="s">
        <v>33</v>
      </c>
      <c r="X835" t="s">
        <v>787</v>
      </c>
      <c r="Y835">
        <v>7</v>
      </c>
      <c r="Z835" t="str">
        <f>IF(Table1[[#This Row],[Month_No]]&lt;=6, "H1","H2")</f>
        <v>H2</v>
      </c>
    </row>
    <row r="836" spans="1:26" x14ac:dyDescent="0.25">
      <c r="A836" s="2">
        <v>45869</v>
      </c>
      <c r="B836" t="s">
        <v>915</v>
      </c>
      <c r="C836" t="s">
        <v>27</v>
      </c>
      <c r="D836" t="s">
        <v>183</v>
      </c>
      <c r="E836" t="s">
        <v>38</v>
      </c>
      <c r="F836" t="s">
        <v>30</v>
      </c>
      <c r="G836" t="s">
        <v>58</v>
      </c>
      <c r="H836" t="s">
        <v>59</v>
      </c>
      <c r="I836">
        <v>74.466481721955361</v>
      </c>
      <c r="J836" s="3">
        <v>6616.5</v>
      </c>
      <c r="K836" s="3">
        <f>Table1[[#This Row],[Quantity]]*Table1[[#This Row],[Unit_Price]]</f>
        <v>492707.47631331766</v>
      </c>
      <c r="L836" s="3">
        <v>12413.52</v>
      </c>
      <c r="M836" s="3">
        <f>Table1[[#This Row],[Gross_Sales]]-Table1[[#This Row],[Discount]]</f>
        <v>480293.95631331764</v>
      </c>
      <c r="N836" s="3">
        <v>242912.46</v>
      </c>
      <c r="O836" s="3">
        <v>11239.66</v>
      </c>
      <c r="P836" s="3">
        <v>25276.66</v>
      </c>
      <c r="Q836" s="3">
        <v>13196.39</v>
      </c>
      <c r="R836" s="3">
        <v>6993.1</v>
      </c>
      <c r="S836" s="3">
        <f>SUM(Table1[[#This Row],[Product_Cost]:[Other_Cost]])</f>
        <v>299618.26999999996</v>
      </c>
      <c r="T836" s="3">
        <f>Table1[[#This Row],[Net_Sales]]-Table1[[#This Row],[Product_Cost]]</f>
        <v>237381.49631331765</v>
      </c>
      <c r="U836" s="3">
        <f>Table1[[#This Row],[Net_Sales]]-Table1[[#This Row],[Total_Cost]]</f>
        <v>180675.68631331768</v>
      </c>
      <c r="V836" s="4">
        <f>Table1[[#This Row],[Net_Profit]]/Table1[[#This Row],[Net_Sales]]</f>
        <v>0.37617730545719108</v>
      </c>
      <c r="W836" t="s">
        <v>72</v>
      </c>
      <c r="X836" t="s">
        <v>787</v>
      </c>
      <c r="Y836">
        <v>7</v>
      </c>
      <c r="Z836" t="str">
        <f>IF(Table1[[#This Row],[Month_No]]&lt;=6, "H1","H2")</f>
        <v>H2</v>
      </c>
    </row>
    <row r="837" spans="1:26" x14ac:dyDescent="0.25">
      <c r="A837" s="2">
        <v>45869</v>
      </c>
      <c r="B837" t="s">
        <v>916</v>
      </c>
      <c r="C837" t="s">
        <v>107</v>
      </c>
      <c r="D837" t="s">
        <v>28</v>
      </c>
      <c r="E837" t="s">
        <v>29</v>
      </c>
      <c r="F837" t="s">
        <v>46</v>
      </c>
      <c r="G837" t="s">
        <v>61</v>
      </c>
      <c r="H837" t="s">
        <v>32</v>
      </c>
      <c r="I837">
        <v>95.677019019486423</v>
      </c>
      <c r="J837" s="3">
        <v>1173.06</v>
      </c>
      <c r="K837" s="3">
        <f>Table1[[#This Row],[Quantity]]*Table1[[#This Row],[Unit_Price]]</f>
        <v>112234.88393099874</v>
      </c>
      <c r="L837" s="3">
        <v>6369.02</v>
      </c>
      <c r="M837" s="3">
        <f>Table1[[#This Row],[Gross_Sales]]-Table1[[#This Row],[Discount]]</f>
        <v>105865.86393099873</v>
      </c>
      <c r="N837" s="3">
        <v>53306</v>
      </c>
      <c r="O837" s="3">
        <v>2156.9499999999998</v>
      </c>
      <c r="P837" s="3">
        <v>6169.07</v>
      </c>
      <c r="Q837" s="3">
        <v>2447.81</v>
      </c>
      <c r="R837" s="3">
        <v>1433.15</v>
      </c>
      <c r="S837" s="3">
        <f>SUM(Table1[[#This Row],[Product_Cost]:[Other_Cost]])</f>
        <v>65512.979999999996</v>
      </c>
      <c r="T837" s="3">
        <f>Table1[[#This Row],[Net_Sales]]-Table1[[#This Row],[Product_Cost]]</f>
        <v>52559.863930998734</v>
      </c>
      <c r="U837" s="3">
        <f>Table1[[#This Row],[Net_Sales]]-Table1[[#This Row],[Total_Cost]]</f>
        <v>40352.883930998738</v>
      </c>
      <c r="V837" s="4">
        <f>Table1[[#This Row],[Net_Profit]]/Table1[[#This Row],[Net_Sales]]</f>
        <v>0.38116992987749049</v>
      </c>
      <c r="W837" t="s">
        <v>33</v>
      </c>
      <c r="X837" t="s">
        <v>787</v>
      </c>
      <c r="Y837">
        <v>7</v>
      </c>
      <c r="Z837" t="str">
        <f>IF(Table1[[#This Row],[Month_No]]&lt;=6, "H1","H2")</f>
        <v>H2</v>
      </c>
    </row>
    <row r="838" spans="1:26" x14ac:dyDescent="0.25">
      <c r="A838" s="2">
        <v>45869</v>
      </c>
      <c r="B838" t="s">
        <v>917</v>
      </c>
      <c r="C838" t="s">
        <v>36</v>
      </c>
      <c r="D838" t="s">
        <v>183</v>
      </c>
      <c r="E838" t="s">
        <v>38</v>
      </c>
      <c r="F838" t="s">
        <v>52</v>
      </c>
      <c r="G838" t="s">
        <v>64</v>
      </c>
      <c r="H838" t="s">
        <v>59</v>
      </c>
      <c r="I838">
        <v>33.79414971251628</v>
      </c>
      <c r="J838" s="3">
        <v>6783.09</v>
      </c>
      <c r="K838" s="3">
        <f>Table1[[#This Row],[Quantity]]*Table1[[#This Row],[Unit_Price]]</f>
        <v>229228.75897347205</v>
      </c>
      <c r="L838" s="3">
        <v>6760.42</v>
      </c>
      <c r="M838" s="3">
        <f>Table1[[#This Row],[Gross_Sales]]-Table1[[#This Row],[Discount]]</f>
        <v>222468.33897347204</v>
      </c>
      <c r="N838" s="3">
        <v>119506.79</v>
      </c>
      <c r="O838" s="3">
        <v>3830.88</v>
      </c>
      <c r="P838" s="3">
        <v>12256.23</v>
      </c>
      <c r="Q838" s="3">
        <v>4160.91</v>
      </c>
      <c r="R838" s="3">
        <v>4471.79</v>
      </c>
      <c r="S838" s="3">
        <f>SUM(Table1[[#This Row],[Product_Cost]:[Other_Cost]])</f>
        <v>144226.6</v>
      </c>
      <c r="T838" s="3">
        <f>Table1[[#This Row],[Net_Sales]]-Table1[[#This Row],[Product_Cost]]</f>
        <v>102961.54897347205</v>
      </c>
      <c r="U838" s="3">
        <f>Table1[[#This Row],[Net_Sales]]-Table1[[#This Row],[Total_Cost]]</f>
        <v>78241.738973472035</v>
      </c>
      <c r="V838" s="4">
        <f>Table1[[#This Row],[Net_Profit]]/Table1[[#This Row],[Net_Sales]]</f>
        <v>0.35169831057533935</v>
      </c>
      <c r="W838" t="s">
        <v>33</v>
      </c>
      <c r="X838" t="s">
        <v>787</v>
      </c>
      <c r="Y838">
        <v>7</v>
      </c>
      <c r="Z838" t="str">
        <f>IF(Table1[[#This Row],[Month_No]]&lt;=6, "H1","H2")</f>
        <v>H2</v>
      </c>
    </row>
    <row r="839" spans="1:26" x14ac:dyDescent="0.25">
      <c r="A839" s="2">
        <v>45869</v>
      </c>
      <c r="B839" t="s">
        <v>918</v>
      </c>
      <c r="C839" t="s">
        <v>49</v>
      </c>
      <c r="D839" t="s">
        <v>28</v>
      </c>
      <c r="E839" t="s">
        <v>29</v>
      </c>
      <c r="F839" t="s">
        <v>52</v>
      </c>
      <c r="G839" t="s">
        <v>58</v>
      </c>
      <c r="H839" t="s">
        <v>47</v>
      </c>
      <c r="I839">
        <v>114.9509199357622</v>
      </c>
      <c r="J839" s="3">
        <v>1211.48</v>
      </c>
      <c r="K839" s="3">
        <f>Table1[[#This Row],[Quantity]]*Table1[[#This Row],[Unit_Price]]</f>
        <v>139260.74048377719</v>
      </c>
      <c r="L839" s="3">
        <v>4190.4399999999996</v>
      </c>
      <c r="M839" s="3">
        <f>Table1[[#This Row],[Gross_Sales]]-Table1[[#This Row],[Discount]]</f>
        <v>135070.30048377719</v>
      </c>
      <c r="N839" s="3">
        <v>72452.05</v>
      </c>
      <c r="O839" s="3">
        <v>2895.61</v>
      </c>
      <c r="P839" s="3">
        <v>7757.75</v>
      </c>
      <c r="Q839" s="3">
        <v>4242.2299999999996</v>
      </c>
      <c r="R839" s="3">
        <v>1714.79</v>
      </c>
      <c r="S839" s="3">
        <f>SUM(Table1[[#This Row],[Product_Cost]:[Other_Cost]])</f>
        <v>89062.43</v>
      </c>
      <c r="T839" s="3">
        <f>Table1[[#This Row],[Net_Sales]]-Table1[[#This Row],[Product_Cost]]</f>
        <v>62618.250483777185</v>
      </c>
      <c r="U839" s="3">
        <f>Table1[[#This Row],[Net_Sales]]-Table1[[#This Row],[Total_Cost]]</f>
        <v>46007.870483777195</v>
      </c>
      <c r="V839" s="4">
        <f>Table1[[#This Row],[Net_Profit]]/Table1[[#This Row],[Net_Sales]]</f>
        <v>0.34062166382241105</v>
      </c>
      <c r="W839" t="s">
        <v>33</v>
      </c>
      <c r="X839" t="s">
        <v>787</v>
      </c>
      <c r="Y839">
        <v>7</v>
      </c>
      <c r="Z839" t="str">
        <f>IF(Table1[[#This Row],[Month_No]]&lt;=6, "H1","H2")</f>
        <v>H2</v>
      </c>
    </row>
    <row r="840" spans="1:26" x14ac:dyDescent="0.25">
      <c r="A840" s="2">
        <v>45870</v>
      </c>
      <c r="B840" t="s">
        <v>919</v>
      </c>
      <c r="C840" t="s">
        <v>49</v>
      </c>
      <c r="D840" t="s">
        <v>37</v>
      </c>
      <c r="E840" t="s">
        <v>38</v>
      </c>
      <c r="F840" t="s">
        <v>52</v>
      </c>
      <c r="G840" t="s">
        <v>31</v>
      </c>
      <c r="H840" t="s">
        <v>59</v>
      </c>
      <c r="I840">
        <v>62.974317282664963</v>
      </c>
      <c r="J840" s="3">
        <v>4819.93</v>
      </c>
      <c r="K840" s="3">
        <f>Table1[[#This Row],[Quantity]]*Table1[[#This Row],[Unit_Price]]</f>
        <v>303531.80110023537</v>
      </c>
      <c r="L840" s="3">
        <v>11214.6</v>
      </c>
      <c r="M840" s="3">
        <f>Table1[[#This Row],[Gross_Sales]]-Table1[[#This Row],[Discount]]</f>
        <v>292317.2011002354</v>
      </c>
      <c r="N840" s="3">
        <v>198462.6</v>
      </c>
      <c r="O840" s="3">
        <v>5319.88</v>
      </c>
      <c r="P840" s="3">
        <v>15317.8</v>
      </c>
      <c r="Q840" s="3">
        <v>8352.14</v>
      </c>
      <c r="R840" s="3">
        <v>3959.32</v>
      </c>
      <c r="S840" s="3">
        <f>SUM(Table1[[#This Row],[Product_Cost]:[Other_Cost]])</f>
        <v>231411.74</v>
      </c>
      <c r="T840" s="3">
        <f>Table1[[#This Row],[Net_Sales]]-Table1[[#This Row],[Product_Cost]]</f>
        <v>93854.601100235392</v>
      </c>
      <c r="U840" s="3">
        <f>Table1[[#This Row],[Net_Sales]]-Table1[[#This Row],[Total_Cost]]</f>
        <v>60905.461100235407</v>
      </c>
      <c r="V840" s="4">
        <f>Table1[[#This Row],[Net_Profit]]/Table1[[#This Row],[Net_Sales]]</f>
        <v>0.2083540102019209</v>
      </c>
      <c r="W840" t="s">
        <v>33</v>
      </c>
      <c r="X840" t="s">
        <v>920</v>
      </c>
      <c r="Y840">
        <v>8</v>
      </c>
      <c r="Z840" t="str">
        <f>IF(Table1[[#This Row],[Month_No]]&lt;=6, "H1","H2")</f>
        <v>H2</v>
      </c>
    </row>
    <row r="841" spans="1:26" x14ac:dyDescent="0.25">
      <c r="A841" s="2">
        <v>45870</v>
      </c>
      <c r="B841" t="s">
        <v>921</v>
      </c>
      <c r="C841" t="s">
        <v>63</v>
      </c>
      <c r="D841" t="s">
        <v>85</v>
      </c>
      <c r="E841" t="s">
        <v>57</v>
      </c>
      <c r="F841" t="s">
        <v>30</v>
      </c>
      <c r="G841" t="s">
        <v>76</v>
      </c>
      <c r="H841" t="s">
        <v>41</v>
      </c>
      <c r="I841">
        <v>33.729055600444809</v>
      </c>
      <c r="J841" s="3">
        <v>2043.92</v>
      </c>
      <c r="K841" s="3">
        <f>Table1[[#This Row],[Quantity]]*Table1[[#This Row],[Unit_Price]]</f>
        <v>68939.491322861155</v>
      </c>
      <c r="L841" s="3">
        <v>2992.56</v>
      </c>
      <c r="M841" s="3">
        <f>Table1[[#This Row],[Gross_Sales]]-Table1[[#This Row],[Discount]]</f>
        <v>65946.931322861157</v>
      </c>
      <c r="N841" s="3">
        <v>41126.11</v>
      </c>
      <c r="O841" s="3">
        <v>1434.31</v>
      </c>
      <c r="P841" s="3">
        <v>3290.32</v>
      </c>
      <c r="Q841" s="3">
        <v>1725.07</v>
      </c>
      <c r="R841" s="3">
        <v>1298.47</v>
      </c>
      <c r="S841" s="3">
        <f>SUM(Table1[[#This Row],[Product_Cost]:[Other_Cost]])</f>
        <v>48874.28</v>
      </c>
      <c r="T841" s="3">
        <f>Table1[[#This Row],[Net_Sales]]-Table1[[#This Row],[Product_Cost]]</f>
        <v>24820.821322861157</v>
      </c>
      <c r="U841" s="3">
        <f>Table1[[#This Row],[Net_Sales]]-Table1[[#This Row],[Total_Cost]]</f>
        <v>17072.651322861158</v>
      </c>
      <c r="V841" s="4">
        <f>Table1[[#This Row],[Net_Profit]]/Table1[[#This Row],[Net_Sales]]</f>
        <v>0.25888469683717874</v>
      </c>
      <c r="W841" t="s">
        <v>33</v>
      </c>
      <c r="X841" t="s">
        <v>920</v>
      </c>
      <c r="Y841">
        <v>8</v>
      </c>
      <c r="Z841" t="str">
        <f>IF(Table1[[#This Row],[Month_No]]&lt;=6, "H1","H2")</f>
        <v>H2</v>
      </c>
    </row>
    <row r="842" spans="1:26" x14ac:dyDescent="0.25">
      <c r="A842" s="2">
        <v>45870</v>
      </c>
      <c r="B842" t="s">
        <v>922</v>
      </c>
      <c r="C842" t="s">
        <v>78</v>
      </c>
      <c r="D842" t="s">
        <v>183</v>
      </c>
      <c r="E842" t="s">
        <v>38</v>
      </c>
      <c r="F842" t="s">
        <v>52</v>
      </c>
      <c r="G842" t="s">
        <v>86</v>
      </c>
      <c r="H842" t="s">
        <v>47</v>
      </c>
      <c r="I842">
        <v>53.847237298058737</v>
      </c>
      <c r="J842" s="3">
        <v>6812.84</v>
      </c>
      <c r="K842" s="3">
        <f>Table1[[#This Row],[Quantity]]*Table1[[#This Row],[Unit_Price]]</f>
        <v>366852.61215370649</v>
      </c>
      <c r="L842" s="3">
        <v>13167.79</v>
      </c>
      <c r="M842" s="3">
        <f>Table1[[#This Row],[Gross_Sales]]-Table1[[#This Row],[Discount]]</f>
        <v>353684.82215370651</v>
      </c>
      <c r="N842" s="3">
        <v>179378.07</v>
      </c>
      <c r="O842" s="3">
        <v>5894.84</v>
      </c>
      <c r="P842" s="3">
        <v>18428.580000000002</v>
      </c>
      <c r="Q842" s="3">
        <v>7919.61</v>
      </c>
      <c r="R842" s="3">
        <v>6129.97</v>
      </c>
      <c r="S842" s="3">
        <f>SUM(Table1[[#This Row],[Product_Cost]:[Other_Cost]])</f>
        <v>217751.06999999998</v>
      </c>
      <c r="T842" s="3">
        <f>Table1[[#This Row],[Net_Sales]]-Table1[[#This Row],[Product_Cost]]</f>
        <v>174306.7521537065</v>
      </c>
      <c r="U842" s="3">
        <f>Table1[[#This Row],[Net_Sales]]-Table1[[#This Row],[Total_Cost]]</f>
        <v>135933.75215370653</v>
      </c>
      <c r="V842" s="4">
        <f>Table1[[#This Row],[Net_Profit]]/Table1[[#This Row],[Net_Sales]]</f>
        <v>0.38433583699170332</v>
      </c>
      <c r="W842" t="s">
        <v>72</v>
      </c>
      <c r="X842" t="s">
        <v>920</v>
      </c>
      <c r="Y842">
        <v>8</v>
      </c>
      <c r="Z842" t="str">
        <f>IF(Table1[[#This Row],[Month_No]]&lt;=6, "H1","H2")</f>
        <v>H2</v>
      </c>
    </row>
    <row r="843" spans="1:26" x14ac:dyDescent="0.25">
      <c r="A843" s="2">
        <v>45870</v>
      </c>
      <c r="B843" t="s">
        <v>923</v>
      </c>
      <c r="C843" t="s">
        <v>107</v>
      </c>
      <c r="D843" t="s">
        <v>56</v>
      </c>
      <c r="E843" t="s">
        <v>57</v>
      </c>
      <c r="F843" t="s">
        <v>30</v>
      </c>
      <c r="G843" t="s">
        <v>31</v>
      </c>
      <c r="H843" t="s">
        <v>41</v>
      </c>
      <c r="I843">
        <v>4.6346263147408013</v>
      </c>
      <c r="J843" s="3">
        <v>3238.69</v>
      </c>
      <c r="K843" s="3">
        <f>Table1[[#This Row],[Quantity]]*Table1[[#This Row],[Unit_Price]]</f>
        <v>15010.117899287887</v>
      </c>
      <c r="L843" s="3">
        <v>681.56</v>
      </c>
      <c r="M843" s="3">
        <f>Table1[[#This Row],[Gross_Sales]]-Table1[[#This Row],[Discount]]</f>
        <v>14328.557899287887</v>
      </c>
      <c r="N843" s="3">
        <v>7062.09</v>
      </c>
      <c r="O843" s="3">
        <v>317.98</v>
      </c>
      <c r="P843" s="3">
        <v>762.85</v>
      </c>
      <c r="Q843" s="3">
        <v>321.52</v>
      </c>
      <c r="R843" s="3">
        <v>246.76</v>
      </c>
      <c r="S843" s="3">
        <f>SUM(Table1[[#This Row],[Product_Cost]:[Other_Cost]])</f>
        <v>8711.2000000000007</v>
      </c>
      <c r="T843" s="3">
        <f>Table1[[#This Row],[Net_Sales]]-Table1[[#This Row],[Product_Cost]]</f>
        <v>7266.4678992878871</v>
      </c>
      <c r="U843" s="3">
        <f>Table1[[#This Row],[Net_Sales]]-Table1[[#This Row],[Total_Cost]]</f>
        <v>5617.3578992878865</v>
      </c>
      <c r="V843" s="4">
        <f>Table1[[#This Row],[Net_Profit]]/Table1[[#This Row],[Net_Sales]]</f>
        <v>0.39203930631198153</v>
      </c>
      <c r="W843" t="s">
        <v>33</v>
      </c>
      <c r="X843" t="s">
        <v>920</v>
      </c>
      <c r="Y843">
        <v>8</v>
      </c>
      <c r="Z843" t="str">
        <f>IF(Table1[[#This Row],[Month_No]]&lt;=6, "H1","H2")</f>
        <v>H2</v>
      </c>
    </row>
    <row r="844" spans="1:26" x14ac:dyDescent="0.25">
      <c r="A844" s="2">
        <v>45870</v>
      </c>
      <c r="B844" t="s">
        <v>924</v>
      </c>
      <c r="C844" t="s">
        <v>98</v>
      </c>
      <c r="D844" t="s">
        <v>68</v>
      </c>
      <c r="E844" t="s">
        <v>29</v>
      </c>
      <c r="F844" t="s">
        <v>46</v>
      </c>
      <c r="G844" t="s">
        <v>31</v>
      </c>
      <c r="H844" t="s">
        <v>41</v>
      </c>
      <c r="I844">
        <v>92.372809820521169</v>
      </c>
      <c r="J844" s="3">
        <v>399.91</v>
      </c>
      <c r="K844" s="3">
        <f>Table1[[#This Row],[Quantity]]*Table1[[#This Row],[Unit_Price]]</f>
        <v>36940.810375324625</v>
      </c>
      <c r="L844" s="3">
        <v>1914.52</v>
      </c>
      <c r="M844" s="3">
        <f>Table1[[#This Row],[Gross_Sales]]-Table1[[#This Row],[Discount]]</f>
        <v>35026.290375324628</v>
      </c>
      <c r="N844" s="3">
        <v>25599.69</v>
      </c>
      <c r="O844" s="3">
        <v>735.86</v>
      </c>
      <c r="P844" s="3">
        <v>2052.9299999999998</v>
      </c>
      <c r="Q844" s="3">
        <v>751.03</v>
      </c>
      <c r="R844" s="3">
        <v>674.83</v>
      </c>
      <c r="S844" s="3">
        <f>SUM(Table1[[#This Row],[Product_Cost]:[Other_Cost]])</f>
        <v>29814.34</v>
      </c>
      <c r="T844" s="3">
        <f>Table1[[#This Row],[Net_Sales]]-Table1[[#This Row],[Product_Cost]]</f>
        <v>9426.6003753246296</v>
      </c>
      <c r="U844" s="3">
        <f>Table1[[#This Row],[Net_Sales]]-Table1[[#This Row],[Total_Cost]]</f>
        <v>5211.9503753246281</v>
      </c>
      <c r="V844" s="4">
        <f>Table1[[#This Row],[Net_Profit]]/Table1[[#This Row],[Net_Sales]]</f>
        <v>0.14880109539080252</v>
      </c>
      <c r="W844" t="s">
        <v>33</v>
      </c>
      <c r="X844" t="s">
        <v>920</v>
      </c>
      <c r="Y844">
        <v>8</v>
      </c>
      <c r="Z844" t="str">
        <f>IF(Table1[[#This Row],[Month_No]]&lt;=6, "H1","H2")</f>
        <v>H2</v>
      </c>
    </row>
    <row r="845" spans="1:26" x14ac:dyDescent="0.25">
      <c r="A845" s="2">
        <v>45870</v>
      </c>
      <c r="B845" t="s">
        <v>925</v>
      </c>
      <c r="C845" t="s">
        <v>78</v>
      </c>
      <c r="D845" t="s">
        <v>100</v>
      </c>
      <c r="E845" t="s">
        <v>75</v>
      </c>
      <c r="F845" t="s">
        <v>46</v>
      </c>
      <c r="G845" t="s">
        <v>58</v>
      </c>
      <c r="H845" t="s">
        <v>41</v>
      </c>
      <c r="I845">
        <v>63.913674697116832</v>
      </c>
      <c r="J845" s="3">
        <v>6982.52</v>
      </c>
      <c r="K845" s="3">
        <f>Table1[[#This Row],[Quantity]]*Table1[[#This Row],[Unit_Price]]</f>
        <v>446278.51184611226</v>
      </c>
      <c r="L845" s="3">
        <v>17031.52</v>
      </c>
      <c r="M845" s="3">
        <f>Table1[[#This Row],[Gross_Sales]]-Table1[[#This Row],[Discount]]</f>
        <v>429246.99184611224</v>
      </c>
      <c r="N845" s="3">
        <v>237941.55</v>
      </c>
      <c r="O845" s="3">
        <v>8031.8</v>
      </c>
      <c r="P845" s="3">
        <v>24054.34</v>
      </c>
      <c r="Q845" s="3">
        <v>8911.77</v>
      </c>
      <c r="R845" s="3">
        <v>8539.33</v>
      </c>
      <c r="S845" s="3">
        <f>SUM(Table1[[#This Row],[Product_Cost]:[Other_Cost]])</f>
        <v>287478.79000000004</v>
      </c>
      <c r="T845" s="3">
        <f>Table1[[#This Row],[Net_Sales]]-Table1[[#This Row],[Product_Cost]]</f>
        <v>191305.44184611226</v>
      </c>
      <c r="U845" s="3">
        <f>Table1[[#This Row],[Net_Sales]]-Table1[[#This Row],[Total_Cost]]</f>
        <v>141768.20184611221</v>
      </c>
      <c r="V845" s="4">
        <f>Table1[[#This Row],[Net_Profit]]/Table1[[#This Row],[Net_Sales]]</f>
        <v>0.3302718587179686</v>
      </c>
      <c r="W845" t="s">
        <v>33</v>
      </c>
      <c r="X845" t="s">
        <v>920</v>
      </c>
      <c r="Y845">
        <v>8</v>
      </c>
      <c r="Z845" t="str">
        <f>IF(Table1[[#This Row],[Month_No]]&lt;=6, "H1","H2")</f>
        <v>H2</v>
      </c>
    </row>
    <row r="846" spans="1:26" x14ac:dyDescent="0.25">
      <c r="A846" s="2">
        <v>45871</v>
      </c>
      <c r="B846" t="s">
        <v>926</v>
      </c>
      <c r="C846" t="s">
        <v>55</v>
      </c>
      <c r="D846" t="s">
        <v>56</v>
      </c>
      <c r="E846" t="s">
        <v>57</v>
      </c>
      <c r="F846" t="s">
        <v>30</v>
      </c>
      <c r="G846" t="s">
        <v>71</v>
      </c>
      <c r="H846" t="s">
        <v>32</v>
      </c>
      <c r="I846">
        <v>35.899555638129833</v>
      </c>
      <c r="J846" s="3">
        <v>3471.09</v>
      </c>
      <c r="K846" s="3">
        <f>Table1[[#This Row],[Quantity]]*Table1[[#This Row],[Unit_Price]]</f>
        <v>124610.58857995609</v>
      </c>
      <c r="L846" s="3">
        <v>5183.83</v>
      </c>
      <c r="M846" s="3">
        <f>Table1[[#This Row],[Gross_Sales]]-Table1[[#This Row],[Discount]]</f>
        <v>119426.75857995609</v>
      </c>
      <c r="N846" s="3">
        <v>61161.17</v>
      </c>
      <c r="O846" s="3">
        <v>2434.21</v>
      </c>
      <c r="P846" s="3">
        <v>6099.55</v>
      </c>
      <c r="Q846" s="3">
        <v>2679.04</v>
      </c>
      <c r="R846" s="3">
        <v>1969.97</v>
      </c>
      <c r="S846" s="3">
        <f>SUM(Table1[[#This Row],[Product_Cost]:[Other_Cost]])</f>
        <v>74343.939999999988</v>
      </c>
      <c r="T846" s="3">
        <f>Table1[[#This Row],[Net_Sales]]-Table1[[#This Row],[Product_Cost]]</f>
        <v>58265.588579956093</v>
      </c>
      <c r="U846" s="3">
        <f>Table1[[#This Row],[Net_Sales]]-Table1[[#This Row],[Total_Cost]]</f>
        <v>45082.818579956103</v>
      </c>
      <c r="V846" s="4">
        <f>Table1[[#This Row],[Net_Profit]]/Table1[[#This Row],[Net_Sales]]</f>
        <v>0.37749344548921338</v>
      </c>
      <c r="W846" t="s">
        <v>33</v>
      </c>
      <c r="X846" t="s">
        <v>920</v>
      </c>
      <c r="Y846">
        <v>8</v>
      </c>
      <c r="Z846" t="str">
        <f>IF(Table1[[#This Row],[Month_No]]&lt;=6, "H1","H2")</f>
        <v>H2</v>
      </c>
    </row>
    <row r="847" spans="1:26" x14ac:dyDescent="0.25">
      <c r="A847" s="2">
        <v>45871</v>
      </c>
      <c r="B847" t="s">
        <v>927</v>
      </c>
      <c r="C847" t="s">
        <v>78</v>
      </c>
      <c r="D847" t="s">
        <v>183</v>
      </c>
      <c r="E847" t="s">
        <v>38</v>
      </c>
      <c r="F847" t="s">
        <v>52</v>
      </c>
      <c r="G847" t="s">
        <v>31</v>
      </c>
      <c r="H847" t="s">
        <v>32</v>
      </c>
      <c r="I847">
        <v>20.595750528307729</v>
      </c>
      <c r="J847" s="3">
        <v>6892.38</v>
      </c>
      <c r="K847" s="3">
        <f>Table1[[#This Row],[Quantity]]*Table1[[#This Row],[Unit_Price]]</f>
        <v>141953.73902629764</v>
      </c>
      <c r="L847" s="3">
        <v>7708.55</v>
      </c>
      <c r="M847" s="3">
        <f>Table1[[#This Row],[Gross_Sales]]-Table1[[#This Row],[Discount]]</f>
        <v>134245.18902629765</v>
      </c>
      <c r="N847" s="3">
        <v>69382.880000000005</v>
      </c>
      <c r="O847" s="3">
        <v>2474.2600000000002</v>
      </c>
      <c r="P847" s="3">
        <v>7150.22</v>
      </c>
      <c r="Q847" s="3">
        <v>3502.88</v>
      </c>
      <c r="R847" s="3">
        <v>2743.51</v>
      </c>
      <c r="S847" s="3">
        <f>SUM(Table1[[#This Row],[Product_Cost]:[Other_Cost]])</f>
        <v>85253.75</v>
      </c>
      <c r="T847" s="3">
        <f>Table1[[#This Row],[Net_Sales]]-Table1[[#This Row],[Product_Cost]]</f>
        <v>64862.309026297648</v>
      </c>
      <c r="U847" s="3">
        <f>Table1[[#This Row],[Net_Sales]]-Table1[[#This Row],[Total_Cost]]</f>
        <v>48991.439026297652</v>
      </c>
      <c r="V847" s="4">
        <f>Table1[[#This Row],[Net_Profit]]/Table1[[#This Row],[Net_Sales]]</f>
        <v>0.36493999808589483</v>
      </c>
      <c r="W847" t="s">
        <v>33</v>
      </c>
      <c r="X847" t="s">
        <v>920</v>
      </c>
      <c r="Y847">
        <v>8</v>
      </c>
      <c r="Z847" t="str">
        <f>IF(Table1[[#This Row],[Month_No]]&lt;=6, "H1","H2")</f>
        <v>H2</v>
      </c>
    </row>
    <row r="848" spans="1:26" x14ac:dyDescent="0.25">
      <c r="A848" s="2">
        <v>45871</v>
      </c>
      <c r="B848" t="s">
        <v>928</v>
      </c>
      <c r="C848" t="s">
        <v>43</v>
      </c>
      <c r="D848" t="s">
        <v>74</v>
      </c>
      <c r="E848" t="s">
        <v>75</v>
      </c>
      <c r="F848" t="s">
        <v>52</v>
      </c>
      <c r="G848" t="s">
        <v>71</v>
      </c>
      <c r="H848" t="s">
        <v>32</v>
      </c>
      <c r="I848">
        <v>81.98903583332708</v>
      </c>
      <c r="J848" s="3">
        <v>5740.62</v>
      </c>
      <c r="K848" s="3">
        <f>Table1[[#This Row],[Quantity]]*Table1[[#This Row],[Unit_Price]]</f>
        <v>470667.89888551406</v>
      </c>
      <c r="L848" s="3">
        <v>16726.5</v>
      </c>
      <c r="M848" s="3">
        <f>Table1[[#This Row],[Gross_Sales]]-Table1[[#This Row],[Discount]]</f>
        <v>453941.39888551406</v>
      </c>
      <c r="N848" s="3">
        <v>306932.90999999997</v>
      </c>
      <c r="O848" s="3">
        <v>9002.7199999999993</v>
      </c>
      <c r="P848" s="3">
        <v>27080.79</v>
      </c>
      <c r="Q848" s="3">
        <v>9883.7199999999993</v>
      </c>
      <c r="R848" s="3">
        <v>7410.51</v>
      </c>
      <c r="S848" s="3">
        <f>SUM(Table1[[#This Row],[Product_Cost]:[Other_Cost]])</f>
        <v>360310.64999999991</v>
      </c>
      <c r="T848" s="3">
        <f>Table1[[#This Row],[Net_Sales]]-Table1[[#This Row],[Product_Cost]]</f>
        <v>147008.48888551409</v>
      </c>
      <c r="U848" s="3">
        <f>Table1[[#This Row],[Net_Sales]]-Table1[[#This Row],[Total_Cost]]</f>
        <v>93630.748885514156</v>
      </c>
      <c r="V848" s="4">
        <f>Table1[[#This Row],[Net_Profit]]/Table1[[#This Row],[Net_Sales]]</f>
        <v>0.20626175342321715</v>
      </c>
      <c r="W848" t="s">
        <v>33</v>
      </c>
      <c r="X848" t="s">
        <v>920</v>
      </c>
      <c r="Y848">
        <v>8</v>
      </c>
      <c r="Z848" t="str">
        <f>IF(Table1[[#This Row],[Month_No]]&lt;=6, "H1","H2")</f>
        <v>H2</v>
      </c>
    </row>
    <row r="849" spans="1:26" x14ac:dyDescent="0.25">
      <c r="A849" s="2">
        <v>45871</v>
      </c>
      <c r="B849" t="s">
        <v>929</v>
      </c>
      <c r="C849" t="s">
        <v>70</v>
      </c>
      <c r="D849" t="s">
        <v>81</v>
      </c>
      <c r="E849" t="s">
        <v>45</v>
      </c>
      <c r="F849" t="s">
        <v>39</v>
      </c>
      <c r="G849" t="s">
        <v>71</v>
      </c>
      <c r="H849" t="s">
        <v>47</v>
      </c>
      <c r="I849">
        <v>76.976273034751799</v>
      </c>
      <c r="J849" s="3">
        <v>6755.32</v>
      </c>
      <c r="K849" s="3">
        <f>Table1[[#This Row],[Quantity]]*Table1[[#This Row],[Unit_Price]]</f>
        <v>519999.35675711947</v>
      </c>
      <c r="L849" s="3">
        <v>17215.38</v>
      </c>
      <c r="M849" s="3">
        <f>Table1[[#This Row],[Gross_Sales]]-Table1[[#This Row],[Discount]]</f>
        <v>502783.97675711947</v>
      </c>
      <c r="N849" s="3">
        <v>263013.74</v>
      </c>
      <c r="O849" s="3">
        <v>13247.6</v>
      </c>
      <c r="P849" s="3">
        <v>27474.85</v>
      </c>
      <c r="Q849" s="3">
        <v>14359.72</v>
      </c>
      <c r="R849" s="3">
        <v>8551.3700000000008</v>
      </c>
      <c r="S849" s="3">
        <f>SUM(Table1[[#This Row],[Product_Cost]:[Other_Cost]])</f>
        <v>326647.27999999991</v>
      </c>
      <c r="T849" s="3">
        <f>Table1[[#This Row],[Net_Sales]]-Table1[[#This Row],[Product_Cost]]</f>
        <v>239770.23675711948</v>
      </c>
      <c r="U849" s="3">
        <f>Table1[[#This Row],[Net_Sales]]-Table1[[#This Row],[Total_Cost]]</f>
        <v>176136.69675711956</v>
      </c>
      <c r="V849" s="4">
        <f>Table1[[#This Row],[Net_Profit]]/Table1[[#This Row],[Net_Sales]]</f>
        <v>0.35032281237993024</v>
      </c>
      <c r="W849" t="s">
        <v>33</v>
      </c>
      <c r="X849" t="s">
        <v>920</v>
      </c>
      <c r="Y849">
        <v>8</v>
      </c>
      <c r="Z849" t="str">
        <f>IF(Table1[[#This Row],[Month_No]]&lt;=6, "H1","H2")</f>
        <v>H2</v>
      </c>
    </row>
    <row r="850" spans="1:26" x14ac:dyDescent="0.25">
      <c r="A850" s="2">
        <v>45871</v>
      </c>
      <c r="B850" t="s">
        <v>930</v>
      </c>
      <c r="C850" t="s">
        <v>43</v>
      </c>
      <c r="D850" t="s">
        <v>68</v>
      </c>
      <c r="E850" t="s">
        <v>29</v>
      </c>
      <c r="F850" t="s">
        <v>52</v>
      </c>
      <c r="G850" t="s">
        <v>71</v>
      </c>
      <c r="H850" t="s">
        <v>41</v>
      </c>
      <c r="I850">
        <v>60.314942660794891</v>
      </c>
      <c r="J850" s="3">
        <v>376.78</v>
      </c>
      <c r="K850" s="3">
        <f>Table1[[#This Row],[Quantity]]*Table1[[#This Row],[Unit_Price]]</f>
        <v>22725.464095734296</v>
      </c>
      <c r="L850" s="3">
        <v>695.6</v>
      </c>
      <c r="M850" s="3">
        <f>Table1[[#This Row],[Gross_Sales]]-Table1[[#This Row],[Discount]]</f>
        <v>22029.864095734298</v>
      </c>
      <c r="N850" s="3">
        <v>16022.66</v>
      </c>
      <c r="O850" s="3">
        <v>433</v>
      </c>
      <c r="P850" s="3">
        <v>1354.88</v>
      </c>
      <c r="Q850" s="3">
        <v>445.92</v>
      </c>
      <c r="R850" s="3">
        <v>343.55</v>
      </c>
      <c r="S850" s="3">
        <f>SUM(Table1[[#This Row],[Product_Cost]:[Other_Cost]])</f>
        <v>18600.009999999998</v>
      </c>
      <c r="T850" s="3">
        <f>Table1[[#This Row],[Net_Sales]]-Table1[[#This Row],[Product_Cost]]</f>
        <v>6007.2040957342979</v>
      </c>
      <c r="U850" s="3">
        <f>Table1[[#This Row],[Net_Sales]]-Table1[[#This Row],[Total_Cost]]</f>
        <v>3429.8540957342993</v>
      </c>
      <c r="V850" s="4">
        <f>Table1[[#This Row],[Net_Profit]]/Table1[[#This Row],[Net_Sales]]</f>
        <v>0.15569111460830262</v>
      </c>
      <c r="W850" t="s">
        <v>33</v>
      </c>
      <c r="X850" t="s">
        <v>920</v>
      </c>
      <c r="Y850">
        <v>8</v>
      </c>
      <c r="Z850" t="str">
        <f>IF(Table1[[#This Row],[Month_No]]&lt;=6, "H1","H2")</f>
        <v>H2</v>
      </c>
    </row>
    <row r="851" spans="1:26" x14ac:dyDescent="0.25">
      <c r="A851" s="2">
        <v>45873</v>
      </c>
      <c r="B851" t="s">
        <v>931</v>
      </c>
      <c r="C851" t="s">
        <v>55</v>
      </c>
      <c r="D851" t="s">
        <v>81</v>
      </c>
      <c r="E851" t="s">
        <v>45</v>
      </c>
      <c r="F851" t="s">
        <v>46</v>
      </c>
      <c r="G851" t="s">
        <v>31</v>
      </c>
      <c r="H851" t="s">
        <v>47</v>
      </c>
      <c r="I851">
        <v>17.991746120632449</v>
      </c>
      <c r="J851" s="3">
        <v>6802.07</v>
      </c>
      <c r="K851" s="3">
        <f>Table1[[#This Row],[Quantity]]*Table1[[#This Row],[Unit_Price]]</f>
        <v>122381.11653477035</v>
      </c>
      <c r="L851" s="3">
        <v>5029.5</v>
      </c>
      <c r="M851" s="3">
        <f>Table1[[#This Row],[Gross_Sales]]-Table1[[#This Row],[Discount]]</f>
        <v>117351.61653477035</v>
      </c>
      <c r="N851" s="3">
        <v>58451.54</v>
      </c>
      <c r="O851" s="3">
        <v>2286.66</v>
      </c>
      <c r="P851" s="3">
        <v>6536.12</v>
      </c>
      <c r="Q851" s="3">
        <v>2495.67</v>
      </c>
      <c r="R851" s="3">
        <v>2158.92</v>
      </c>
      <c r="S851" s="3">
        <f>SUM(Table1[[#This Row],[Product_Cost]:[Other_Cost]])</f>
        <v>71928.909999999989</v>
      </c>
      <c r="T851" s="3">
        <f>Table1[[#This Row],[Net_Sales]]-Table1[[#This Row],[Product_Cost]]</f>
        <v>58900.076534770349</v>
      </c>
      <c r="U851" s="3">
        <f>Table1[[#This Row],[Net_Sales]]-Table1[[#This Row],[Total_Cost]]</f>
        <v>45422.706534770361</v>
      </c>
      <c r="V851" s="4">
        <f>Table1[[#This Row],[Net_Profit]]/Table1[[#This Row],[Net_Sales]]</f>
        <v>0.38706502625221167</v>
      </c>
      <c r="W851" t="s">
        <v>33</v>
      </c>
      <c r="X851" t="s">
        <v>920</v>
      </c>
      <c r="Y851">
        <v>8</v>
      </c>
      <c r="Z851" t="str">
        <f>IF(Table1[[#This Row],[Month_No]]&lt;=6, "H1","H2")</f>
        <v>H2</v>
      </c>
    </row>
    <row r="852" spans="1:26" x14ac:dyDescent="0.25">
      <c r="A852" s="2">
        <v>45873</v>
      </c>
      <c r="B852" t="s">
        <v>932</v>
      </c>
      <c r="C852" t="s">
        <v>83</v>
      </c>
      <c r="D852" t="s">
        <v>66</v>
      </c>
      <c r="E852" t="s">
        <v>51</v>
      </c>
      <c r="F852" t="s">
        <v>52</v>
      </c>
      <c r="G852" t="s">
        <v>31</v>
      </c>
      <c r="H852" t="s">
        <v>32</v>
      </c>
      <c r="I852">
        <v>18.73295282642971</v>
      </c>
      <c r="J852" s="3">
        <v>1593.29</v>
      </c>
      <c r="K852" s="3">
        <f>Table1[[#This Row],[Quantity]]*Table1[[#This Row],[Unit_Price]]</f>
        <v>29847.026408822192</v>
      </c>
      <c r="L852" s="3">
        <v>1619.9</v>
      </c>
      <c r="M852" s="3">
        <f>Table1[[#This Row],[Gross_Sales]]-Table1[[#This Row],[Discount]]</f>
        <v>28227.126408822191</v>
      </c>
      <c r="N852" s="3">
        <v>14176.96</v>
      </c>
      <c r="O852" s="3">
        <v>480.74</v>
      </c>
      <c r="P852" s="3">
        <v>1590.13</v>
      </c>
      <c r="Q852" s="3">
        <v>875.26</v>
      </c>
      <c r="R852" s="3">
        <v>562.51</v>
      </c>
      <c r="S852" s="3">
        <f>SUM(Table1[[#This Row],[Product_Cost]:[Other_Cost]])</f>
        <v>17685.599999999995</v>
      </c>
      <c r="T852" s="3">
        <f>Table1[[#This Row],[Net_Sales]]-Table1[[#This Row],[Product_Cost]]</f>
        <v>14050.166408822191</v>
      </c>
      <c r="U852" s="3">
        <f>Table1[[#This Row],[Net_Sales]]-Table1[[#This Row],[Total_Cost]]</f>
        <v>10541.526408822196</v>
      </c>
      <c r="V852" s="4">
        <f>Table1[[#This Row],[Net_Profit]]/Table1[[#This Row],[Net_Sales]]</f>
        <v>0.37345375707558798</v>
      </c>
      <c r="W852" t="s">
        <v>33</v>
      </c>
      <c r="X852" t="s">
        <v>920</v>
      </c>
      <c r="Y852">
        <v>8</v>
      </c>
      <c r="Z852" t="str">
        <f>IF(Table1[[#This Row],[Month_No]]&lt;=6, "H1","H2")</f>
        <v>H2</v>
      </c>
    </row>
    <row r="853" spans="1:26" x14ac:dyDescent="0.25">
      <c r="A853" s="2">
        <v>45874</v>
      </c>
      <c r="B853" t="s">
        <v>933</v>
      </c>
      <c r="C853" t="s">
        <v>43</v>
      </c>
      <c r="D853" t="s">
        <v>183</v>
      </c>
      <c r="E853" t="s">
        <v>38</v>
      </c>
      <c r="F853" t="s">
        <v>52</v>
      </c>
      <c r="G853" t="s">
        <v>40</v>
      </c>
      <c r="H853" t="s">
        <v>41</v>
      </c>
      <c r="I853">
        <v>86.094096231537662</v>
      </c>
      <c r="J853" s="3">
        <v>6643.41</v>
      </c>
      <c r="K853" s="3">
        <f>Table1[[#This Row],[Quantity]]*Table1[[#This Row],[Unit_Price]]</f>
        <v>571958.3798455596</v>
      </c>
      <c r="L853" s="3">
        <v>28247.53</v>
      </c>
      <c r="M853" s="3">
        <f>Table1[[#This Row],[Gross_Sales]]-Table1[[#This Row],[Discount]]</f>
        <v>543710.84984555957</v>
      </c>
      <c r="N853" s="3">
        <v>291883</v>
      </c>
      <c r="O853" s="3">
        <v>9706.73</v>
      </c>
      <c r="P853" s="3">
        <v>30988.37</v>
      </c>
      <c r="Q853" s="3">
        <v>16542.419999999998</v>
      </c>
      <c r="R853" s="3">
        <v>8889.9599999999991</v>
      </c>
      <c r="S853" s="3">
        <f>SUM(Table1[[#This Row],[Product_Cost]:[Other_Cost]])</f>
        <v>358010.48</v>
      </c>
      <c r="T853" s="3">
        <f>Table1[[#This Row],[Net_Sales]]-Table1[[#This Row],[Product_Cost]]</f>
        <v>251827.84984555957</v>
      </c>
      <c r="U853" s="3">
        <f>Table1[[#This Row],[Net_Sales]]-Table1[[#This Row],[Total_Cost]]</f>
        <v>185700.36984555959</v>
      </c>
      <c r="V853" s="4">
        <f>Table1[[#This Row],[Net_Profit]]/Table1[[#This Row],[Net_Sales]]</f>
        <v>0.3415425127129752</v>
      </c>
      <c r="W853" t="s">
        <v>72</v>
      </c>
      <c r="X853" t="s">
        <v>920</v>
      </c>
      <c r="Y853">
        <v>8</v>
      </c>
      <c r="Z853" t="str">
        <f>IF(Table1[[#This Row],[Month_No]]&lt;=6, "H1","H2")</f>
        <v>H2</v>
      </c>
    </row>
    <row r="854" spans="1:26" x14ac:dyDescent="0.25">
      <c r="A854" s="2">
        <v>45874</v>
      </c>
      <c r="B854" t="s">
        <v>934</v>
      </c>
      <c r="C854" t="s">
        <v>49</v>
      </c>
      <c r="D854" t="s">
        <v>85</v>
      </c>
      <c r="E854" t="s">
        <v>57</v>
      </c>
      <c r="F854" t="s">
        <v>39</v>
      </c>
      <c r="G854" t="s">
        <v>61</v>
      </c>
      <c r="H854" t="s">
        <v>41</v>
      </c>
      <c r="I854">
        <v>60.028662403747617</v>
      </c>
      <c r="J854" s="3">
        <v>2060.54</v>
      </c>
      <c r="K854" s="3">
        <f>Table1[[#This Row],[Quantity]]*Table1[[#This Row],[Unit_Price]]</f>
        <v>123691.46002941811</v>
      </c>
      <c r="L854" s="3">
        <v>3790.76</v>
      </c>
      <c r="M854" s="3">
        <f>Table1[[#This Row],[Gross_Sales]]-Table1[[#This Row],[Discount]]</f>
        <v>119900.70002941812</v>
      </c>
      <c r="N854" s="3">
        <v>73283.06</v>
      </c>
      <c r="O854" s="3">
        <v>3504.47</v>
      </c>
      <c r="P854" s="3">
        <v>5885.77</v>
      </c>
      <c r="Q854" s="3">
        <v>3366.68</v>
      </c>
      <c r="R854" s="3">
        <v>1869.84</v>
      </c>
      <c r="S854" s="3">
        <f>SUM(Table1[[#This Row],[Product_Cost]:[Other_Cost]])</f>
        <v>87909.819999999992</v>
      </c>
      <c r="T854" s="3">
        <f>Table1[[#This Row],[Net_Sales]]-Table1[[#This Row],[Product_Cost]]</f>
        <v>46617.640029418122</v>
      </c>
      <c r="U854" s="3">
        <f>Table1[[#This Row],[Net_Sales]]-Table1[[#This Row],[Total_Cost]]</f>
        <v>31990.880029418127</v>
      </c>
      <c r="V854" s="4">
        <f>Table1[[#This Row],[Net_Profit]]/Table1[[#This Row],[Net_Sales]]</f>
        <v>0.26681145332403428</v>
      </c>
      <c r="W854" t="s">
        <v>72</v>
      </c>
      <c r="X854" t="s">
        <v>920</v>
      </c>
      <c r="Y854">
        <v>8</v>
      </c>
      <c r="Z854" t="str">
        <f>IF(Table1[[#This Row],[Month_No]]&lt;=6, "H1","H2")</f>
        <v>H2</v>
      </c>
    </row>
    <row r="855" spans="1:26" x14ac:dyDescent="0.25">
      <c r="A855" s="2">
        <v>45874</v>
      </c>
      <c r="B855" t="s">
        <v>935</v>
      </c>
      <c r="C855" t="s">
        <v>78</v>
      </c>
      <c r="D855" t="s">
        <v>50</v>
      </c>
      <c r="E855" t="s">
        <v>51</v>
      </c>
      <c r="F855" t="s">
        <v>30</v>
      </c>
      <c r="G855" t="s">
        <v>61</v>
      </c>
      <c r="H855" t="s">
        <v>41</v>
      </c>
      <c r="I855">
        <v>69.372926758367925</v>
      </c>
      <c r="J855" s="3">
        <v>914.65</v>
      </c>
      <c r="K855" s="3">
        <f>Table1[[#This Row],[Quantity]]*Table1[[#This Row],[Unit_Price]]</f>
        <v>63451.947459541218</v>
      </c>
      <c r="L855" s="3">
        <v>1958.95</v>
      </c>
      <c r="M855" s="3">
        <f>Table1[[#This Row],[Gross_Sales]]-Table1[[#This Row],[Discount]]</f>
        <v>61492.99745954122</v>
      </c>
      <c r="N855" s="3">
        <v>35963</v>
      </c>
      <c r="O855" s="3">
        <v>1451.03</v>
      </c>
      <c r="P855" s="3">
        <v>3477.96</v>
      </c>
      <c r="Q855" s="3">
        <v>1795.61</v>
      </c>
      <c r="R855" s="3">
        <v>834.44</v>
      </c>
      <c r="S855" s="3">
        <f>SUM(Table1[[#This Row],[Product_Cost]:[Other_Cost]])</f>
        <v>43522.04</v>
      </c>
      <c r="T855" s="3">
        <f>Table1[[#This Row],[Net_Sales]]-Table1[[#This Row],[Product_Cost]]</f>
        <v>25529.99745954122</v>
      </c>
      <c r="U855" s="3">
        <f>Table1[[#This Row],[Net_Sales]]-Table1[[#This Row],[Total_Cost]]</f>
        <v>17970.95745954122</v>
      </c>
      <c r="V855" s="4">
        <f>Table1[[#This Row],[Net_Profit]]/Table1[[#This Row],[Net_Sales]]</f>
        <v>0.2922439660119846</v>
      </c>
      <c r="W855" t="s">
        <v>33</v>
      </c>
      <c r="X855" t="s">
        <v>920</v>
      </c>
      <c r="Y855">
        <v>8</v>
      </c>
      <c r="Z855" t="str">
        <f>IF(Table1[[#This Row],[Month_No]]&lt;=6, "H1","H2")</f>
        <v>H2</v>
      </c>
    </row>
    <row r="856" spans="1:26" x14ac:dyDescent="0.25">
      <c r="A856" s="2">
        <v>45874</v>
      </c>
      <c r="B856" t="s">
        <v>936</v>
      </c>
      <c r="C856" t="s">
        <v>55</v>
      </c>
      <c r="D856" t="s">
        <v>68</v>
      </c>
      <c r="E856" t="s">
        <v>29</v>
      </c>
      <c r="F856" t="s">
        <v>52</v>
      </c>
      <c r="G856" t="s">
        <v>64</v>
      </c>
      <c r="H856" t="s">
        <v>59</v>
      </c>
      <c r="I856">
        <v>105.99549246566789</v>
      </c>
      <c r="J856" s="3">
        <v>386.94</v>
      </c>
      <c r="K856" s="3">
        <f>Table1[[#This Row],[Quantity]]*Table1[[#This Row],[Unit_Price]]</f>
        <v>41013.895854665534</v>
      </c>
      <c r="L856" s="3">
        <v>933.56</v>
      </c>
      <c r="M856" s="3">
        <f>Table1[[#This Row],[Gross_Sales]]-Table1[[#This Row],[Discount]]</f>
        <v>40080.335854665536</v>
      </c>
      <c r="N856" s="3">
        <v>27452.97</v>
      </c>
      <c r="O856" s="3">
        <v>648.89</v>
      </c>
      <c r="P856" s="3">
        <v>1989.26</v>
      </c>
      <c r="Q856" s="3">
        <v>894.33</v>
      </c>
      <c r="R856" s="3">
        <v>589.33000000000004</v>
      </c>
      <c r="S856" s="3">
        <f>SUM(Table1[[#This Row],[Product_Cost]:[Other_Cost]])</f>
        <v>31574.780000000002</v>
      </c>
      <c r="T856" s="3">
        <f>Table1[[#This Row],[Net_Sales]]-Table1[[#This Row],[Product_Cost]]</f>
        <v>12627.365854665535</v>
      </c>
      <c r="U856" s="3">
        <f>Table1[[#This Row],[Net_Sales]]-Table1[[#This Row],[Total_Cost]]</f>
        <v>8505.5558546655338</v>
      </c>
      <c r="V856" s="4">
        <f>Table1[[#This Row],[Net_Profit]]/Table1[[#This Row],[Net_Sales]]</f>
        <v>0.21221268917274924</v>
      </c>
      <c r="W856" t="s">
        <v>33</v>
      </c>
      <c r="X856" t="s">
        <v>920</v>
      </c>
      <c r="Y856">
        <v>8</v>
      </c>
      <c r="Z856" t="str">
        <f>IF(Table1[[#This Row],[Month_No]]&lt;=6, "H1","H2")</f>
        <v>H2</v>
      </c>
    </row>
    <row r="857" spans="1:26" x14ac:dyDescent="0.25">
      <c r="A857" s="2">
        <v>45874</v>
      </c>
      <c r="B857" t="s">
        <v>937</v>
      </c>
      <c r="C857" t="s">
        <v>36</v>
      </c>
      <c r="D857" t="s">
        <v>68</v>
      </c>
      <c r="E857" t="s">
        <v>29</v>
      </c>
      <c r="F857" t="s">
        <v>52</v>
      </c>
      <c r="G857" t="s">
        <v>40</v>
      </c>
      <c r="H857" t="s">
        <v>47</v>
      </c>
      <c r="I857">
        <v>87.775164627711334</v>
      </c>
      <c r="J857" s="3">
        <v>393.7</v>
      </c>
      <c r="K857" s="3">
        <f>Table1[[#This Row],[Quantity]]*Table1[[#This Row],[Unit_Price]]</f>
        <v>34557.082313929954</v>
      </c>
      <c r="L857" s="3">
        <v>1552.57</v>
      </c>
      <c r="M857" s="3">
        <f>Table1[[#This Row],[Gross_Sales]]-Table1[[#This Row],[Discount]]</f>
        <v>33004.512313929954</v>
      </c>
      <c r="N857" s="3">
        <v>23472.26</v>
      </c>
      <c r="O857" s="3">
        <v>655.20000000000005</v>
      </c>
      <c r="P857" s="3">
        <v>1694.72</v>
      </c>
      <c r="Q857" s="3">
        <v>728.43</v>
      </c>
      <c r="R857" s="3">
        <v>430.17</v>
      </c>
      <c r="S857" s="3">
        <f>SUM(Table1[[#This Row],[Product_Cost]:[Other_Cost]])</f>
        <v>26980.78</v>
      </c>
      <c r="T857" s="3">
        <f>Table1[[#This Row],[Net_Sales]]-Table1[[#This Row],[Product_Cost]]</f>
        <v>9532.2523139299556</v>
      </c>
      <c r="U857" s="3">
        <f>Table1[[#This Row],[Net_Sales]]-Table1[[#This Row],[Total_Cost]]</f>
        <v>6023.7323139299551</v>
      </c>
      <c r="V857" s="4">
        <f>Table1[[#This Row],[Net_Profit]]/Table1[[#This Row],[Net_Sales]]</f>
        <v>0.18251238668924569</v>
      </c>
      <c r="W857" t="s">
        <v>33</v>
      </c>
      <c r="X857" t="s">
        <v>920</v>
      </c>
      <c r="Y857">
        <v>8</v>
      </c>
      <c r="Z857" t="str">
        <f>IF(Table1[[#This Row],[Month_No]]&lt;=6, "H1","H2")</f>
        <v>H2</v>
      </c>
    </row>
    <row r="858" spans="1:26" x14ac:dyDescent="0.25">
      <c r="A858" s="2">
        <v>45874</v>
      </c>
      <c r="B858" t="s">
        <v>938</v>
      </c>
      <c r="C858" t="s">
        <v>83</v>
      </c>
      <c r="D858" t="s">
        <v>66</v>
      </c>
      <c r="E858" t="s">
        <v>51</v>
      </c>
      <c r="F858" t="s">
        <v>46</v>
      </c>
      <c r="G858" t="s">
        <v>31</v>
      </c>
      <c r="H858" t="s">
        <v>41</v>
      </c>
      <c r="I858">
        <v>35.077063298465028</v>
      </c>
      <c r="J858" s="3">
        <v>1537.55</v>
      </c>
      <c r="K858" s="3">
        <f>Table1[[#This Row],[Quantity]]*Table1[[#This Row],[Unit_Price]]</f>
        <v>53932.738674554901</v>
      </c>
      <c r="L858" s="3">
        <v>2679.86</v>
      </c>
      <c r="M858" s="3">
        <f>Table1[[#This Row],[Gross_Sales]]-Table1[[#This Row],[Discount]]</f>
        <v>51252.8786745549</v>
      </c>
      <c r="N858" s="3">
        <v>23428.22</v>
      </c>
      <c r="O858" s="3">
        <v>1142.69</v>
      </c>
      <c r="P858" s="3">
        <v>2929.28</v>
      </c>
      <c r="Q858" s="3">
        <v>1023.41</v>
      </c>
      <c r="R858" s="3">
        <v>679.76</v>
      </c>
      <c r="S858" s="3">
        <f>SUM(Table1[[#This Row],[Product_Cost]:[Other_Cost]])</f>
        <v>29203.359999999997</v>
      </c>
      <c r="T858" s="3">
        <f>Table1[[#This Row],[Net_Sales]]-Table1[[#This Row],[Product_Cost]]</f>
        <v>27824.658674554899</v>
      </c>
      <c r="U858" s="3">
        <f>Table1[[#This Row],[Net_Sales]]-Table1[[#This Row],[Total_Cost]]</f>
        <v>22049.518674554904</v>
      </c>
      <c r="V858" s="4">
        <f>Table1[[#This Row],[Net_Profit]]/Table1[[#This Row],[Net_Sales]]</f>
        <v>0.43021034612640496</v>
      </c>
      <c r="W858" t="s">
        <v>72</v>
      </c>
      <c r="X858" t="s">
        <v>920</v>
      </c>
      <c r="Y858">
        <v>8</v>
      </c>
      <c r="Z858" t="str">
        <f>IF(Table1[[#This Row],[Month_No]]&lt;=6, "H1","H2")</f>
        <v>H2</v>
      </c>
    </row>
    <row r="859" spans="1:26" x14ac:dyDescent="0.25">
      <c r="A859" s="2">
        <v>45875</v>
      </c>
      <c r="B859" t="s">
        <v>939</v>
      </c>
      <c r="C859" t="s">
        <v>98</v>
      </c>
      <c r="D859" t="s">
        <v>81</v>
      </c>
      <c r="E859" t="s">
        <v>45</v>
      </c>
      <c r="F859" t="s">
        <v>52</v>
      </c>
      <c r="G859" t="s">
        <v>64</v>
      </c>
      <c r="H859" t="s">
        <v>59</v>
      </c>
      <c r="I859">
        <v>90.929328242810215</v>
      </c>
      <c r="J859" s="3">
        <v>7183.84</v>
      </c>
      <c r="K859" s="3">
        <f>Table1[[#This Row],[Quantity]]*Table1[[#This Row],[Unit_Price]]</f>
        <v>653221.74540382973</v>
      </c>
      <c r="L859" s="3">
        <v>28206.49</v>
      </c>
      <c r="M859" s="3">
        <f>Table1[[#This Row],[Gross_Sales]]-Table1[[#This Row],[Discount]]</f>
        <v>625015.25540382974</v>
      </c>
      <c r="N859" s="3">
        <v>324362.2</v>
      </c>
      <c r="O859" s="3">
        <v>11552.2</v>
      </c>
      <c r="P859" s="3">
        <v>35101.81</v>
      </c>
      <c r="Q859" s="3">
        <v>16291.5</v>
      </c>
      <c r="R859" s="3">
        <v>13552.32</v>
      </c>
      <c r="S859" s="3">
        <f>SUM(Table1[[#This Row],[Product_Cost]:[Other_Cost]])</f>
        <v>400860.03</v>
      </c>
      <c r="T859" s="3">
        <f>Table1[[#This Row],[Net_Sales]]-Table1[[#This Row],[Product_Cost]]</f>
        <v>300653.05540382973</v>
      </c>
      <c r="U859" s="3">
        <f>Table1[[#This Row],[Net_Sales]]-Table1[[#This Row],[Total_Cost]]</f>
        <v>224155.22540382971</v>
      </c>
      <c r="V859" s="4">
        <f>Table1[[#This Row],[Net_Profit]]/Table1[[#This Row],[Net_Sales]]</f>
        <v>0.35863960673887929</v>
      </c>
      <c r="W859" t="s">
        <v>33</v>
      </c>
      <c r="X859" t="s">
        <v>920</v>
      </c>
      <c r="Y859">
        <v>8</v>
      </c>
      <c r="Z859" t="str">
        <f>IF(Table1[[#This Row],[Month_No]]&lt;=6, "H1","H2")</f>
        <v>H2</v>
      </c>
    </row>
    <row r="860" spans="1:26" x14ac:dyDescent="0.25">
      <c r="A860" s="2">
        <v>45876</v>
      </c>
      <c r="B860" t="s">
        <v>940</v>
      </c>
      <c r="C860" t="s">
        <v>98</v>
      </c>
      <c r="D860" t="s">
        <v>37</v>
      </c>
      <c r="E860" t="s">
        <v>38</v>
      </c>
      <c r="F860" t="s">
        <v>52</v>
      </c>
      <c r="G860" t="s">
        <v>86</v>
      </c>
      <c r="H860" t="s">
        <v>59</v>
      </c>
      <c r="I860">
        <v>56.121991820076651</v>
      </c>
      <c r="J860" s="3">
        <v>4480.78</v>
      </c>
      <c r="K860" s="3">
        <f>Table1[[#This Row],[Quantity]]*Table1[[#This Row],[Unit_Price]]</f>
        <v>251470.29850756304</v>
      </c>
      <c r="L860" s="3">
        <v>10826.01</v>
      </c>
      <c r="M860" s="3">
        <f>Table1[[#This Row],[Gross_Sales]]-Table1[[#This Row],[Discount]]</f>
        <v>240644.28850756303</v>
      </c>
      <c r="N860" s="3">
        <v>158441.42000000001</v>
      </c>
      <c r="O860" s="3">
        <v>3907.16</v>
      </c>
      <c r="P860" s="3">
        <v>13772.59</v>
      </c>
      <c r="Q860" s="3">
        <v>7134.57</v>
      </c>
      <c r="R860" s="3">
        <v>3626.98</v>
      </c>
      <c r="S860" s="3">
        <f>SUM(Table1[[#This Row],[Product_Cost]:[Other_Cost]])</f>
        <v>186882.72000000003</v>
      </c>
      <c r="T860" s="3">
        <f>Table1[[#This Row],[Net_Sales]]-Table1[[#This Row],[Product_Cost]]</f>
        <v>82202.86850756302</v>
      </c>
      <c r="U860" s="3">
        <f>Table1[[#This Row],[Net_Sales]]-Table1[[#This Row],[Total_Cost]]</f>
        <v>53761.568507563003</v>
      </c>
      <c r="V860" s="4">
        <f>Table1[[#This Row],[Net_Profit]]/Table1[[#This Row],[Net_Sales]]</f>
        <v>0.22340679199570268</v>
      </c>
      <c r="W860" t="s">
        <v>33</v>
      </c>
      <c r="X860" t="s">
        <v>920</v>
      </c>
      <c r="Y860">
        <v>8</v>
      </c>
      <c r="Z860" t="str">
        <f>IF(Table1[[#This Row],[Month_No]]&lt;=6, "H1","H2")</f>
        <v>H2</v>
      </c>
    </row>
    <row r="861" spans="1:26" x14ac:dyDescent="0.25">
      <c r="A861" s="2">
        <v>45876</v>
      </c>
      <c r="B861" t="s">
        <v>941</v>
      </c>
      <c r="C861" t="s">
        <v>70</v>
      </c>
      <c r="D861" t="s">
        <v>37</v>
      </c>
      <c r="E861" t="s">
        <v>38</v>
      </c>
      <c r="F861" t="s">
        <v>52</v>
      </c>
      <c r="G861" t="s">
        <v>61</v>
      </c>
      <c r="H861" t="s">
        <v>41</v>
      </c>
      <c r="I861">
        <v>75.826397487228434</v>
      </c>
      <c r="J861" s="3">
        <v>4570.38</v>
      </c>
      <c r="K861" s="3">
        <f>Table1[[#This Row],[Quantity]]*Table1[[#This Row],[Unit_Price]]</f>
        <v>346555.45054767909</v>
      </c>
      <c r="L861" s="3">
        <v>14073.33</v>
      </c>
      <c r="M861" s="3">
        <f>Table1[[#This Row],[Gross_Sales]]-Table1[[#This Row],[Discount]]</f>
        <v>332482.12054767908</v>
      </c>
      <c r="N861" s="3">
        <v>208979.35</v>
      </c>
      <c r="O861" s="3">
        <v>6186.61</v>
      </c>
      <c r="P861" s="3">
        <v>16948.53</v>
      </c>
      <c r="Q861" s="3">
        <v>10195.209999999999</v>
      </c>
      <c r="R861" s="3">
        <v>6808.42</v>
      </c>
      <c r="S861" s="3">
        <f>SUM(Table1[[#This Row],[Product_Cost]:[Other_Cost]])</f>
        <v>249118.12</v>
      </c>
      <c r="T861" s="3">
        <f>Table1[[#This Row],[Net_Sales]]-Table1[[#This Row],[Product_Cost]]</f>
        <v>123502.77054767907</v>
      </c>
      <c r="U861" s="3">
        <f>Table1[[#This Row],[Net_Sales]]-Table1[[#This Row],[Total_Cost]]</f>
        <v>83364.000547679083</v>
      </c>
      <c r="V861" s="4">
        <f>Table1[[#This Row],[Net_Profit]]/Table1[[#This Row],[Net_Sales]]</f>
        <v>0.25073228121367325</v>
      </c>
      <c r="W861" t="s">
        <v>33</v>
      </c>
      <c r="X861" t="s">
        <v>920</v>
      </c>
      <c r="Y861">
        <v>8</v>
      </c>
      <c r="Z861" t="str">
        <f>IF(Table1[[#This Row],[Month_No]]&lt;=6, "H1","H2")</f>
        <v>H2</v>
      </c>
    </row>
    <row r="862" spans="1:26" x14ac:dyDescent="0.25">
      <c r="A862" s="2">
        <v>45876</v>
      </c>
      <c r="B862" t="s">
        <v>942</v>
      </c>
      <c r="C862" t="s">
        <v>78</v>
      </c>
      <c r="D862" t="s">
        <v>44</v>
      </c>
      <c r="E862" t="s">
        <v>45</v>
      </c>
      <c r="F862" t="s">
        <v>52</v>
      </c>
      <c r="G862" t="s">
        <v>76</v>
      </c>
      <c r="H862" t="s">
        <v>32</v>
      </c>
      <c r="I862">
        <v>82.725148748685612</v>
      </c>
      <c r="J862" s="3">
        <v>4800.2299999999996</v>
      </c>
      <c r="K862" s="3">
        <f>Table1[[#This Row],[Quantity]]*Table1[[#This Row],[Unit_Price]]</f>
        <v>397099.74077790312</v>
      </c>
      <c r="L862" s="3">
        <v>16816.759999999998</v>
      </c>
      <c r="M862" s="3">
        <f>Table1[[#This Row],[Gross_Sales]]-Table1[[#This Row],[Discount]]</f>
        <v>380282.98077790311</v>
      </c>
      <c r="N862" s="3">
        <v>262420.90999999997</v>
      </c>
      <c r="O862" s="3">
        <v>6545.63</v>
      </c>
      <c r="P862" s="3">
        <v>18756.46</v>
      </c>
      <c r="Q862" s="3">
        <v>11962.93</v>
      </c>
      <c r="R862" s="3">
        <v>7290.57</v>
      </c>
      <c r="S862" s="3">
        <f>SUM(Table1[[#This Row],[Product_Cost]:[Other_Cost]])</f>
        <v>306976.5</v>
      </c>
      <c r="T862" s="3">
        <f>Table1[[#This Row],[Net_Sales]]-Table1[[#This Row],[Product_Cost]]</f>
        <v>117862.07077790314</v>
      </c>
      <c r="U862" s="3">
        <f>Table1[[#This Row],[Net_Sales]]-Table1[[#This Row],[Total_Cost]]</f>
        <v>73306.480777903111</v>
      </c>
      <c r="V862" s="4">
        <f>Table1[[#This Row],[Net_Profit]]/Table1[[#This Row],[Net_Sales]]</f>
        <v>0.19276823966181211</v>
      </c>
      <c r="W862" t="s">
        <v>33</v>
      </c>
      <c r="X862" t="s">
        <v>920</v>
      </c>
      <c r="Y862">
        <v>8</v>
      </c>
      <c r="Z862" t="str">
        <f>IF(Table1[[#This Row],[Month_No]]&lt;=6, "H1","H2")</f>
        <v>H2</v>
      </c>
    </row>
    <row r="863" spans="1:26" x14ac:dyDescent="0.25">
      <c r="A863" s="2">
        <v>45877</v>
      </c>
      <c r="B863" t="s">
        <v>943</v>
      </c>
      <c r="C863" t="s">
        <v>70</v>
      </c>
      <c r="D863" t="s">
        <v>100</v>
      </c>
      <c r="E863" t="s">
        <v>75</v>
      </c>
      <c r="F863" t="s">
        <v>52</v>
      </c>
      <c r="G863" t="s">
        <v>61</v>
      </c>
      <c r="H863" t="s">
        <v>41</v>
      </c>
      <c r="I863">
        <v>25.883148612201719</v>
      </c>
      <c r="J863" s="3">
        <v>7531.1</v>
      </c>
      <c r="K863" s="3">
        <f>Table1[[#This Row],[Quantity]]*Table1[[#This Row],[Unit_Price]]</f>
        <v>194928.58051335238</v>
      </c>
      <c r="L863" s="3">
        <v>10202.629999999999</v>
      </c>
      <c r="M863" s="3">
        <f>Table1[[#This Row],[Gross_Sales]]-Table1[[#This Row],[Discount]]</f>
        <v>184725.95051335238</v>
      </c>
      <c r="N863" s="3">
        <v>103390.25</v>
      </c>
      <c r="O863" s="3">
        <v>3095.91</v>
      </c>
      <c r="P863" s="3">
        <v>9454.84</v>
      </c>
      <c r="Q863" s="3">
        <v>4859.92</v>
      </c>
      <c r="R863" s="3">
        <v>3413.79</v>
      </c>
      <c r="S863" s="3">
        <f>SUM(Table1[[#This Row],[Product_Cost]:[Other_Cost]])</f>
        <v>124214.70999999999</v>
      </c>
      <c r="T863" s="3">
        <f>Table1[[#This Row],[Net_Sales]]-Table1[[#This Row],[Product_Cost]]</f>
        <v>81335.700513352378</v>
      </c>
      <c r="U863" s="3">
        <f>Table1[[#This Row],[Net_Sales]]-Table1[[#This Row],[Total_Cost]]</f>
        <v>60511.240513352386</v>
      </c>
      <c r="V863" s="4">
        <f>Table1[[#This Row],[Net_Profit]]/Table1[[#This Row],[Net_Sales]]</f>
        <v>0.32757303640983843</v>
      </c>
      <c r="W863" t="s">
        <v>33</v>
      </c>
      <c r="X863" t="s">
        <v>920</v>
      </c>
      <c r="Y863">
        <v>8</v>
      </c>
      <c r="Z863" t="str">
        <f>IF(Table1[[#This Row],[Month_No]]&lt;=6, "H1","H2")</f>
        <v>H2</v>
      </c>
    </row>
    <row r="864" spans="1:26" x14ac:dyDescent="0.25">
      <c r="A864" s="2">
        <v>45877</v>
      </c>
      <c r="B864" t="s">
        <v>944</v>
      </c>
      <c r="C864" t="s">
        <v>83</v>
      </c>
      <c r="D864" t="s">
        <v>81</v>
      </c>
      <c r="E864" t="s">
        <v>45</v>
      </c>
      <c r="F864" t="s">
        <v>52</v>
      </c>
      <c r="G864" t="s">
        <v>86</v>
      </c>
      <c r="H864" t="s">
        <v>41</v>
      </c>
      <c r="I864">
        <v>43.505037181197267</v>
      </c>
      <c r="J864" s="3">
        <v>6952.65</v>
      </c>
      <c r="K864" s="3">
        <f>Table1[[#This Row],[Quantity]]*Table1[[#This Row],[Unit_Price]]</f>
        <v>302475.29675785115</v>
      </c>
      <c r="L864" s="3">
        <v>10651.96</v>
      </c>
      <c r="M864" s="3">
        <f>Table1[[#This Row],[Gross_Sales]]-Table1[[#This Row],[Discount]]</f>
        <v>291823.33675785112</v>
      </c>
      <c r="N864" s="3">
        <v>153279.60999999999</v>
      </c>
      <c r="O864" s="3">
        <v>5267.18</v>
      </c>
      <c r="P864" s="3">
        <v>15483.49</v>
      </c>
      <c r="Q864" s="3">
        <v>6910.76</v>
      </c>
      <c r="R864" s="3">
        <v>5831.74</v>
      </c>
      <c r="S864" s="3">
        <f>SUM(Table1[[#This Row],[Product_Cost]:[Other_Cost]])</f>
        <v>186772.77999999997</v>
      </c>
      <c r="T864" s="3">
        <f>Table1[[#This Row],[Net_Sales]]-Table1[[#This Row],[Product_Cost]]</f>
        <v>138543.72675785114</v>
      </c>
      <c r="U864" s="3">
        <f>Table1[[#This Row],[Net_Sales]]-Table1[[#This Row],[Total_Cost]]</f>
        <v>105050.55675785115</v>
      </c>
      <c r="V864" s="4">
        <f>Table1[[#This Row],[Net_Profit]]/Table1[[#This Row],[Net_Sales]]</f>
        <v>0.35997997255791747</v>
      </c>
      <c r="W864" t="s">
        <v>33</v>
      </c>
      <c r="X864" t="s">
        <v>920</v>
      </c>
      <c r="Y864">
        <v>8</v>
      </c>
      <c r="Z864" t="str">
        <f>IF(Table1[[#This Row],[Month_No]]&lt;=6, "H1","H2")</f>
        <v>H2</v>
      </c>
    </row>
    <row r="865" spans="1:26" x14ac:dyDescent="0.25">
      <c r="A865" s="2">
        <v>45877</v>
      </c>
      <c r="B865" t="s">
        <v>945</v>
      </c>
      <c r="C865" t="s">
        <v>83</v>
      </c>
      <c r="D865" t="s">
        <v>50</v>
      </c>
      <c r="E865" t="s">
        <v>51</v>
      </c>
      <c r="F865" t="s">
        <v>39</v>
      </c>
      <c r="G865" t="s">
        <v>31</v>
      </c>
      <c r="H865" t="s">
        <v>32</v>
      </c>
      <c r="I865">
        <v>66.747526215444793</v>
      </c>
      <c r="J865" s="3">
        <v>898.89</v>
      </c>
      <c r="K865" s="3">
        <f>Table1[[#This Row],[Quantity]]*Table1[[#This Row],[Unit_Price]]</f>
        <v>59998.683839801168</v>
      </c>
      <c r="L865" s="3">
        <v>2389.0500000000002</v>
      </c>
      <c r="M865" s="3">
        <f>Table1[[#This Row],[Gross_Sales]]-Table1[[#This Row],[Discount]]</f>
        <v>57609.633839801165</v>
      </c>
      <c r="N865" s="3">
        <v>37277.56</v>
      </c>
      <c r="O865" s="3">
        <v>1594.27</v>
      </c>
      <c r="P865" s="3">
        <v>2950.8</v>
      </c>
      <c r="Q865" s="3">
        <v>1830.51</v>
      </c>
      <c r="R865" s="3">
        <v>694.52</v>
      </c>
      <c r="S865" s="3">
        <f>SUM(Table1[[#This Row],[Product_Cost]:[Other_Cost]])</f>
        <v>44347.659999999996</v>
      </c>
      <c r="T865" s="3">
        <f>Table1[[#This Row],[Net_Sales]]-Table1[[#This Row],[Product_Cost]]</f>
        <v>20332.073839801167</v>
      </c>
      <c r="U865" s="3">
        <f>Table1[[#This Row],[Net_Sales]]-Table1[[#This Row],[Total_Cost]]</f>
        <v>13261.973839801169</v>
      </c>
      <c r="V865" s="4">
        <f>Table1[[#This Row],[Net_Profit]]/Table1[[#This Row],[Net_Sales]]</f>
        <v>0.23020409879152498</v>
      </c>
      <c r="W865" t="s">
        <v>33</v>
      </c>
      <c r="X865" t="s">
        <v>920</v>
      </c>
      <c r="Y865">
        <v>8</v>
      </c>
      <c r="Z865" t="str">
        <f>IF(Table1[[#This Row],[Month_No]]&lt;=6, "H1","H2")</f>
        <v>H2</v>
      </c>
    </row>
    <row r="866" spans="1:26" x14ac:dyDescent="0.25">
      <c r="A866" s="2">
        <v>45877</v>
      </c>
      <c r="B866" t="s">
        <v>946</v>
      </c>
      <c r="C866" t="s">
        <v>55</v>
      </c>
      <c r="D866" t="s">
        <v>66</v>
      </c>
      <c r="E866" t="s">
        <v>51</v>
      </c>
      <c r="F866" t="s">
        <v>52</v>
      </c>
      <c r="G866" t="s">
        <v>40</v>
      </c>
      <c r="H866" t="s">
        <v>32</v>
      </c>
      <c r="I866">
        <v>46.138652544213109</v>
      </c>
      <c r="J866" s="3">
        <v>1595.84</v>
      </c>
      <c r="K866" s="3">
        <f>Table1[[#This Row],[Quantity]]*Table1[[#This Row],[Unit_Price]]</f>
        <v>73629.907276157042</v>
      </c>
      <c r="L866" s="3">
        <v>2725.6</v>
      </c>
      <c r="M866" s="3">
        <f>Table1[[#This Row],[Gross_Sales]]-Table1[[#This Row],[Discount]]</f>
        <v>70904.307276157037</v>
      </c>
      <c r="N866" s="3">
        <v>34863.35</v>
      </c>
      <c r="O866" s="3">
        <v>1115.02</v>
      </c>
      <c r="P866" s="3">
        <v>4166.05</v>
      </c>
      <c r="Q866" s="3">
        <v>1996.53</v>
      </c>
      <c r="R866" s="3">
        <v>961.05</v>
      </c>
      <c r="S866" s="3">
        <f>SUM(Table1[[#This Row],[Product_Cost]:[Other_Cost]])</f>
        <v>43102</v>
      </c>
      <c r="T866" s="3">
        <f>Table1[[#This Row],[Net_Sales]]-Table1[[#This Row],[Product_Cost]]</f>
        <v>36040.957276157038</v>
      </c>
      <c r="U866" s="3">
        <f>Table1[[#This Row],[Net_Sales]]-Table1[[#This Row],[Total_Cost]]</f>
        <v>27802.307276157037</v>
      </c>
      <c r="V866" s="4">
        <f>Table1[[#This Row],[Net_Profit]]/Table1[[#This Row],[Net_Sales]]</f>
        <v>0.39211027290447992</v>
      </c>
      <c r="W866" t="s">
        <v>33</v>
      </c>
      <c r="X866" t="s">
        <v>920</v>
      </c>
      <c r="Y866">
        <v>8</v>
      </c>
      <c r="Z866" t="str">
        <f>IF(Table1[[#This Row],[Month_No]]&lt;=6, "H1","H2")</f>
        <v>H2</v>
      </c>
    </row>
    <row r="867" spans="1:26" x14ac:dyDescent="0.25">
      <c r="A867" s="2">
        <v>45877</v>
      </c>
      <c r="B867" t="s">
        <v>947</v>
      </c>
      <c r="C867" t="s">
        <v>49</v>
      </c>
      <c r="D867" t="s">
        <v>85</v>
      </c>
      <c r="E867" t="s">
        <v>57</v>
      </c>
      <c r="F867" t="s">
        <v>52</v>
      </c>
      <c r="G867" t="s">
        <v>64</v>
      </c>
      <c r="H867" t="s">
        <v>41</v>
      </c>
      <c r="I867">
        <v>47.685520083896641</v>
      </c>
      <c r="J867" s="3">
        <v>2045.63</v>
      </c>
      <c r="K867" s="3">
        <f>Table1[[#This Row],[Quantity]]*Table1[[#This Row],[Unit_Price]]</f>
        <v>97546.930449221487</v>
      </c>
      <c r="L867" s="3">
        <v>3056.33</v>
      </c>
      <c r="M867" s="3">
        <f>Table1[[#This Row],[Gross_Sales]]-Table1[[#This Row],[Discount]]</f>
        <v>94490.600449221485</v>
      </c>
      <c r="N867" s="3">
        <v>61935.66</v>
      </c>
      <c r="O867" s="3">
        <v>1817.22</v>
      </c>
      <c r="P867" s="3">
        <v>5730.57</v>
      </c>
      <c r="Q867" s="3">
        <v>2950.5</v>
      </c>
      <c r="R867" s="3">
        <v>1342.51</v>
      </c>
      <c r="S867" s="3">
        <f>SUM(Table1[[#This Row],[Product_Cost]:[Other_Cost]])</f>
        <v>73776.460000000006</v>
      </c>
      <c r="T867" s="3">
        <f>Table1[[#This Row],[Net_Sales]]-Table1[[#This Row],[Product_Cost]]</f>
        <v>32554.940449221482</v>
      </c>
      <c r="U867" s="3">
        <f>Table1[[#This Row],[Net_Sales]]-Table1[[#This Row],[Total_Cost]]</f>
        <v>20714.140449221479</v>
      </c>
      <c r="V867" s="4">
        <f>Table1[[#This Row],[Net_Profit]]/Table1[[#This Row],[Net_Sales]]</f>
        <v>0.21921905830573166</v>
      </c>
      <c r="W867" t="s">
        <v>33</v>
      </c>
      <c r="X867" t="s">
        <v>920</v>
      </c>
      <c r="Y867">
        <v>8</v>
      </c>
      <c r="Z867" t="str">
        <f>IF(Table1[[#This Row],[Month_No]]&lt;=6, "H1","H2")</f>
        <v>H2</v>
      </c>
    </row>
    <row r="868" spans="1:26" x14ac:dyDescent="0.25">
      <c r="A868" s="2">
        <v>45878</v>
      </c>
      <c r="B868" t="s">
        <v>948</v>
      </c>
      <c r="C868" t="s">
        <v>49</v>
      </c>
      <c r="D868" t="s">
        <v>56</v>
      </c>
      <c r="E868" t="s">
        <v>57</v>
      </c>
      <c r="F868" t="s">
        <v>46</v>
      </c>
      <c r="G868" t="s">
        <v>31</v>
      </c>
      <c r="H868" t="s">
        <v>59</v>
      </c>
      <c r="I868">
        <v>43.587623107818082</v>
      </c>
      <c r="J868" s="3">
        <v>3431.51</v>
      </c>
      <c r="K868" s="3">
        <f>Table1[[#This Row],[Quantity]]*Table1[[#This Row],[Unit_Price]]</f>
        <v>149571.36457070883</v>
      </c>
      <c r="L868" s="3">
        <v>6728.95</v>
      </c>
      <c r="M868" s="3">
        <f>Table1[[#This Row],[Gross_Sales]]-Table1[[#This Row],[Discount]]</f>
        <v>142842.41457070882</v>
      </c>
      <c r="N868" s="3">
        <v>75101.31</v>
      </c>
      <c r="O868" s="3">
        <v>3057.63</v>
      </c>
      <c r="P868" s="3">
        <v>8014.77</v>
      </c>
      <c r="Q868" s="3">
        <v>4061.8</v>
      </c>
      <c r="R868" s="3">
        <v>2187.42</v>
      </c>
      <c r="S868" s="3">
        <f>SUM(Table1[[#This Row],[Product_Cost]:[Other_Cost]])</f>
        <v>92422.930000000008</v>
      </c>
      <c r="T868" s="3">
        <f>Table1[[#This Row],[Net_Sales]]-Table1[[#This Row],[Product_Cost]]</f>
        <v>67741.10457070882</v>
      </c>
      <c r="U868" s="3">
        <f>Table1[[#This Row],[Net_Sales]]-Table1[[#This Row],[Total_Cost]]</f>
        <v>50419.48457070881</v>
      </c>
      <c r="V868" s="4">
        <f>Table1[[#This Row],[Net_Profit]]/Table1[[#This Row],[Net_Sales]]</f>
        <v>0.35297278278469957</v>
      </c>
      <c r="W868" t="s">
        <v>33</v>
      </c>
      <c r="X868" t="s">
        <v>920</v>
      </c>
      <c r="Y868">
        <v>8</v>
      </c>
      <c r="Z868" t="str">
        <f>IF(Table1[[#This Row],[Month_No]]&lt;=6, "H1","H2")</f>
        <v>H2</v>
      </c>
    </row>
    <row r="869" spans="1:26" x14ac:dyDescent="0.25">
      <c r="A869" s="2">
        <v>45878</v>
      </c>
      <c r="B869" t="s">
        <v>949</v>
      </c>
      <c r="C869" t="s">
        <v>78</v>
      </c>
      <c r="D869" t="s">
        <v>28</v>
      </c>
      <c r="E869" t="s">
        <v>29</v>
      </c>
      <c r="F869" t="s">
        <v>52</v>
      </c>
      <c r="G869" t="s">
        <v>76</v>
      </c>
      <c r="H869" t="s">
        <v>41</v>
      </c>
      <c r="I869">
        <v>93.460086793767147</v>
      </c>
      <c r="J869" s="3">
        <v>1170.57</v>
      </c>
      <c r="K869" s="3">
        <f>Table1[[#This Row],[Quantity]]*Table1[[#This Row],[Unit_Price]]</f>
        <v>109401.57379818</v>
      </c>
      <c r="L869" s="3">
        <v>5241.28</v>
      </c>
      <c r="M869" s="3">
        <f>Table1[[#This Row],[Gross_Sales]]-Table1[[#This Row],[Discount]]</f>
        <v>104160.29379818001</v>
      </c>
      <c r="N869" s="3">
        <v>58658.02</v>
      </c>
      <c r="O869" s="3">
        <v>1871.26</v>
      </c>
      <c r="P869" s="3">
        <v>6139.88</v>
      </c>
      <c r="Q869" s="3">
        <v>2749.57</v>
      </c>
      <c r="R869" s="3">
        <v>2071.08</v>
      </c>
      <c r="S869" s="3">
        <f>SUM(Table1[[#This Row],[Product_Cost]:[Other_Cost]])</f>
        <v>71489.810000000012</v>
      </c>
      <c r="T869" s="3">
        <f>Table1[[#This Row],[Net_Sales]]-Table1[[#This Row],[Product_Cost]]</f>
        <v>45502.273798180009</v>
      </c>
      <c r="U869" s="3">
        <f>Table1[[#This Row],[Net_Sales]]-Table1[[#This Row],[Total_Cost]]</f>
        <v>32670.483798179994</v>
      </c>
      <c r="V869" s="4">
        <f>Table1[[#This Row],[Net_Profit]]/Table1[[#This Row],[Net_Sales]]</f>
        <v>0.31365583378136408</v>
      </c>
      <c r="W869" t="s">
        <v>33</v>
      </c>
      <c r="X869" t="s">
        <v>920</v>
      </c>
      <c r="Y869">
        <v>8</v>
      </c>
      <c r="Z869" t="str">
        <f>IF(Table1[[#This Row],[Month_No]]&lt;=6, "H1","H2")</f>
        <v>H2</v>
      </c>
    </row>
    <row r="870" spans="1:26" x14ac:dyDescent="0.25">
      <c r="A870" s="2">
        <v>45878</v>
      </c>
      <c r="B870" t="s">
        <v>950</v>
      </c>
      <c r="C870" t="s">
        <v>27</v>
      </c>
      <c r="D870" t="s">
        <v>56</v>
      </c>
      <c r="E870" t="s">
        <v>57</v>
      </c>
      <c r="F870" t="s">
        <v>52</v>
      </c>
      <c r="G870" t="s">
        <v>86</v>
      </c>
      <c r="H870" t="s">
        <v>41</v>
      </c>
      <c r="I870">
        <v>49.182181531066412</v>
      </c>
      <c r="J870" s="3">
        <v>3266.38</v>
      </c>
      <c r="K870" s="3">
        <f>Table1[[#This Row],[Quantity]]*Table1[[#This Row],[Unit_Price]]</f>
        <v>160647.69410944471</v>
      </c>
      <c r="L870" s="3">
        <v>7999.06</v>
      </c>
      <c r="M870" s="3">
        <f>Table1[[#This Row],[Gross_Sales]]-Table1[[#This Row],[Discount]]</f>
        <v>152648.63410944471</v>
      </c>
      <c r="N870" s="3">
        <v>81881.399999999994</v>
      </c>
      <c r="O870" s="3">
        <v>2559.5500000000002</v>
      </c>
      <c r="P870" s="3">
        <v>7788.67</v>
      </c>
      <c r="Q870" s="3">
        <v>4045.37</v>
      </c>
      <c r="R870" s="3">
        <v>3011.27</v>
      </c>
      <c r="S870" s="3">
        <f>SUM(Table1[[#This Row],[Product_Cost]:[Other_Cost]])</f>
        <v>99286.26</v>
      </c>
      <c r="T870" s="3">
        <f>Table1[[#This Row],[Net_Sales]]-Table1[[#This Row],[Product_Cost]]</f>
        <v>70767.234109444718</v>
      </c>
      <c r="U870" s="3">
        <f>Table1[[#This Row],[Net_Sales]]-Table1[[#This Row],[Total_Cost]]</f>
        <v>53362.374109444718</v>
      </c>
      <c r="V870" s="4">
        <f>Table1[[#This Row],[Net_Profit]]/Table1[[#This Row],[Net_Sales]]</f>
        <v>0.34957649258220952</v>
      </c>
      <c r="W870" t="s">
        <v>33</v>
      </c>
      <c r="X870" t="s">
        <v>920</v>
      </c>
      <c r="Y870">
        <v>8</v>
      </c>
      <c r="Z870" t="str">
        <f>IF(Table1[[#This Row],[Month_No]]&lt;=6, "H1","H2")</f>
        <v>H2</v>
      </c>
    </row>
    <row r="871" spans="1:26" x14ac:dyDescent="0.25">
      <c r="A871" s="2">
        <v>45879</v>
      </c>
      <c r="B871" t="s">
        <v>951</v>
      </c>
      <c r="C871" t="s">
        <v>78</v>
      </c>
      <c r="D871" t="s">
        <v>100</v>
      </c>
      <c r="E871" t="s">
        <v>75</v>
      </c>
      <c r="F871" t="s">
        <v>30</v>
      </c>
      <c r="G871" t="s">
        <v>31</v>
      </c>
      <c r="H871" t="s">
        <v>59</v>
      </c>
      <c r="I871">
        <v>69.526803954480343</v>
      </c>
      <c r="J871" s="3">
        <v>7203.65</v>
      </c>
      <c r="K871" s="3">
        <f>Table1[[#This Row],[Quantity]]*Table1[[#This Row],[Unit_Price]]</f>
        <v>500846.76130669232</v>
      </c>
      <c r="L871" s="3">
        <v>20043.580000000002</v>
      </c>
      <c r="M871" s="3">
        <f>Table1[[#This Row],[Gross_Sales]]-Table1[[#This Row],[Discount]]</f>
        <v>480803.18130669231</v>
      </c>
      <c r="N871" s="3">
        <v>258068.17</v>
      </c>
      <c r="O871" s="3">
        <v>13234.03</v>
      </c>
      <c r="P871" s="3">
        <v>28946.1</v>
      </c>
      <c r="Q871" s="3">
        <v>10982.88</v>
      </c>
      <c r="R871" s="3">
        <v>8244.58</v>
      </c>
      <c r="S871" s="3">
        <f>SUM(Table1[[#This Row],[Product_Cost]:[Other_Cost]])</f>
        <v>319475.76</v>
      </c>
      <c r="T871" s="3">
        <f>Table1[[#This Row],[Net_Sales]]-Table1[[#This Row],[Product_Cost]]</f>
        <v>222735.01130669229</v>
      </c>
      <c r="U871" s="3">
        <f>Table1[[#This Row],[Net_Sales]]-Table1[[#This Row],[Total_Cost]]</f>
        <v>161327.4213066923</v>
      </c>
      <c r="V871" s="4">
        <f>Table1[[#This Row],[Net_Profit]]/Table1[[#This Row],[Net_Sales]]</f>
        <v>0.33553734163789894</v>
      </c>
      <c r="W871" t="s">
        <v>72</v>
      </c>
      <c r="X871" t="s">
        <v>920</v>
      </c>
      <c r="Y871">
        <v>8</v>
      </c>
      <c r="Z871" t="str">
        <f>IF(Table1[[#This Row],[Month_No]]&lt;=6, "H1","H2")</f>
        <v>H2</v>
      </c>
    </row>
    <row r="872" spans="1:26" x14ac:dyDescent="0.25">
      <c r="A872" s="2">
        <v>45879</v>
      </c>
      <c r="B872" t="s">
        <v>952</v>
      </c>
      <c r="C872" t="s">
        <v>70</v>
      </c>
      <c r="D872" t="s">
        <v>28</v>
      </c>
      <c r="E872" t="s">
        <v>29</v>
      </c>
      <c r="F872" t="s">
        <v>52</v>
      </c>
      <c r="G872" t="s">
        <v>61</v>
      </c>
      <c r="H872" t="s">
        <v>47</v>
      </c>
      <c r="I872">
        <v>65.616610634458226</v>
      </c>
      <c r="J872" s="3">
        <v>1246.77</v>
      </c>
      <c r="K872" s="3">
        <f>Table1[[#This Row],[Quantity]]*Table1[[#This Row],[Unit_Price]]</f>
        <v>81808.821640723487</v>
      </c>
      <c r="L872" s="3">
        <v>3244.42</v>
      </c>
      <c r="M872" s="3">
        <f>Table1[[#This Row],[Gross_Sales]]-Table1[[#This Row],[Discount]]</f>
        <v>78564.401640723489</v>
      </c>
      <c r="N872" s="3">
        <v>41352.17</v>
      </c>
      <c r="O872" s="3">
        <v>1699.94</v>
      </c>
      <c r="P872" s="3">
        <v>3779.92</v>
      </c>
      <c r="Q872" s="3">
        <v>1729.35</v>
      </c>
      <c r="R872" s="3">
        <v>1613.47</v>
      </c>
      <c r="S872" s="3">
        <f>SUM(Table1[[#This Row],[Product_Cost]:[Other_Cost]])</f>
        <v>50174.85</v>
      </c>
      <c r="T872" s="3">
        <f>Table1[[#This Row],[Net_Sales]]-Table1[[#This Row],[Product_Cost]]</f>
        <v>37212.23164072349</v>
      </c>
      <c r="U872" s="3">
        <f>Table1[[#This Row],[Net_Sales]]-Table1[[#This Row],[Total_Cost]]</f>
        <v>28389.55164072349</v>
      </c>
      <c r="V872" s="4">
        <f>Table1[[#This Row],[Net_Profit]]/Table1[[#This Row],[Net_Sales]]</f>
        <v>0.36135388353811249</v>
      </c>
      <c r="W872" t="s">
        <v>33</v>
      </c>
      <c r="X872" t="s">
        <v>920</v>
      </c>
      <c r="Y872">
        <v>8</v>
      </c>
      <c r="Z872" t="str">
        <f>IF(Table1[[#This Row],[Month_No]]&lt;=6, "H1","H2")</f>
        <v>H2</v>
      </c>
    </row>
    <row r="873" spans="1:26" x14ac:dyDescent="0.25">
      <c r="A873" s="2">
        <v>45880</v>
      </c>
      <c r="B873" t="s">
        <v>953</v>
      </c>
      <c r="C873" t="s">
        <v>78</v>
      </c>
      <c r="D873" t="s">
        <v>44</v>
      </c>
      <c r="E873" t="s">
        <v>45</v>
      </c>
      <c r="F873" t="s">
        <v>52</v>
      </c>
      <c r="G873" t="s">
        <v>31</v>
      </c>
      <c r="H873" t="s">
        <v>59</v>
      </c>
      <c r="I873">
        <v>62.056008761597802</v>
      </c>
      <c r="J873" s="3">
        <v>4634.8500000000004</v>
      </c>
      <c r="K873" s="3">
        <f>Table1[[#This Row],[Quantity]]*Table1[[#This Row],[Unit_Price]]</f>
        <v>287620.29220869159</v>
      </c>
      <c r="L873" s="3">
        <v>9914.41</v>
      </c>
      <c r="M873" s="3">
        <f>Table1[[#This Row],[Gross_Sales]]-Table1[[#This Row],[Discount]]</f>
        <v>277705.88220869162</v>
      </c>
      <c r="N873" s="3">
        <v>193496.59</v>
      </c>
      <c r="O873" s="3">
        <v>5114.6899999999996</v>
      </c>
      <c r="P873" s="3">
        <v>13848.21</v>
      </c>
      <c r="Q873" s="3">
        <v>5167.24</v>
      </c>
      <c r="R873" s="3">
        <v>5708.72</v>
      </c>
      <c r="S873" s="3">
        <f>SUM(Table1[[#This Row],[Product_Cost]:[Other_Cost]])</f>
        <v>223335.44999999998</v>
      </c>
      <c r="T873" s="3">
        <f>Table1[[#This Row],[Net_Sales]]-Table1[[#This Row],[Product_Cost]]</f>
        <v>84209.292208691622</v>
      </c>
      <c r="U873" s="3">
        <f>Table1[[#This Row],[Net_Sales]]-Table1[[#This Row],[Total_Cost]]</f>
        <v>54370.432208691636</v>
      </c>
      <c r="V873" s="4">
        <f>Table1[[#This Row],[Net_Profit]]/Table1[[#This Row],[Net_Sales]]</f>
        <v>0.1957842296182733</v>
      </c>
      <c r="W873" t="s">
        <v>33</v>
      </c>
      <c r="X873" t="s">
        <v>920</v>
      </c>
      <c r="Y873">
        <v>8</v>
      </c>
      <c r="Z873" t="str">
        <f>IF(Table1[[#This Row],[Month_No]]&lt;=6, "H1","H2")</f>
        <v>H2</v>
      </c>
    </row>
    <row r="874" spans="1:26" x14ac:dyDescent="0.25">
      <c r="A874" s="2">
        <v>45880</v>
      </c>
      <c r="B874" t="s">
        <v>954</v>
      </c>
      <c r="C874" t="s">
        <v>117</v>
      </c>
      <c r="D874" t="s">
        <v>85</v>
      </c>
      <c r="E874" t="s">
        <v>57</v>
      </c>
      <c r="F874" t="s">
        <v>52</v>
      </c>
      <c r="G874" t="s">
        <v>86</v>
      </c>
      <c r="H874" t="s">
        <v>47</v>
      </c>
      <c r="I874">
        <v>99.262261658658645</v>
      </c>
      <c r="J874" s="3">
        <v>2055.89</v>
      </c>
      <c r="K874" s="3">
        <f>Table1[[#This Row],[Quantity]]*Table1[[#This Row],[Unit_Price]]</f>
        <v>204072.29112141969</v>
      </c>
      <c r="L874" s="3">
        <v>6084.53</v>
      </c>
      <c r="M874" s="3">
        <f>Table1[[#This Row],[Gross_Sales]]-Table1[[#This Row],[Discount]]</f>
        <v>197987.76112141969</v>
      </c>
      <c r="N874" s="3">
        <v>123536.33</v>
      </c>
      <c r="O874" s="3">
        <v>3750.39</v>
      </c>
      <c r="P874" s="3">
        <v>11544.24</v>
      </c>
      <c r="Q874" s="3">
        <v>6105.53</v>
      </c>
      <c r="R874" s="3">
        <v>3072.3</v>
      </c>
      <c r="S874" s="3">
        <f>SUM(Table1[[#This Row],[Product_Cost]:[Other_Cost]])</f>
        <v>148008.78999999998</v>
      </c>
      <c r="T874" s="3">
        <f>Table1[[#This Row],[Net_Sales]]-Table1[[#This Row],[Product_Cost]]</f>
        <v>74451.431121419693</v>
      </c>
      <c r="U874" s="3">
        <f>Table1[[#This Row],[Net_Sales]]-Table1[[#This Row],[Total_Cost]]</f>
        <v>49978.971121419716</v>
      </c>
      <c r="V874" s="4">
        <f>Table1[[#This Row],[Net_Profit]]/Table1[[#This Row],[Net_Sales]]</f>
        <v>0.25243464968912488</v>
      </c>
      <c r="W874" t="s">
        <v>33</v>
      </c>
      <c r="X874" t="s">
        <v>920</v>
      </c>
      <c r="Y874">
        <v>8</v>
      </c>
      <c r="Z874" t="str">
        <f>IF(Table1[[#This Row],[Month_No]]&lt;=6, "H1","H2")</f>
        <v>H2</v>
      </c>
    </row>
    <row r="875" spans="1:26" x14ac:dyDescent="0.25">
      <c r="A875" s="2">
        <v>45880</v>
      </c>
      <c r="B875" t="s">
        <v>955</v>
      </c>
      <c r="C875" t="s">
        <v>36</v>
      </c>
      <c r="D875" t="s">
        <v>68</v>
      </c>
      <c r="E875" t="s">
        <v>29</v>
      </c>
      <c r="F875" t="s">
        <v>52</v>
      </c>
      <c r="G875" t="s">
        <v>58</v>
      </c>
      <c r="H875" t="s">
        <v>41</v>
      </c>
      <c r="I875">
        <v>131.280168894219</v>
      </c>
      <c r="J875" s="3">
        <v>388.7</v>
      </c>
      <c r="K875" s="3">
        <f>Table1[[#This Row],[Quantity]]*Table1[[#This Row],[Unit_Price]]</f>
        <v>51028.601649182921</v>
      </c>
      <c r="L875" s="3">
        <v>2082.83</v>
      </c>
      <c r="M875" s="3">
        <f>Table1[[#This Row],[Gross_Sales]]-Table1[[#This Row],[Discount]]</f>
        <v>48945.77164918292</v>
      </c>
      <c r="N875" s="3">
        <v>34439.69</v>
      </c>
      <c r="O875" s="3">
        <v>894.41</v>
      </c>
      <c r="P875" s="3">
        <v>2404.5</v>
      </c>
      <c r="Q875" s="3">
        <v>993.67</v>
      </c>
      <c r="R875" s="3">
        <v>767.25</v>
      </c>
      <c r="S875" s="3">
        <f>SUM(Table1[[#This Row],[Product_Cost]:[Other_Cost]])</f>
        <v>39499.520000000004</v>
      </c>
      <c r="T875" s="3">
        <f>Table1[[#This Row],[Net_Sales]]-Table1[[#This Row],[Product_Cost]]</f>
        <v>14506.081649182917</v>
      </c>
      <c r="U875" s="3">
        <f>Table1[[#This Row],[Net_Sales]]-Table1[[#This Row],[Total_Cost]]</f>
        <v>9446.2516491829156</v>
      </c>
      <c r="V875" s="4">
        <f>Table1[[#This Row],[Net_Profit]]/Table1[[#This Row],[Net_Sales]]</f>
        <v>0.19299423281930436</v>
      </c>
      <c r="W875" t="s">
        <v>33</v>
      </c>
      <c r="X875" t="s">
        <v>920</v>
      </c>
      <c r="Y875">
        <v>8</v>
      </c>
      <c r="Z875" t="str">
        <f>IF(Table1[[#This Row],[Month_No]]&lt;=6, "H1","H2")</f>
        <v>H2</v>
      </c>
    </row>
    <row r="876" spans="1:26" x14ac:dyDescent="0.25">
      <c r="A876" s="2">
        <v>45880</v>
      </c>
      <c r="B876" t="s">
        <v>956</v>
      </c>
      <c r="C876" t="s">
        <v>43</v>
      </c>
      <c r="D876" t="s">
        <v>44</v>
      </c>
      <c r="E876" t="s">
        <v>45</v>
      </c>
      <c r="F876" t="s">
        <v>46</v>
      </c>
      <c r="G876" t="s">
        <v>64</v>
      </c>
      <c r="H876" t="s">
        <v>59</v>
      </c>
      <c r="I876">
        <v>33.615216734530613</v>
      </c>
      <c r="J876" s="3">
        <v>4790.63</v>
      </c>
      <c r="K876" s="3">
        <f>Table1[[#This Row],[Quantity]]*Table1[[#This Row],[Unit_Price]]</f>
        <v>161038.06574494438</v>
      </c>
      <c r="L876" s="3">
        <v>6569.8</v>
      </c>
      <c r="M876" s="3">
        <f>Table1[[#This Row],[Gross_Sales]]-Table1[[#This Row],[Discount]]</f>
        <v>154468.26574494439</v>
      </c>
      <c r="N876" s="3">
        <v>102969.63</v>
      </c>
      <c r="O876" s="3">
        <v>3315.81</v>
      </c>
      <c r="P876" s="3">
        <v>8014.83</v>
      </c>
      <c r="Q876" s="3">
        <v>4769.33</v>
      </c>
      <c r="R876" s="3">
        <v>2864.77</v>
      </c>
      <c r="S876" s="3">
        <f>SUM(Table1[[#This Row],[Product_Cost]:[Other_Cost]])</f>
        <v>121934.37000000001</v>
      </c>
      <c r="T876" s="3">
        <f>Table1[[#This Row],[Net_Sales]]-Table1[[#This Row],[Product_Cost]]</f>
        <v>51498.635744944389</v>
      </c>
      <c r="U876" s="3">
        <f>Table1[[#This Row],[Net_Sales]]-Table1[[#This Row],[Total_Cost]]</f>
        <v>32533.895744944384</v>
      </c>
      <c r="V876" s="4">
        <f>Table1[[#This Row],[Net_Profit]]/Table1[[#This Row],[Net_Sales]]</f>
        <v>0.21061863799690642</v>
      </c>
      <c r="W876" t="s">
        <v>33</v>
      </c>
      <c r="X876" t="s">
        <v>920</v>
      </c>
      <c r="Y876">
        <v>8</v>
      </c>
      <c r="Z876" t="str">
        <f>IF(Table1[[#This Row],[Month_No]]&lt;=6, "H1","H2")</f>
        <v>H2</v>
      </c>
    </row>
    <row r="877" spans="1:26" x14ac:dyDescent="0.25">
      <c r="A877" s="2">
        <v>45880</v>
      </c>
      <c r="B877" t="s">
        <v>957</v>
      </c>
      <c r="C877" t="s">
        <v>63</v>
      </c>
      <c r="D877" t="s">
        <v>74</v>
      </c>
      <c r="E877" t="s">
        <v>75</v>
      </c>
      <c r="F877" t="s">
        <v>30</v>
      </c>
      <c r="G877" t="s">
        <v>71</v>
      </c>
      <c r="H877" t="s">
        <v>59</v>
      </c>
      <c r="I877">
        <v>72.450347719258289</v>
      </c>
      <c r="J877" s="3">
        <v>5950.18</v>
      </c>
      <c r="K877" s="3">
        <f>Table1[[#This Row],[Quantity]]*Table1[[#This Row],[Unit_Price]]</f>
        <v>431092.60999217629</v>
      </c>
      <c r="L877" s="3">
        <v>15261.1</v>
      </c>
      <c r="M877" s="3">
        <f>Table1[[#This Row],[Gross_Sales]]-Table1[[#This Row],[Discount]]</f>
        <v>415831.50999217632</v>
      </c>
      <c r="N877" s="3">
        <v>275195</v>
      </c>
      <c r="O877" s="3">
        <v>9951.5300000000007</v>
      </c>
      <c r="P877" s="3">
        <v>20255.560000000001</v>
      </c>
      <c r="Q877" s="3">
        <v>8042.76</v>
      </c>
      <c r="R877" s="3">
        <v>5498.27</v>
      </c>
      <c r="S877" s="3">
        <f>SUM(Table1[[#This Row],[Product_Cost]:[Other_Cost]])</f>
        <v>318943.12000000005</v>
      </c>
      <c r="T877" s="3">
        <f>Table1[[#This Row],[Net_Sales]]-Table1[[#This Row],[Product_Cost]]</f>
        <v>140636.50999217632</v>
      </c>
      <c r="U877" s="3">
        <f>Table1[[#This Row],[Net_Sales]]-Table1[[#This Row],[Total_Cost]]</f>
        <v>96888.389992176264</v>
      </c>
      <c r="V877" s="4">
        <f>Table1[[#This Row],[Net_Profit]]/Table1[[#This Row],[Net_Sales]]</f>
        <v>0.23299915389769085</v>
      </c>
      <c r="W877" t="s">
        <v>33</v>
      </c>
      <c r="X877" t="s">
        <v>920</v>
      </c>
      <c r="Y877">
        <v>8</v>
      </c>
      <c r="Z877" t="str">
        <f>IF(Table1[[#This Row],[Month_No]]&lt;=6, "H1","H2")</f>
        <v>H2</v>
      </c>
    </row>
    <row r="878" spans="1:26" x14ac:dyDescent="0.25">
      <c r="A878" s="2">
        <v>45881</v>
      </c>
      <c r="B878" t="s">
        <v>958</v>
      </c>
      <c r="C878" t="s">
        <v>117</v>
      </c>
      <c r="D878" t="s">
        <v>100</v>
      </c>
      <c r="E878" t="s">
        <v>75</v>
      </c>
      <c r="F878" t="s">
        <v>52</v>
      </c>
      <c r="G878" t="s">
        <v>58</v>
      </c>
      <c r="H878" t="s">
        <v>59</v>
      </c>
      <c r="I878">
        <v>28.583636720244659</v>
      </c>
      <c r="J878" s="3">
        <v>7388.16</v>
      </c>
      <c r="K878" s="3">
        <f>Table1[[#This Row],[Quantity]]*Table1[[#This Row],[Unit_Price]]</f>
        <v>211180.48147104279</v>
      </c>
      <c r="L878" s="3">
        <v>5714.66</v>
      </c>
      <c r="M878" s="3">
        <f>Table1[[#This Row],[Gross_Sales]]-Table1[[#This Row],[Discount]]</f>
        <v>205465.82147104279</v>
      </c>
      <c r="N878" s="3">
        <v>106857.77</v>
      </c>
      <c r="O878" s="3">
        <v>4028.9</v>
      </c>
      <c r="P878" s="3">
        <v>12598.54</v>
      </c>
      <c r="Q878" s="3">
        <v>4942.34</v>
      </c>
      <c r="R878" s="3">
        <v>2888.07</v>
      </c>
      <c r="S878" s="3">
        <f>SUM(Table1[[#This Row],[Product_Cost]:[Other_Cost]])</f>
        <v>131315.62</v>
      </c>
      <c r="T878" s="3">
        <f>Table1[[#This Row],[Net_Sales]]-Table1[[#This Row],[Product_Cost]]</f>
        <v>98608.051471042781</v>
      </c>
      <c r="U878" s="3">
        <f>Table1[[#This Row],[Net_Sales]]-Table1[[#This Row],[Total_Cost]]</f>
        <v>74150.20147104279</v>
      </c>
      <c r="V878" s="4">
        <f>Table1[[#This Row],[Net_Profit]]/Table1[[#This Row],[Net_Sales]]</f>
        <v>0.3608882535312235</v>
      </c>
      <c r="W878" t="s">
        <v>33</v>
      </c>
      <c r="X878" t="s">
        <v>920</v>
      </c>
      <c r="Y878">
        <v>8</v>
      </c>
      <c r="Z878" t="str">
        <f>IF(Table1[[#This Row],[Month_No]]&lt;=6, "H1","H2")</f>
        <v>H2</v>
      </c>
    </row>
    <row r="879" spans="1:26" x14ac:dyDescent="0.25">
      <c r="A879" s="2">
        <v>45881</v>
      </c>
      <c r="B879" t="s">
        <v>959</v>
      </c>
      <c r="C879" t="s">
        <v>27</v>
      </c>
      <c r="D879" t="s">
        <v>56</v>
      </c>
      <c r="E879" t="s">
        <v>57</v>
      </c>
      <c r="F879" t="s">
        <v>30</v>
      </c>
      <c r="G879" t="s">
        <v>31</v>
      </c>
      <c r="H879" t="s">
        <v>41</v>
      </c>
      <c r="I879">
        <v>57.967828449956912</v>
      </c>
      <c r="J879" s="3">
        <v>3443.8</v>
      </c>
      <c r="K879" s="3">
        <f>Table1[[#This Row],[Quantity]]*Table1[[#This Row],[Unit_Price]]</f>
        <v>199629.60761596164</v>
      </c>
      <c r="L879" s="3">
        <v>7651.09</v>
      </c>
      <c r="M879" s="3">
        <f>Table1[[#This Row],[Gross_Sales]]-Table1[[#This Row],[Discount]]</f>
        <v>191978.51761596164</v>
      </c>
      <c r="N879" s="3">
        <v>94632.63</v>
      </c>
      <c r="O879" s="3">
        <v>4336.99</v>
      </c>
      <c r="P879" s="3">
        <v>9524.57</v>
      </c>
      <c r="Q879" s="3">
        <v>5421.06</v>
      </c>
      <c r="R879" s="3">
        <v>2443.54</v>
      </c>
      <c r="S879" s="3">
        <f>SUM(Table1[[#This Row],[Product_Cost]:[Other_Cost]])</f>
        <v>116358.79</v>
      </c>
      <c r="T879" s="3">
        <f>Table1[[#This Row],[Net_Sales]]-Table1[[#This Row],[Product_Cost]]</f>
        <v>97345.887615961634</v>
      </c>
      <c r="U879" s="3">
        <f>Table1[[#This Row],[Net_Sales]]-Table1[[#This Row],[Total_Cost]]</f>
        <v>75619.727615961645</v>
      </c>
      <c r="V879" s="4">
        <f>Table1[[#This Row],[Net_Profit]]/Table1[[#This Row],[Net_Sales]]</f>
        <v>0.39389682009751287</v>
      </c>
      <c r="W879" t="s">
        <v>72</v>
      </c>
      <c r="X879" t="s">
        <v>920</v>
      </c>
      <c r="Y879">
        <v>8</v>
      </c>
      <c r="Z879" t="str">
        <f>IF(Table1[[#This Row],[Month_No]]&lt;=6, "H1","H2")</f>
        <v>H2</v>
      </c>
    </row>
    <row r="880" spans="1:26" x14ac:dyDescent="0.25">
      <c r="A880" s="2">
        <v>45881</v>
      </c>
      <c r="B880" t="s">
        <v>960</v>
      </c>
      <c r="C880" t="s">
        <v>78</v>
      </c>
      <c r="D880" t="s">
        <v>100</v>
      </c>
      <c r="E880" t="s">
        <v>75</v>
      </c>
      <c r="F880" t="s">
        <v>52</v>
      </c>
      <c r="G880" t="s">
        <v>64</v>
      </c>
      <c r="H880" t="s">
        <v>41</v>
      </c>
      <c r="I880">
        <v>39.237515181038283</v>
      </c>
      <c r="J880" s="3">
        <v>7364.13</v>
      </c>
      <c r="K880" s="3">
        <f>Table1[[#This Row],[Quantity]]*Table1[[#This Row],[Unit_Price]]</f>
        <v>288950.16267013946</v>
      </c>
      <c r="L880" s="3">
        <v>15393.74</v>
      </c>
      <c r="M880" s="3">
        <f>Table1[[#This Row],[Gross_Sales]]-Table1[[#This Row],[Discount]]</f>
        <v>273556.42267013947</v>
      </c>
      <c r="N880" s="3">
        <v>148902.92000000001</v>
      </c>
      <c r="O880" s="3">
        <v>5201.41</v>
      </c>
      <c r="P880" s="3">
        <v>15431.9</v>
      </c>
      <c r="Q880" s="3">
        <v>6157.38</v>
      </c>
      <c r="R880" s="3">
        <v>4794.54</v>
      </c>
      <c r="S880" s="3">
        <f>SUM(Table1[[#This Row],[Product_Cost]:[Other_Cost]])</f>
        <v>180488.15000000002</v>
      </c>
      <c r="T880" s="3">
        <f>Table1[[#This Row],[Net_Sales]]-Table1[[#This Row],[Product_Cost]]</f>
        <v>124653.50267013945</v>
      </c>
      <c r="U880" s="3">
        <f>Table1[[#This Row],[Net_Sales]]-Table1[[#This Row],[Total_Cost]]</f>
        <v>93068.272670139442</v>
      </c>
      <c r="V880" s="4">
        <f>Table1[[#This Row],[Net_Profit]]/Table1[[#This Row],[Net_Sales]]</f>
        <v>0.34021600283303627</v>
      </c>
      <c r="W880" t="s">
        <v>33</v>
      </c>
      <c r="X880" t="s">
        <v>920</v>
      </c>
      <c r="Y880">
        <v>8</v>
      </c>
      <c r="Z880" t="str">
        <f>IF(Table1[[#This Row],[Month_No]]&lt;=6, "H1","H2")</f>
        <v>H2</v>
      </c>
    </row>
    <row r="881" spans="1:26" x14ac:dyDescent="0.25">
      <c r="A881" s="2">
        <v>45882</v>
      </c>
      <c r="B881" t="s">
        <v>961</v>
      </c>
      <c r="C881" t="s">
        <v>98</v>
      </c>
      <c r="D881" t="s">
        <v>81</v>
      </c>
      <c r="E881" t="s">
        <v>45</v>
      </c>
      <c r="F881" t="s">
        <v>39</v>
      </c>
      <c r="G881" t="s">
        <v>40</v>
      </c>
      <c r="H881" t="s">
        <v>41</v>
      </c>
      <c r="I881">
        <v>25.973004591298789</v>
      </c>
      <c r="J881" s="3">
        <v>6878.01</v>
      </c>
      <c r="K881" s="3">
        <f>Table1[[#This Row],[Quantity]]*Table1[[#This Row],[Unit_Price]]</f>
        <v>178642.585308999</v>
      </c>
      <c r="L881" s="3">
        <v>8911.43</v>
      </c>
      <c r="M881" s="3">
        <f>Table1[[#This Row],[Gross_Sales]]-Table1[[#This Row],[Discount]]</f>
        <v>169731.155308999</v>
      </c>
      <c r="N881" s="3">
        <v>88800</v>
      </c>
      <c r="O881" s="3">
        <v>5196.7</v>
      </c>
      <c r="P881" s="3">
        <v>8268.7199999999993</v>
      </c>
      <c r="Q881" s="3">
        <v>3986.32</v>
      </c>
      <c r="R881" s="3">
        <v>2120.52</v>
      </c>
      <c r="S881" s="3">
        <f>SUM(Table1[[#This Row],[Product_Cost]:[Other_Cost]])</f>
        <v>108372.26000000001</v>
      </c>
      <c r="T881" s="3">
        <f>Table1[[#This Row],[Net_Sales]]-Table1[[#This Row],[Product_Cost]]</f>
        <v>80931.155308999005</v>
      </c>
      <c r="U881" s="3">
        <f>Table1[[#This Row],[Net_Sales]]-Table1[[#This Row],[Total_Cost]]</f>
        <v>61358.895308998995</v>
      </c>
      <c r="V881" s="4">
        <f>Table1[[#This Row],[Net_Profit]]/Table1[[#This Row],[Net_Sales]]</f>
        <v>0.36150637870397972</v>
      </c>
      <c r="W881" t="s">
        <v>72</v>
      </c>
      <c r="X881" t="s">
        <v>920</v>
      </c>
      <c r="Y881">
        <v>8</v>
      </c>
      <c r="Z881" t="str">
        <f>IF(Table1[[#This Row],[Month_No]]&lt;=6, "H1","H2")</f>
        <v>H2</v>
      </c>
    </row>
    <row r="882" spans="1:26" x14ac:dyDescent="0.25">
      <c r="A882" s="2">
        <v>45882</v>
      </c>
      <c r="B882" t="s">
        <v>962</v>
      </c>
      <c r="C882" t="s">
        <v>49</v>
      </c>
      <c r="D882" t="s">
        <v>183</v>
      </c>
      <c r="E882" t="s">
        <v>38</v>
      </c>
      <c r="F882" t="s">
        <v>52</v>
      </c>
      <c r="G882" t="s">
        <v>64</v>
      </c>
      <c r="H882" t="s">
        <v>41</v>
      </c>
      <c r="I882">
        <v>51.99792974911982</v>
      </c>
      <c r="J882" s="3">
        <v>7083.92</v>
      </c>
      <c r="K882" s="3">
        <f>Table1[[#This Row],[Quantity]]*Table1[[#This Row],[Unit_Price]]</f>
        <v>368349.17450838489</v>
      </c>
      <c r="L882" s="3">
        <v>11173.1</v>
      </c>
      <c r="M882" s="3">
        <f>Table1[[#This Row],[Gross_Sales]]-Table1[[#This Row],[Discount]]</f>
        <v>357176.07450838492</v>
      </c>
      <c r="N882" s="3">
        <v>190351.57</v>
      </c>
      <c r="O882" s="3">
        <v>6194.18</v>
      </c>
      <c r="P882" s="3">
        <v>19874.03</v>
      </c>
      <c r="Q882" s="3">
        <v>7484</v>
      </c>
      <c r="R882" s="3">
        <v>6317.73</v>
      </c>
      <c r="S882" s="3">
        <f>SUM(Table1[[#This Row],[Product_Cost]:[Other_Cost]])</f>
        <v>230221.51</v>
      </c>
      <c r="T882" s="3">
        <f>Table1[[#This Row],[Net_Sales]]-Table1[[#This Row],[Product_Cost]]</f>
        <v>166824.50450838491</v>
      </c>
      <c r="U882" s="3">
        <f>Table1[[#This Row],[Net_Sales]]-Table1[[#This Row],[Total_Cost]]</f>
        <v>126954.56450838491</v>
      </c>
      <c r="V882" s="4">
        <f>Table1[[#This Row],[Net_Profit]]/Table1[[#This Row],[Net_Sales]]</f>
        <v>0.35543972166423643</v>
      </c>
      <c r="W882" t="s">
        <v>33</v>
      </c>
      <c r="X882" t="s">
        <v>920</v>
      </c>
      <c r="Y882">
        <v>8</v>
      </c>
      <c r="Z882" t="str">
        <f>IF(Table1[[#This Row],[Month_No]]&lt;=6, "H1","H2")</f>
        <v>H2</v>
      </c>
    </row>
    <row r="883" spans="1:26" x14ac:dyDescent="0.25">
      <c r="A883" s="2">
        <v>45882</v>
      </c>
      <c r="B883" t="s">
        <v>963</v>
      </c>
      <c r="C883" t="s">
        <v>117</v>
      </c>
      <c r="D883" t="s">
        <v>81</v>
      </c>
      <c r="E883" t="s">
        <v>45</v>
      </c>
      <c r="F883" t="s">
        <v>52</v>
      </c>
      <c r="G883" t="s">
        <v>71</v>
      </c>
      <c r="H883" t="s">
        <v>59</v>
      </c>
      <c r="I883">
        <v>16.717787451581181</v>
      </c>
      <c r="J883" s="3">
        <v>6955.99</v>
      </c>
      <c r="K883" s="3">
        <f>Table1[[#This Row],[Quantity]]*Table1[[#This Row],[Unit_Price]]</f>
        <v>116288.76233532418</v>
      </c>
      <c r="L883" s="3">
        <v>3090.87</v>
      </c>
      <c r="M883" s="3">
        <f>Table1[[#This Row],[Gross_Sales]]-Table1[[#This Row],[Discount]]</f>
        <v>113197.89233532418</v>
      </c>
      <c r="N883" s="3">
        <v>56412.11</v>
      </c>
      <c r="O883" s="3">
        <v>1810.08</v>
      </c>
      <c r="P883" s="3">
        <v>6973.64</v>
      </c>
      <c r="Q883" s="3">
        <v>2977.72</v>
      </c>
      <c r="R883" s="3">
        <v>1424.87</v>
      </c>
      <c r="S883" s="3">
        <f>SUM(Table1[[#This Row],[Product_Cost]:[Other_Cost]])</f>
        <v>69598.42</v>
      </c>
      <c r="T883" s="3">
        <f>Table1[[#This Row],[Net_Sales]]-Table1[[#This Row],[Product_Cost]]</f>
        <v>56785.782335324184</v>
      </c>
      <c r="U883" s="3">
        <f>Table1[[#This Row],[Net_Sales]]-Table1[[#This Row],[Total_Cost]]</f>
        <v>43599.472335324186</v>
      </c>
      <c r="V883" s="4">
        <f>Table1[[#This Row],[Net_Profit]]/Table1[[#This Row],[Net_Sales]]</f>
        <v>0.38516152055349417</v>
      </c>
      <c r="W883" t="s">
        <v>33</v>
      </c>
      <c r="X883" t="s">
        <v>920</v>
      </c>
      <c r="Y883">
        <v>8</v>
      </c>
      <c r="Z883" t="str">
        <f>IF(Table1[[#This Row],[Month_No]]&lt;=6, "H1","H2")</f>
        <v>H2</v>
      </c>
    </row>
    <row r="884" spans="1:26" x14ac:dyDescent="0.25">
      <c r="A884" s="2">
        <v>45882</v>
      </c>
      <c r="B884" t="s">
        <v>964</v>
      </c>
      <c r="C884" t="s">
        <v>78</v>
      </c>
      <c r="D884" t="s">
        <v>28</v>
      </c>
      <c r="E884" t="s">
        <v>29</v>
      </c>
      <c r="F884" t="s">
        <v>46</v>
      </c>
      <c r="G884" t="s">
        <v>71</v>
      </c>
      <c r="H884" t="s">
        <v>59</v>
      </c>
      <c r="I884">
        <v>92.116983850359844</v>
      </c>
      <c r="J884" s="3">
        <v>1233.79</v>
      </c>
      <c r="K884" s="3">
        <f>Table1[[#This Row],[Quantity]]*Table1[[#This Row],[Unit_Price]]</f>
        <v>113653.01350473547</v>
      </c>
      <c r="L884" s="3">
        <v>4142.99</v>
      </c>
      <c r="M884" s="3">
        <f>Table1[[#This Row],[Gross_Sales]]-Table1[[#This Row],[Discount]]</f>
        <v>109510.02350473547</v>
      </c>
      <c r="N884" s="3">
        <v>58576.639999999999</v>
      </c>
      <c r="O884" s="3">
        <v>2299.6799999999998</v>
      </c>
      <c r="P884" s="3">
        <v>6330.06</v>
      </c>
      <c r="Q884" s="3">
        <v>2035.06</v>
      </c>
      <c r="R884" s="3">
        <v>1590.78</v>
      </c>
      <c r="S884" s="3">
        <f>SUM(Table1[[#This Row],[Product_Cost]:[Other_Cost]])</f>
        <v>70832.22</v>
      </c>
      <c r="T884" s="3">
        <f>Table1[[#This Row],[Net_Sales]]-Table1[[#This Row],[Product_Cost]]</f>
        <v>50933.383504735466</v>
      </c>
      <c r="U884" s="3">
        <f>Table1[[#This Row],[Net_Sales]]-Table1[[#This Row],[Total_Cost]]</f>
        <v>38677.803504735464</v>
      </c>
      <c r="V884" s="4">
        <f>Table1[[#This Row],[Net_Profit]]/Table1[[#This Row],[Net_Sales]]</f>
        <v>0.35318961924122816</v>
      </c>
      <c r="W884" t="s">
        <v>33</v>
      </c>
      <c r="X884" t="s">
        <v>920</v>
      </c>
      <c r="Y884">
        <v>8</v>
      </c>
      <c r="Z884" t="str">
        <f>IF(Table1[[#This Row],[Month_No]]&lt;=6, "H1","H2")</f>
        <v>H2</v>
      </c>
    </row>
    <row r="885" spans="1:26" x14ac:dyDescent="0.25">
      <c r="A885" s="2">
        <v>45883</v>
      </c>
      <c r="B885" t="s">
        <v>965</v>
      </c>
      <c r="C885" t="s">
        <v>83</v>
      </c>
      <c r="D885" t="s">
        <v>50</v>
      </c>
      <c r="E885" t="s">
        <v>51</v>
      </c>
      <c r="F885" t="s">
        <v>52</v>
      </c>
      <c r="G885" t="s">
        <v>71</v>
      </c>
      <c r="H885" t="s">
        <v>41</v>
      </c>
      <c r="I885">
        <v>63.265294641898528</v>
      </c>
      <c r="J885" s="3">
        <v>905.64</v>
      </c>
      <c r="K885" s="3">
        <f>Table1[[#This Row],[Quantity]]*Table1[[#This Row],[Unit_Price]]</f>
        <v>57295.581439488982</v>
      </c>
      <c r="L885" s="3">
        <v>2930.24</v>
      </c>
      <c r="M885" s="3">
        <f>Table1[[#This Row],[Gross_Sales]]-Table1[[#This Row],[Discount]]</f>
        <v>54365.341439488984</v>
      </c>
      <c r="N885" s="3">
        <v>32746.35</v>
      </c>
      <c r="O885" s="3">
        <v>999.56</v>
      </c>
      <c r="P885" s="3">
        <v>3041.01</v>
      </c>
      <c r="Q885" s="3">
        <v>1498.72</v>
      </c>
      <c r="R885" s="3">
        <v>682.18</v>
      </c>
      <c r="S885" s="3">
        <f>SUM(Table1[[#This Row],[Product_Cost]:[Other_Cost]])</f>
        <v>38967.82</v>
      </c>
      <c r="T885" s="3">
        <f>Table1[[#This Row],[Net_Sales]]-Table1[[#This Row],[Product_Cost]]</f>
        <v>21618.991439488986</v>
      </c>
      <c r="U885" s="3">
        <f>Table1[[#This Row],[Net_Sales]]-Table1[[#This Row],[Total_Cost]]</f>
        <v>15397.521439488984</v>
      </c>
      <c r="V885" s="4">
        <f>Table1[[#This Row],[Net_Profit]]/Table1[[#This Row],[Net_Sales]]</f>
        <v>0.28322311663630595</v>
      </c>
      <c r="W885" t="s">
        <v>33</v>
      </c>
      <c r="X885" t="s">
        <v>920</v>
      </c>
      <c r="Y885">
        <v>8</v>
      </c>
      <c r="Z885" t="str">
        <f>IF(Table1[[#This Row],[Month_No]]&lt;=6, "H1","H2")</f>
        <v>H2</v>
      </c>
    </row>
    <row r="886" spans="1:26" x14ac:dyDescent="0.25">
      <c r="A886" s="2">
        <v>45884</v>
      </c>
      <c r="B886" t="s">
        <v>966</v>
      </c>
      <c r="C886" t="s">
        <v>63</v>
      </c>
      <c r="D886" t="s">
        <v>68</v>
      </c>
      <c r="E886" t="s">
        <v>29</v>
      </c>
      <c r="F886" t="s">
        <v>52</v>
      </c>
      <c r="G886" t="s">
        <v>58</v>
      </c>
      <c r="H886" t="s">
        <v>59</v>
      </c>
      <c r="I886">
        <v>131.3110022132482</v>
      </c>
      <c r="J886" s="3">
        <v>371.93</v>
      </c>
      <c r="K886" s="3">
        <f>Table1[[#This Row],[Quantity]]*Table1[[#This Row],[Unit_Price]]</f>
        <v>48838.501053173408</v>
      </c>
      <c r="L886" s="3">
        <v>1145.79</v>
      </c>
      <c r="M886" s="3">
        <f>Table1[[#This Row],[Gross_Sales]]-Table1[[#This Row],[Discount]]</f>
        <v>47692.711053173407</v>
      </c>
      <c r="N886" s="3">
        <v>32847.06</v>
      </c>
      <c r="O886" s="3">
        <v>937.74</v>
      </c>
      <c r="P886" s="3">
        <v>2490.09</v>
      </c>
      <c r="Q886" s="3">
        <v>1090.68</v>
      </c>
      <c r="R886" s="3">
        <v>834.17</v>
      </c>
      <c r="S886" s="3">
        <f>SUM(Table1[[#This Row],[Product_Cost]:[Other_Cost]])</f>
        <v>38199.74</v>
      </c>
      <c r="T886" s="3">
        <f>Table1[[#This Row],[Net_Sales]]-Table1[[#This Row],[Product_Cost]]</f>
        <v>14845.651053173409</v>
      </c>
      <c r="U886" s="3">
        <f>Table1[[#This Row],[Net_Sales]]-Table1[[#This Row],[Total_Cost]]</f>
        <v>9492.971053173409</v>
      </c>
      <c r="V886" s="4">
        <f>Table1[[#This Row],[Net_Profit]]/Table1[[#This Row],[Net_Sales]]</f>
        <v>0.19904448381199247</v>
      </c>
      <c r="W886" t="s">
        <v>33</v>
      </c>
      <c r="X886" t="s">
        <v>920</v>
      </c>
      <c r="Y886">
        <v>8</v>
      </c>
      <c r="Z886" t="str">
        <f>IF(Table1[[#This Row],[Month_No]]&lt;=6, "H1","H2")</f>
        <v>H2</v>
      </c>
    </row>
    <row r="887" spans="1:26" x14ac:dyDescent="0.25">
      <c r="A887" s="2">
        <v>45884</v>
      </c>
      <c r="B887" t="s">
        <v>967</v>
      </c>
      <c r="C887" t="s">
        <v>83</v>
      </c>
      <c r="D887" t="s">
        <v>28</v>
      </c>
      <c r="E887" t="s">
        <v>29</v>
      </c>
      <c r="F887" t="s">
        <v>52</v>
      </c>
      <c r="G887" t="s">
        <v>76</v>
      </c>
      <c r="H887" t="s">
        <v>41</v>
      </c>
      <c r="I887">
        <v>57.450586462310433</v>
      </c>
      <c r="J887" s="3">
        <v>1196.8399999999999</v>
      </c>
      <c r="K887" s="3">
        <f>Table1[[#This Row],[Quantity]]*Table1[[#This Row],[Unit_Price]]</f>
        <v>68759.159901551611</v>
      </c>
      <c r="L887" s="3">
        <v>3704.29</v>
      </c>
      <c r="M887" s="3">
        <f>Table1[[#This Row],[Gross_Sales]]-Table1[[#This Row],[Discount]]</f>
        <v>65054.86990155161</v>
      </c>
      <c r="N887" s="3">
        <v>36622.33</v>
      </c>
      <c r="O887" s="3">
        <v>1029.79</v>
      </c>
      <c r="P887" s="3">
        <v>3309.79</v>
      </c>
      <c r="Q887" s="3">
        <v>1537.45</v>
      </c>
      <c r="R887" s="3">
        <v>1112.26</v>
      </c>
      <c r="S887" s="3">
        <f>SUM(Table1[[#This Row],[Product_Cost]:[Other_Cost]])</f>
        <v>43611.62</v>
      </c>
      <c r="T887" s="3">
        <f>Table1[[#This Row],[Net_Sales]]-Table1[[#This Row],[Product_Cost]]</f>
        <v>28432.539901551609</v>
      </c>
      <c r="U887" s="3">
        <f>Table1[[#This Row],[Net_Sales]]-Table1[[#This Row],[Total_Cost]]</f>
        <v>21443.249901551608</v>
      </c>
      <c r="V887" s="4">
        <f>Table1[[#This Row],[Net_Profit]]/Table1[[#This Row],[Net_Sales]]</f>
        <v>0.32961790460886264</v>
      </c>
      <c r="W887" t="s">
        <v>33</v>
      </c>
      <c r="X887" t="s">
        <v>920</v>
      </c>
      <c r="Y887">
        <v>8</v>
      </c>
      <c r="Z887" t="str">
        <f>IF(Table1[[#This Row],[Month_No]]&lt;=6, "H1","H2")</f>
        <v>H2</v>
      </c>
    </row>
    <row r="888" spans="1:26" x14ac:dyDescent="0.25">
      <c r="A888" s="2">
        <v>45884</v>
      </c>
      <c r="B888" t="s">
        <v>968</v>
      </c>
      <c r="C888" t="s">
        <v>83</v>
      </c>
      <c r="D888" t="s">
        <v>66</v>
      </c>
      <c r="E888" t="s">
        <v>51</v>
      </c>
      <c r="F888" t="s">
        <v>52</v>
      </c>
      <c r="G888" t="s">
        <v>40</v>
      </c>
      <c r="H888" t="s">
        <v>32</v>
      </c>
      <c r="I888">
        <v>43.431427106300269</v>
      </c>
      <c r="J888" s="3">
        <v>1507.89</v>
      </c>
      <c r="K888" s="3">
        <f>Table1[[#This Row],[Quantity]]*Table1[[#This Row],[Unit_Price]]</f>
        <v>65489.814619319121</v>
      </c>
      <c r="L888" s="3">
        <v>2759.48</v>
      </c>
      <c r="M888" s="3">
        <f>Table1[[#This Row],[Gross_Sales]]-Table1[[#This Row],[Discount]]</f>
        <v>62730.334619319117</v>
      </c>
      <c r="N888" s="3">
        <v>31200.17</v>
      </c>
      <c r="O888" s="3">
        <v>970.42</v>
      </c>
      <c r="P888" s="3">
        <v>3435.92</v>
      </c>
      <c r="Q888" s="3">
        <v>1999.78</v>
      </c>
      <c r="R888" s="3">
        <v>802.44</v>
      </c>
      <c r="S888" s="3">
        <f>SUM(Table1[[#This Row],[Product_Cost]:[Other_Cost]])</f>
        <v>38408.729999999996</v>
      </c>
      <c r="T888" s="3">
        <f>Table1[[#This Row],[Net_Sales]]-Table1[[#This Row],[Product_Cost]]</f>
        <v>31530.164619319119</v>
      </c>
      <c r="U888" s="3">
        <f>Table1[[#This Row],[Net_Sales]]-Table1[[#This Row],[Total_Cost]]</f>
        <v>24321.604619319121</v>
      </c>
      <c r="V888" s="4">
        <f>Table1[[#This Row],[Net_Profit]]/Table1[[#This Row],[Net_Sales]]</f>
        <v>0.38771680028355493</v>
      </c>
      <c r="W888" t="s">
        <v>33</v>
      </c>
      <c r="X888" t="s">
        <v>920</v>
      </c>
      <c r="Y888">
        <v>8</v>
      </c>
      <c r="Z888" t="str">
        <f>IF(Table1[[#This Row],[Month_No]]&lt;=6, "H1","H2")</f>
        <v>H2</v>
      </c>
    </row>
    <row r="889" spans="1:26" x14ac:dyDescent="0.25">
      <c r="A889" s="2">
        <v>45884</v>
      </c>
      <c r="B889" t="s">
        <v>969</v>
      </c>
      <c r="C889" t="s">
        <v>55</v>
      </c>
      <c r="D889" t="s">
        <v>56</v>
      </c>
      <c r="E889" t="s">
        <v>57</v>
      </c>
      <c r="F889" t="s">
        <v>52</v>
      </c>
      <c r="G889" t="s">
        <v>71</v>
      </c>
      <c r="H889" t="s">
        <v>32</v>
      </c>
      <c r="I889">
        <v>43.024798656172358</v>
      </c>
      <c r="J889" s="3">
        <v>3229.34</v>
      </c>
      <c r="K889" s="3">
        <f>Table1[[#This Row],[Quantity]]*Table1[[#This Row],[Unit_Price]]</f>
        <v>138941.70329232365</v>
      </c>
      <c r="L889" s="3">
        <v>7496.67</v>
      </c>
      <c r="M889" s="3">
        <f>Table1[[#This Row],[Gross_Sales]]-Table1[[#This Row],[Discount]]</f>
        <v>131445.03329232364</v>
      </c>
      <c r="N889" s="3">
        <v>67073.37</v>
      </c>
      <c r="O889" s="3">
        <v>2182.9499999999998</v>
      </c>
      <c r="P889" s="3">
        <v>7657.48</v>
      </c>
      <c r="Q889" s="3">
        <v>3240.33</v>
      </c>
      <c r="R889" s="3">
        <v>1822.63</v>
      </c>
      <c r="S889" s="3">
        <f>SUM(Table1[[#This Row],[Product_Cost]:[Other_Cost]])</f>
        <v>81976.759999999995</v>
      </c>
      <c r="T889" s="3">
        <f>Table1[[#This Row],[Net_Sales]]-Table1[[#This Row],[Product_Cost]]</f>
        <v>64371.663292323647</v>
      </c>
      <c r="U889" s="3">
        <f>Table1[[#This Row],[Net_Sales]]-Table1[[#This Row],[Total_Cost]]</f>
        <v>49468.273292323647</v>
      </c>
      <c r="V889" s="4">
        <f>Table1[[#This Row],[Net_Profit]]/Table1[[#This Row],[Net_Sales]]</f>
        <v>0.37634189785102046</v>
      </c>
      <c r="W889" t="s">
        <v>33</v>
      </c>
      <c r="X889" t="s">
        <v>920</v>
      </c>
      <c r="Y889">
        <v>8</v>
      </c>
      <c r="Z889" t="str">
        <f>IF(Table1[[#This Row],[Month_No]]&lt;=6, "H1","H2")</f>
        <v>H2</v>
      </c>
    </row>
    <row r="890" spans="1:26" x14ac:dyDescent="0.25">
      <c r="A890" s="2">
        <v>45884</v>
      </c>
      <c r="B890" t="s">
        <v>970</v>
      </c>
      <c r="C890" t="s">
        <v>36</v>
      </c>
      <c r="D890" t="s">
        <v>183</v>
      </c>
      <c r="E890" t="s">
        <v>38</v>
      </c>
      <c r="F890" t="s">
        <v>30</v>
      </c>
      <c r="G890" t="s">
        <v>71</v>
      </c>
      <c r="H890" t="s">
        <v>41</v>
      </c>
      <c r="I890">
        <v>65.141799451285081</v>
      </c>
      <c r="J890" s="3">
        <v>6584.8</v>
      </c>
      <c r="K890" s="3">
        <f>Table1[[#This Row],[Quantity]]*Table1[[#This Row],[Unit_Price]]</f>
        <v>428945.72102682199</v>
      </c>
      <c r="L890" s="3">
        <v>15682.43</v>
      </c>
      <c r="M890" s="3">
        <f>Table1[[#This Row],[Gross_Sales]]-Table1[[#This Row],[Discount]]</f>
        <v>413263.291026822</v>
      </c>
      <c r="N890" s="3">
        <v>228243.5</v>
      </c>
      <c r="O890" s="3">
        <v>10817.84</v>
      </c>
      <c r="P890" s="3">
        <v>24137.31</v>
      </c>
      <c r="Q890" s="3">
        <v>12391.46</v>
      </c>
      <c r="R890" s="3">
        <v>6290.42</v>
      </c>
      <c r="S890" s="3">
        <f>SUM(Table1[[#This Row],[Product_Cost]:[Other_Cost]])</f>
        <v>281880.53000000003</v>
      </c>
      <c r="T890" s="3">
        <f>Table1[[#This Row],[Net_Sales]]-Table1[[#This Row],[Product_Cost]]</f>
        <v>185019.791026822</v>
      </c>
      <c r="U890" s="3">
        <f>Table1[[#This Row],[Net_Sales]]-Table1[[#This Row],[Total_Cost]]</f>
        <v>131382.76102682197</v>
      </c>
      <c r="V890" s="4">
        <f>Table1[[#This Row],[Net_Profit]]/Table1[[#This Row],[Net_Sales]]</f>
        <v>0.31791539166321658</v>
      </c>
      <c r="W890" t="s">
        <v>33</v>
      </c>
      <c r="X890" t="s">
        <v>920</v>
      </c>
      <c r="Y890">
        <v>8</v>
      </c>
      <c r="Z890" t="str">
        <f>IF(Table1[[#This Row],[Month_No]]&lt;=6, "H1","H2")</f>
        <v>H2</v>
      </c>
    </row>
    <row r="891" spans="1:26" x14ac:dyDescent="0.25">
      <c r="A891" s="2">
        <v>45885</v>
      </c>
      <c r="B891" t="s">
        <v>971</v>
      </c>
      <c r="C891" t="s">
        <v>55</v>
      </c>
      <c r="D891" t="s">
        <v>44</v>
      </c>
      <c r="E891" t="s">
        <v>45</v>
      </c>
      <c r="F891" t="s">
        <v>52</v>
      </c>
      <c r="G891" t="s">
        <v>40</v>
      </c>
      <c r="H891" t="s">
        <v>32</v>
      </c>
      <c r="I891">
        <v>85.8882395985964</v>
      </c>
      <c r="J891" s="3">
        <v>4538.53</v>
      </c>
      <c r="K891" s="3">
        <f>Table1[[#This Row],[Quantity]]*Table1[[#This Row],[Unit_Price]]</f>
        <v>389806.35206541768</v>
      </c>
      <c r="L891" s="3">
        <v>22886.52</v>
      </c>
      <c r="M891" s="3">
        <f>Table1[[#This Row],[Gross_Sales]]-Table1[[#This Row],[Discount]]</f>
        <v>366919.83206541766</v>
      </c>
      <c r="N891" s="3">
        <v>247898.67</v>
      </c>
      <c r="O891" s="3">
        <v>6804.86</v>
      </c>
      <c r="P891" s="3">
        <v>21181.22</v>
      </c>
      <c r="Q891" s="3">
        <v>11596.57</v>
      </c>
      <c r="R891" s="3">
        <v>5171.2299999999996</v>
      </c>
      <c r="S891" s="3">
        <f>SUM(Table1[[#This Row],[Product_Cost]:[Other_Cost]])</f>
        <v>292652.55</v>
      </c>
      <c r="T891" s="3">
        <f>Table1[[#This Row],[Net_Sales]]-Table1[[#This Row],[Product_Cost]]</f>
        <v>119021.16206541765</v>
      </c>
      <c r="U891" s="3">
        <f>Table1[[#This Row],[Net_Sales]]-Table1[[#This Row],[Total_Cost]]</f>
        <v>74267.282065417676</v>
      </c>
      <c r="V891" s="4">
        <f>Table1[[#This Row],[Net_Profit]]/Table1[[#This Row],[Net_Sales]]</f>
        <v>0.20240738050969306</v>
      </c>
      <c r="W891" t="s">
        <v>33</v>
      </c>
      <c r="X891" t="s">
        <v>920</v>
      </c>
      <c r="Y891">
        <v>8</v>
      </c>
      <c r="Z891" t="str">
        <f>IF(Table1[[#This Row],[Month_No]]&lt;=6, "H1","H2")</f>
        <v>H2</v>
      </c>
    </row>
    <row r="892" spans="1:26" x14ac:dyDescent="0.25">
      <c r="A892" s="2">
        <v>45885</v>
      </c>
      <c r="B892" t="s">
        <v>972</v>
      </c>
      <c r="C892" t="s">
        <v>27</v>
      </c>
      <c r="D892" t="s">
        <v>50</v>
      </c>
      <c r="E892" t="s">
        <v>51</v>
      </c>
      <c r="F892" t="s">
        <v>52</v>
      </c>
      <c r="G892" t="s">
        <v>61</v>
      </c>
      <c r="H892" t="s">
        <v>59</v>
      </c>
      <c r="I892">
        <v>62.453296121958843</v>
      </c>
      <c r="J892" s="3">
        <v>867.6</v>
      </c>
      <c r="K892" s="3">
        <f>Table1[[#This Row],[Quantity]]*Table1[[#This Row],[Unit_Price]]</f>
        <v>54184.479715411493</v>
      </c>
      <c r="L892" s="3">
        <v>1131.57</v>
      </c>
      <c r="M892" s="3">
        <f>Table1[[#This Row],[Gross_Sales]]-Table1[[#This Row],[Discount]]</f>
        <v>53052.909715411493</v>
      </c>
      <c r="N892" s="3">
        <v>31804.69</v>
      </c>
      <c r="O892" s="3">
        <v>942.89</v>
      </c>
      <c r="P892" s="3">
        <v>2922.9</v>
      </c>
      <c r="Q892" s="3">
        <v>1042.94</v>
      </c>
      <c r="R892" s="3">
        <v>829.15</v>
      </c>
      <c r="S892" s="3">
        <f>SUM(Table1[[#This Row],[Product_Cost]:[Other_Cost]])</f>
        <v>37542.57</v>
      </c>
      <c r="T892" s="3">
        <f>Table1[[#This Row],[Net_Sales]]-Table1[[#This Row],[Product_Cost]]</f>
        <v>21248.219715411495</v>
      </c>
      <c r="U892" s="3">
        <f>Table1[[#This Row],[Net_Sales]]-Table1[[#This Row],[Total_Cost]]</f>
        <v>15510.339715411494</v>
      </c>
      <c r="V892" s="4">
        <f>Table1[[#This Row],[Net_Profit]]/Table1[[#This Row],[Net_Sales]]</f>
        <v>0.29235606112110851</v>
      </c>
      <c r="W892" t="s">
        <v>72</v>
      </c>
      <c r="X892" t="s">
        <v>920</v>
      </c>
      <c r="Y892">
        <v>8</v>
      </c>
      <c r="Z892" t="str">
        <f>IF(Table1[[#This Row],[Month_No]]&lt;=6, "H1","H2")</f>
        <v>H2</v>
      </c>
    </row>
    <row r="893" spans="1:26" x14ac:dyDescent="0.25">
      <c r="A893" s="2">
        <v>45885</v>
      </c>
      <c r="B893" t="s">
        <v>973</v>
      </c>
      <c r="C893" t="s">
        <v>78</v>
      </c>
      <c r="D893" t="s">
        <v>50</v>
      </c>
      <c r="E893" t="s">
        <v>51</v>
      </c>
      <c r="F893" t="s">
        <v>52</v>
      </c>
      <c r="G893" t="s">
        <v>31</v>
      </c>
      <c r="H893" t="s">
        <v>47</v>
      </c>
      <c r="I893">
        <v>62.412343946816819</v>
      </c>
      <c r="J893" s="3">
        <v>868.62</v>
      </c>
      <c r="K893" s="3">
        <f>Table1[[#This Row],[Quantity]]*Table1[[#This Row],[Unit_Price]]</f>
        <v>54212.610199084025</v>
      </c>
      <c r="L893" s="3">
        <v>1413.48</v>
      </c>
      <c r="M893" s="3">
        <f>Table1[[#This Row],[Gross_Sales]]-Table1[[#This Row],[Discount]]</f>
        <v>52799.130199084022</v>
      </c>
      <c r="N893" s="3">
        <v>33184.32</v>
      </c>
      <c r="O893" s="3">
        <v>857.1</v>
      </c>
      <c r="P893" s="3">
        <v>2931.23</v>
      </c>
      <c r="Q893" s="3">
        <v>977.82</v>
      </c>
      <c r="R893" s="3">
        <v>651.54999999999995</v>
      </c>
      <c r="S893" s="3">
        <f>SUM(Table1[[#This Row],[Product_Cost]:[Other_Cost]])</f>
        <v>38602.020000000004</v>
      </c>
      <c r="T893" s="3">
        <f>Table1[[#This Row],[Net_Sales]]-Table1[[#This Row],[Product_Cost]]</f>
        <v>19614.810199084022</v>
      </c>
      <c r="U893" s="3">
        <f>Table1[[#This Row],[Net_Sales]]-Table1[[#This Row],[Total_Cost]]</f>
        <v>14197.110199084018</v>
      </c>
      <c r="V893" s="4">
        <f>Table1[[#This Row],[Net_Profit]]/Table1[[#This Row],[Net_Sales]]</f>
        <v>0.26888909240649411</v>
      </c>
      <c r="W893" t="s">
        <v>72</v>
      </c>
      <c r="X893" t="s">
        <v>920</v>
      </c>
      <c r="Y893">
        <v>8</v>
      </c>
      <c r="Z893" t="str">
        <f>IF(Table1[[#This Row],[Month_No]]&lt;=6, "H1","H2")</f>
        <v>H2</v>
      </c>
    </row>
    <row r="894" spans="1:26" x14ac:dyDescent="0.25">
      <c r="A894" s="2">
        <v>45885</v>
      </c>
      <c r="B894" t="s">
        <v>974</v>
      </c>
      <c r="C894" t="s">
        <v>117</v>
      </c>
      <c r="D894" t="s">
        <v>100</v>
      </c>
      <c r="E894" t="s">
        <v>75</v>
      </c>
      <c r="F894" t="s">
        <v>30</v>
      </c>
      <c r="G894" t="s">
        <v>86</v>
      </c>
      <c r="H894" t="s">
        <v>41</v>
      </c>
      <c r="I894">
        <v>60.521660057820753</v>
      </c>
      <c r="J894" s="3">
        <v>7393.89</v>
      </c>
      <c r="K894" s="3">
        <f>Table1[[#This Row],[Quantity]]*Table1[[#This Row],[Unit_Price]]</f>
        <v>447490.49708492029</v>
      </c>
      <c r="L894" s="3">
        <v>18929.990000000002</v>
      </c>
      <c r="M894" s="3">
        <f>Table1[[#This Row],[Gross_Sales]]-Table1[[#This Row],[Discount]]</f>
        <v>428560.5070849203</v>
      </c>
      <c r="N894" s="3">
        <v>225978.19</v>
      </c>
      <c r="O894" s="3">
        <v>9975.67</v>
      </c>
      <c r="P894" s="3">
        <v>21764.77</v>
      </c>
      <c r="Q894" s="3">
        <v>9967.1200000000008</v>
      </c>
      <c r="R894" s="3">
        <v>8566.64</v>
      </c>
      <c r="S894" s="3">
        <f>SUM(Table1[[#This Row],[Product_Cost]:[Other_Cost]])</f>
        <v>276252.39</v>
      </c>
      <c r="T894" s="3">
        <f>Table1[[#This Row],[Net_Sales]]-Table1[[#This Row],[Product_Cost]]</f>
        <v>202582.3170849203</v>
      </c>
      <c r="U894" s="3">
        <f>Table1[[#This Row],[Net_Sales]]-Table1[[#This Row],[Total_Cost]]</f>
        <v>152308.11708492029</v>
      </c>
      <c r="V894" s="4">
        <f>Table1[[#This Row],[Net_Profit]]/Table1[[#This Row],[Net_Sales]]</f>
        <v>0.35539466322019275</v>
      </c>
      <c r="W894" t="s">
        <v>33</v>
      </c>
      <c r="X894" t="s">
        <v>920</v>
      </c>
      <c r="Y894">
        <v>8</v>
      </c>
      <c r="Z894" t="str">
        <f>IF(Table1[[#This Row],[Month_No]]&lt;=6, "H1","H2")</f>
        <v>H2</v>
      </c>
    </row>
    <row r="895" spans="1:26" x14ac:dyDescent="0.25">
      <c r="A895" s="2">
        <v>45885</v>
      </c>
      <c r="B895" t="s">
        <v>975</v>
      </c>
      <c r="C895" t="s">
        <v>107</v>
      </c>
      <c r="D895" t="s">
        <v>85</v>
      </c>
      <c r="E895" t="s">
        <v>57</v>
      </c>
      <c r="F895" t="s">
        <v>52</v>
      </c>
      <c r="G895" t="s">
        <v>31</v>
      </c>
      <c r="H895" t="s">
        <v>41</v>
      </c>
      <c r="I895">
        <v>75.56877906835733</v>
      </c>
      <c r="J895" s="3">
        <v>1913.39</v>
      </c>
      <c r="K895" s="3">
        <f>Table1[[#This Row],[Quantity]]*Table1[[#This Row],[Unit_Price]]</f>
        <v>144592.54618160424</v>
      </c>
      <c r="L895" s="3">
        <v>7799.71</v>
      </c>
      <c r="M895" s="3">
        <f>Table1[[#This Row],[Gross_Sales]]-Table1[[#This Row],[Discount]]</f>
        <v>136792.83618160425</v>
      </c>
      <c r="N895" s="3">
        <v>89191.11</v>
      </c>
      <c r="O895" s="3">
        <v>2339.88</v>
      </c>
      <c r="P895" s="3">
        <v>6637.78</v>
      </c>
      <c r="Q895" s="3">
        <v>2949.18</v>
      </c>
      <c r="R895" s="3">
        <v>2331.62</v>
      </c>
      <c r="S895" s="3">
        <f>SUM(Table1[[#This Row],[Product_Cost]:[Other_Cost]])</f>
        <v>103449.56999999999</v>
      </c>
      <c r="T895" s="3">
        <f>Table1[[#This Row],[Net_Sales]]-Table1[[#This Row],[Product_Cost]]</f>
        <v>47601.726181604245</v>
      </c>
      <c r="U895" s="3">
        <f>Table1[[#This Row],[Net_Sales]]-Table1[[#This Row],[Total_Cost]]</f>
        <v>33343.266181604253</v>
      </c>
      <c r="V895" s="4">
        <f>Table1[[#This Row],[Net_Profit]]/Table1[[#This Row],[Net_Sales]]</f>
        <v>0.24375009037270198</v>
      </c>
      <c r="W895" t="s">
        <v>33</v>
      </c>
      <c r="X895" t="s">
        <v>920</v>
      </c>
      <c r="Y895">
        <v>8</v>
      </c>
      <c r="Z895" t="str">
        <f>IF(Table1[[#This Row],[Month_No]]&lt;=6, "H1","H2")</f>
        <v>H2</v>
      </c>
    </row>
    <row r="896" spans="1:26" x14ac:dyDescent="0.25">
      <c r="A896" s="2">
        <v>45886</v>
      </c>
      <c r="B896" t="s">
        <v>976</v>
      </c>
      <c r="C896" t="s">
        <v>78</v>
      </c>
      <c r="D896" t="s">
        <v>81</v>
      </c>
      <c r="E896" t="s">
        <v>45</v>
      </c>
      <c r="F896" t="s">
        <v>46</v>
      </c>
      <c r="G896" t="s">
        <v>71</v>
      </c>
      <c r="H896" t="s">
        <v>59</v>
      </c>
      <c r="I896">
        <v>59.789149311901497</v>
      </c>
      <c r="J896" s="3">
        <v>6979.9</v>
      </c>
      <c r="K896" s="3">
        <f>Table1[[#This Row],[Quantity]]*Table1[[#This Row],[Unit_Price]]</f>
        <v>417322.28328214126</v>
      </c>
      <c r="L896" s="3">
        <v>9034.7999999999993</v>
      </c>
      <c r="M896" s="3">
        <f>Table1[[#This Row],[Gross_Sales]]-Table1[[#This Row],[Discount]]</f>
        <v>408287.48328214127</v>
      </c>
      <c r="N896" s="3">
        <v>211674.19</v>
      </c>
      <c r="O896" s="3">
        <v>8272.16</v>
      </c>
      <c r="P896" s="3">
        <v>20034.009999999998</v>
      </c>
      <c r="Q896" s="3">
        <v>8795.7999999999993</v>
      </c>
      <c r="R896" s="3">
        <v>7742.33</v>
      </c>
      <c r="S896" s="3">
        <f>SUM(Table1[[#This Row],[Product_Cost]:[Other_Cost]])</f>
        <v>256518.49</v>
      </c>
      <c r="T896" s="3">
        <f>Table1[[#This Row],[Net_Sales]]-Table1[[#This Row],[Product_Cost]]</f>
        <v>196613.29328214127</v>
      </c>
      <c r="U896" s="3">
        <f>Table1[[#This Row],[Net_Sales]]-Table1[[#This Row],[Total_Cost]]</f>
        <v>151768.99328214128</v>
      </c>
      <c r="V896" s="4">
        <f>Table1[[#This Row],[Net_Profit]]/Table1[[#This Row],[Net_Sales]]</f>
        <v>0.37172090621564186</v>
      </c>
      <c r="W896" t="s">
        <v>33</v>
      </c>
      <c r="X896" t="s">
        <v>920</v>
      </c>
      <c r="Y896">
        <v>8</v>
      </c>
      <c r="Z896" t="str">
        <f>IF(Table1[[#This Row],[Month_No]]&lt;=6, "H1","H2")</f>
        <v>H2</v>
      </c>
    </row>
    <row r="897" spans="1:26" x14ac:dyDescent="0.25">
      <c r="A897" s="2">
        <v>45886</v>
      </c>
      <c r="B897" t="s">
        <v>977</v>
      </c>
      <c r="C897" t="s">
        <v>36</v>
      </c>
      <c r="D897" t="s">
        <v>85</v>
      </c>
      <c r="E897" t="s">
        <v>57</v>
      </c>
      <c r="F897" t="s">
        <v>52</v>
      </c>
      <c r="G897" t="s">
        <v>64</v>
      </c>
      <c r="H897" t="s">
        <v>41</v>
      </c>
      <c r="I897">
        <v>49.840949656318038</v>
      </c>
      <c r="J897" s="3">
        <v>1955.33</v>
      </c>
      <c r="K897" s="3">
        <f>Table1[[#This Row],[Quantity]]*Table1[[#This Row],[Unit_Price]]</f>
        <v>97455.504091488343</v>
      </c>
      <c r="L897" s="3">
        <v>3025.69</v>
      </c>
      <c r="M897" s="3">
        <f>Table1[[#This Row],[Gross_Sales]]-Table1[[#This Row],[Discount]]</f>
        <v>94429.814091488341</v>
      </c>
      <c r="N897" s="3">
        <v>61890.33</v>
      </c>
      <c r="O897" s="3">
        <v>1670.19</v>
      </c>
      <c r="P897" s="3">
        <v>5103.95</v>
      </c>
      <c r="Q897" s="3">
        <v>2854.92</v>
      </c>
      <c r="R897" s="3">
        <v>2072.85</v>
      </c>
      <c r="S897" s="3">
        <f>SUM(Table1[[#This Row],[Product_Cost]:[Other_Cost]])</f>
        <v>73592.240000000005</v>
      </c>
      <c r="T897" s="3">
        <f>Table1[[#This Row],[Net_Sales]]-Table1[[#This Row],[Product_Cost]]</f>
        <v>32539.484091488339</v>
      </c>
      <c r="U897" s="3">
        <f>Table1[[#This Row],[Net_Sales]]-Table1[[#This Row],[Total_Cost]]</f>
        <v>20837.574091488335</v>
      </c>
      <c r="V897" s="4">
        <f>Table1[[#This Row],[Net_Profit]]/Table1[[#This Row],[Net_Sales]]</f>
        <v>0.22066732093001737</v>
      </c>
      <c r="W897" t="s">
        <v>72</v>
      </c>
      <c r="X897" t="s">
        <v>920</v>
      </c>
      <c r="Y897">
        <v>8</v>
      </c>
      <c r="Z897" t="str">
        <f>IF(Table1[[#This Row],[Month_No]]&lt;=6, "H1","H2")</f>
        <v>H2</v>
      </c>
    </row>
    <row r="898" spans="1:26" x14ac:dyDescent="0.25">
      <c r="A898" s="2">
        <v>45886</v>
      </c>
      <c r="B898" t="s">
        <v>978</v>
      </c>
      <c r="C898" t="s">
        <v>55</v>
      </c>
      <c r="D898" t="s">
        <v>44</v>
      </c>
      <c r="E898" t="s">
        <v>45</v>
      </c>
      <c r="F898" t="s">
        <v>46</v>
      </c>
      <c r="G898" t="s">
        <v>76</v>
      </c>
      <c r="H898" t="s">
        <v>47</v>
      </c>
      <c r="I898">
        <v>67.42781153117636</v>
      </c>
      <c r="J898" s="3">
        <v>4607.25</v>
      </c>
      <c r="K898" s="3">
        <f>Table1[[#This Row],[Quantity]]*Table1[[#This Row],[Unit_Price]]</f>
        <v>310656.7846770123</v>
      </c>
      <c r="L898" s="3">
        <v>9738.9599999999991</v>
      </c>
      <c r="M898" s="3">
        <f>Table1[[#This Row],[Gross_Sales]]-Table1[[#This Row],[Discount]]</f>
        <v>300917.82467701228</v>
      </c>
      <c r="N898" s="3">
        <v>194310.6</v>
      </c>
      <c r="O898" s="3">
        <v>6058.57</v>
      </c>
      <c r="P898" s="3">
        <v>14452.2</v>
      </c>
      <c r="Q898" s="3">
        <v>6425.92</v>
      </c>
      <c r="R898" s="3">
        <v>5269.31</v>
      </c>
      <c r="S898" s="3">
        <f>SUM(Table1[[#This Row],[Product_Cost]:[Other_Cost]])</f>
        <v>226516.60000000003</v>
      </c>
      <c r="T898" s="3">
        <f>Table1[[#This Row],[Net_Sales]]-Table1[[#This Row],[Product_Cost]]</f>
        <v>106607.22467701227</v>
      </c>
      <c r="U898" s="3">
        <f>Table1[[#This Row],[Net_Sales]]-Table1[[#This Row],[Total_Cost]]</f>
        <v>74401.224677012244</v>
      </c>
      <c r="V898" s="4">
        <f>Table1[[#This Row],[Net_Profit]]/Table1[[#This Row],[Net_Sales]]</f>
        <v>0.2472476489449244</v>
      </c>
      <c r="W898" t="s">
        <v>33</v>
      </c>
      <c r="X898" t="s">
        <v>920</v>
      </c>
      <c r="Y898">
        <v>8</v>
      </c>
      <c r="Z898" t="str">
        <f>IF(Table1[[#This Row],[Month_No]]&lt;=6, "H1","H2")</f>
        <v>H2</v>
      </c>
    </row>
    <row r="899" spans="1:26" x14ac:dyDescent="0.25">
      <c r="A899" s="2">
        <v>45887</v>
      </c>
      <c r="B899" t="s">
        <v>979</v>
      </c>
      <c r="C899" t="s">
        <v>107</v>
      </c>
      <c r="D899" t="s">
        <v>81</v>
      </c>
      <c r="E899" t="s">
        <v>45</v>
      </c>
      <c r="F899" t="s">
        <v>52</v>
      </c>
      <c r="G899" t="s">
        <v>71</v>
      </c>
      <c r="H899" t="s">
        <v>59</v>
      </c>
      <c r="I899">
        <v>33.275109102538508</v>
      </c>
      <c r="J899" s="3">
        <v>6807.33</v>
      </c>
      <c r="K899" s="3">
        <f>Table1[[#This Row],[Quantity]]*Table1[[#This Row],[Unit_Price]]</f>
        <v>226514.64844698345</v>
      </c>
      <c r="L899" s="3">
        <v>5249.63</v>
      </c>
      <c r="M899" s="3">
        <f>Table1[[#This Row],[Gross_Sales]]-Table1[[#This Row],[Discount]]</f>
        <v>221265.01844698345</v>
      </c>
      <c r="N899" s="3">
        <v>111518.39999999999</v>
      </c>
      <c r="O899" s="3">
        <v>4009.58</v>
      </c>
      <c r="P899" s="3">
        <v>12311.85</v>
      </c>
      <c r="Q899" s="3">
        <v>6043.06</v>
      </c>
      <c r="R899" s="3">
        <v>3802.54</v>
      </c>
      <c r="S899" s="3">
        <f>SUM(Table1[[#This Row],[Product_Cost]:[Other_Cost]])</f>
        <v>137685.43000000002</v>
      </c>
      <c r="T899" s="3">
        <f>Table1[[#This Row],[Net_Sales]]-Table1[[#This Row],[Product_Cost]]</f>
        <v>109746.61844698346</v>
      </c>
      <c r="U899" s="3">
        <f>Table1[[#This Row],[Net_Sales]]-Table1[[#This Row],[Total_Cost]]</f>
        <v>83579.588446983427</v>
      </c>
      <c r="V899" s="4">
        <f>Table1[[#This Row],[Net_Profit]]/Table1[[#This Row],[Net_Sales]]</f>
        <v>0.37773521107680041</v>
      </c>
      <c r="W899" t="s">
        <v>33</v>
      </c>
      <c r="X899" t="s">
        <v>920</v>
      </c>
      <c r="Y899">
        <v>8</v>
      </c>
      <c r="Z899" t="str">
        <f>IF(Table1[[#This Row],[Month_No]]&lt;=6, "H1","H2")</f>
        <v>H2</v>
      </c>
    </row>
    <row r="900" spans="1:26" x14ac:dyDescent="0.25">
      <c r="A900" s="2">
        <v>45887</v>
      </c>
      <c r="B900" t="s">
        <v>980</v>
      </c>
      <c r="C900" t="s">
        <v>107</v>
      </c>
      <c r="D900" t="s">
        <v>44</v>
      </c>
      <c r="E900" t="s">
        <v>45</v>
      </c>
      <c r="F900" t="s">
        <v>52</v>
      </c>
      <c r="G900" t="s">
        <v>86</v>
      </c>
      <c r="H900" t="s">
        <v>47</v>
      </c>
      <c r="I900">
        <v>67.967862175454087</v>
      </c>
      <c r="J900" s="3">
        <v>4621.25</v>
      </c>
      <c r="K900" s="3">
        <f>Table1[[#This Row],[Quantity]]*Table1[[#This Row],[Unit_Price]]</f>
        <v>314096.48307831719</v>
      </c>
      <c r="L900" s="3">
        <v>9236.15</v>
      </c>
      <c r="M900" s="3">
        <f>Table1[[#This Row],[Gross_Sales]]-Table1[[#This Row],[Discount]]</f>
        <v>304860.33307831717</v>
      </c>
      <c r="N900" s="3">
        <v>201424.93</v>
      </c>
      <c r="O900" s="3">
        <v>4641.82</v>
      </c>
      <c r="P900" s="3">
        <v>18027.34</v>
      </c>
      <c r="Q900" s="3">
        <v>6741.54</v>
      </c>
      <c r="R900" s="3">
        <v>5276.41</v>
      </c>
      <c r="S900" s="3">
        <f>SUM(Table1[[#This Row],[Product_Cost]:[Other_Cost]])</f>
        <v>236112.04</v>
      </c>
      <c r="T900" s="3">
        <f>Table1[[#This Row],[Net_Sales]]-Table1[[#This Row],[Product_Cost]]</f>
        <v>103435.40307831718</v>
      </c>
      <c r="U900" s="3">
        <f>Table1[[#This Row],[Net_Sales]]-Table1[[#This Row],[Total_Cost]]</f>
        <v>68748.293078317161</v>
      </c>
      <c r="V900" s="4">
        <f>Table1[[#This Row],[Net_Profit]]/Table1[[#This Row],[Net_Sales]]</f>
        <v>0.22550750497492913</v>
      </c>
      <c r="W900" t="s">
        <v>33</v>
      </c>
      <c r="X900" t="s">
        <v>920</v>
      </c>
      <c r="Y900">
        <v>8</v>
      </c>
      <c r="Z900" t="str">
        <f>IF(Table1[[#This Row],[Month_No]]&lt;=6, "H1","H2")</f>
        <v>H2</v>
      </c>
    </row>
    <row r="901" spans="1:26" x14ac:dyDescent="0.25">
      <c r="A901" s="2">
        <v>45888</v>
      </c>
      <c r="B901" t="s">
        <v>981</v>
      </c>
      <c r="C901" t="s">
        <v>36</v>
      </c>
      <c r="D901" t="s">
        <v>68</v>
      </c>
      <c r="E901" t="s">
        <v>29</v>
      </c>
      <c r="F901" t="s">
        <v>46</v>
      </c>
      <c r="G901" t="s">
        <v>64</v>
      </c>
      <c r="H901" t="s">
        <v>41</v>
      </c>
      <c r="I901">
        <v>96.277224759734167</v>
      </c>
      <c r="J901" s="3">
        <v>375.16</v>
      </c>
      <c r="K901" s="3">
        <f>Table1[[#This Row],[Quantity]]*Table1[[#This Row],[Unit_Price]]</f>
        <v>36119.363640861869</v>
      </c>
      <c r="L901" s="3">
        <v>1470.71</v>
      </c>
      <c r="M901" s="3">
        <f>Table1[[#This Row],[Gross_Sales]]-Table1[[#This Row],[Discount]]</f>
        <v>34648.65364086187</v>
      </c>
      <c r="N901" s="3">
        <v>25365.919999999998</v>
      </c>
      <c r="O901" s="3">
        <v>871.5</v>
      </c>
      <c r="P901" s="3">
        <v>1758.57</v>
      </c>
      <c r="Q901" s="3">
        <v>1099.6300000000001</v>
      </c>
      <c r="R901" s="3">
        <v>706.45</v>
      </c>
      <c r="S901" s="3">
        <f>SUM(Table1[[#This Row],[Product_Cost]:[Other_Cost]])</f>
        <v>29802.07</v>
      </c>
      <c r="T901" s="3">
        <f>Table1[[#This Row],[Net_Sales]]-Table1[[#This Row],[Product_Cost]]</f>
        <v>9282.7336408618721</v>
      </c>
      <c r="U901" s="3">
        <f>Table1[[#This Row],[Net_Sales]]-Table1[[#This Row],[Total_Cost]]</f>
        <v>4846.5836408618707</v>
      </c>
      <c r="V901" s="4">
        <f>Table1[[#This Row],[Net_Profit]]/Table1[[#This Row],[Net_Sales]]</f>
        <v>0.13987797884146919</v>
      </c>
      <c r="W901" t="s">
        <v>33</v>
      </c>
      <c r="X901" t="s">
        <v>920</v>
      </c>
      <c r="Y901">
        <v>8</v>
      </c>
      <c r="Z901" t="str">
        <f>IF(Table1[[#This Row],[Month_No]]&lt;=6, "H1","H2")</f>
        <v>H2</v>
      </c>
    </row>
    <row r="902" spans="1:26" x14ac:dyDescent="0.25">
      <c r="A902" s="2">
        <v>45888</v>
      </c>
      <c r="B902" t="s">
        <v>982</v>
      </c>
      <c r="C902" t="s">
        <v>36</v>
      </c>
      <c r="D902" t="s">
        <v>74</v>
      </c>
      <c r="E902" t="s">
        <v>75</v>
      </c>
      <c r="F902" t="s">
        <v>52</v>
      </c>
      <c r="G902" t="s">
        <v>76</v>
      </c>
      <c r="H902" t="s">
        <v>41</v>
      </c>
      <c r="I902">
        <v>45.027752601994877</v>
      </c>
      <c r="J902" s="3">
        <v>5751.33</v>
      </c>
      <c r="K902" s="3">
        <f>Table1[[#This Row],[Quantity]]*Table1[[#This Row],[Unit_Price]]</f>
        <v>258969.46437243119</v>
      </c>
      <c r="L902" s="3">
        <v>13302.4</v>
      </c>
      <c r="M902" s="3">
        <f>Table1[[#This Row],[Gross_Sales]]-Table1[[#This Row],[Discount]]</f>
        <v>245667.0643724312</v>
      </c>
      <c r="N902" s="3">
        <v>173432.84</v>
      </c>
      <c r="O902" s="3">
        <v>3845.42</v>
      </c>
      <c r="P902" s="3">
        <v>15210.44</v>
      </c>
      <c r="Q902" s="3">
        <v>6232.81</v>
      </c>
      <c r="R902" s="3">
        <v>5365.99</v>
      </c>
      <c r="S902" s="3">
        <f>SUM(Table1[[#This Row],[Product_Cost]:[Other_Cost]])</f>
        <v>204087.5</v>
      </c>
      <c r="T902" s="3">
        <f>Table1[[#This Row],[Net_Sales]]-Table1[[#This Row],[Product_Cost]]</f>
        <v>72234.224372431199</v>
      </c>
      <c r="U902" s="3">
        <f>Table1[[#This Row],[Net_Sales]]-Table1[[#This Row],[Total_Cost]]</f>
        <v>41579.564372431196</v>
      </c>
      <c r="V902" s="4">
        <f>Table1[[#This Row],[Net_Profit]]/Table1[[#This Row],[Net_Sales]]</f>
        <v>0.16925168409794072</v>
      </c>
      <c r="W902" t="s">
        <v>72</v>
      </c>
      <c r="X902" t="s">
        <v>920</v>
      </c>
      <c r="Y902">
        <v>8</v>
      </c>
      <c r="Z902" t="str">
        <f>IF(Table1[[#This Row],[Month_No]]&lt;=6, "H1","H2")</f>
        <v>H2</v>
      </c>
    </row>
    <row r="903" spans="1:26" x14ac:dyDescent="0.25">
      <c r="A903" s="2">
        <v>45888</v>
      </c>
      <c r="B903" t="s">
        <v>983</v>
      </c>
      <c r="C903" t="s">
        <v>36</v>
      </c>
      <c r="D903" t="s">
        <v>50</v>
      </c>
      <c r="E903" t="s">
        <v>51</v>
      </c>
      <c r="F903" t="s">
        <v>39</v>
      </c>
      <c r="G903" t="s">
        <v>64</v>
      </c>
      <c r="H903" t="s">
        <v>41</v>
      </c>
      <c r="I903">
        <v>57.971986192425568</v>
      </c>
      <c r="J903" s="3">
        <v>855.11</v>
      </c>
      <c r="K903" s="3">
        <f>Table1[[#This Row],[Quantity]]*Table1[[#This Row],[Unit_Price]]</f>
        <v>49572.425113005025</v>
      </c>
      <c r="L903" s="3">
        <v>1912.13</v>
      </c>
      <c r="M903" s="3">
        <f>Table1[[#This Row],[Gross_Sales]]-Table1[[#This Row],[Discount]]</f>
        <v>47660.295113005028</v>
      </c>
      <c r="N903" s="3">
        <v>29522.79</v>
      </c>
      <c r="O903" s="3">
        <v>1356.28</v>
      </c>
      <c r="P903" s="3">
        <v>2519.19</v>
      </c>
      <c r="Q903" s="3">
        <v>1411.6</v>
      </c>
      <c r="R903" s="3">
        <v>619.17999999999995</v>
      </c>
      <c r="S903" s="3">
        <f>SUM(Table1[[#This Row],[Product_Cost]:[Other_Cost]])</f>
        <v>35429.040000000001</v>
      </c>
      <c r="T903" s="3">
        <f>Table1[[#This Row],[Net_Sales]]-Table1[[#This Row],[Product_Cost]]</f>
        <v>18137.505113005027</v>
      </c>
      <c r="U903" s="3">
        <f>Table1[[#This Row],[Net_Sales]]-Table1[[#This Row],[Total_Cost]]</f>
        <v>12231.255113005027</v>
      </c>
      <c r="V903" s="4">
        <f>Table1[[#This Row],[Net_Profit]]/Table1[[#This Row],[Net_Sales]]</f>
        <v>0.25663406162307822</v>
      </c>
      <c r="W903" t="s">
        <v>33</v>
      </c>
      <c r="X903" t="s">
        <v>920</v>
      </c>
      <c r="Y903">
        <v>8</v>
      </c>
      <c r="Z903" t="str">
        <f>IF(Table1[[#This Row],[Month_No]]&lt;=6, "H1","H2")</f>
        <v>H2</v>
      </c>
    </row>
    <row r="904" spans="1:26" x14ac:dyDescent="0.25">
      <c r="A904" s="2">
        <v>45888</v>
      </c>
      <c r="B904" t="s">
        <v>984</v>
      </c>
      <c r="C904" t="s">
        <v>36</v>
      </c>
      <c r="D904" t="s">
        <v>183</v>
      </c>
      <c r="E904" t="s">
        <v>38</v>
      </c>
      <c r="F904" t="s">
        <v>30</v>
      </c>
      <c r="G904" t="s">
        <v>31</v>
      </c>
      <c r="H904" t="s">
        <v>32</v>
      </c>
      <c r="I904">
        <v>44.244439185805938</v>
      </c>
      <c r="J904" s="3">
        <v>6600.07</v>
      </c>
      <c r="K904" s="3">
        <f>Table1[[#This Row],[Quantity]]*Table1[[#This Row],[Unit_Price]]</f>
        <v>292016.39573706221</v>
      </c>
      <c r="L904" s="3">
        <v>13145.15</v>
      </c>
      <c r="M904" s="3">
        <f>Table1[[#This Row],[Gross_Sales]]-Table1[[#This Row],[Discount]]</f>
        <v>278871.24573706219</v>
      </c>
      <c r="N904" s="3">
        <v>150665.29</v>
      </c>
      <c r="O904" s="3">
        <v>7390.17</v>
      </c>
      <c r="P904" s="3">
        <v>13868.58</v>
      </c>
      <c r="Q904" s="3">
        <v>6442.54</v>
      </c>
      <c r="R904" s="3">
        <v>3952.18</v>
      </c>
      <c r="S904" s="3">
        <f>SUM(Table1[[#This Row],[Product_Cost]:[Other_Cost]])</f>
        <v>182318.76</v>
      </c>
      <c r="T904" s="3">
        <f>Table1[[#This Row],[Net_Sales]]-Table1[[#This Row],[Product_Cost]]</f>
        <v>128205.95573706218</v>
      </c>
      <c r="U904" s="3">
        <f>Table1[[#This Row],[Net_Sales]]-Table1[[#This Row],[Total_Cost]]</f>
        <v>96552.485737062176</v>
      </c>
      <c r="V904" s="4">
        <f>Table1[[#This Row],[Net_Profit]]/Table1[[#This Row],[Net_Sales]]</f>
        <v>0.34622603517932465</v>
      </c>
      <c r="W904" t="s">
        <v>33</v>
      </c>
      <c r="X904" t="s">
        <v>920</v>
      </c>
      <c r="Y904">
        <v>8</v>
      </c>
      <c r="Z904" t="str">
        <f>IF(Table1[[#This Row],[Month_No]]&lt;=6, "H1","H2")</f>
        <v>H2</v>
      </c>
    </row>
    <row r="905" spans="1:26" x14ac:dyDescent="0.25">
      <c r="A905" s="2">
        <v>45888</v>
      </c>
      <c r="B905" t="s">
        <v>985</v>
      </c>
      <c r="C905" t="s">
        <v>27</v>
      </c>
      <c r="D905" t="s">
        <v>44</v>
      </c>
      <c r="E905" t="s">
        <v>45</v>
      </c>
      <c r="F905" t="s">
        <v>30</v>
      </c>
      <c r="G905" t="s">
        <v>86</v>
      </c>
      <c r="H905" t="s">
        <v>47</v>
      </c>
      <c r="I905">
        <v>71.146980269927226</v>
      </c>
      <c r="J905" s="3">
        <v>4528.96</v>
      </c>
      <c r="K905" s="3">
        <f>Table1[[#This Row],[Quantity]]*Table1[[#This Row],[Unit_Price]]</f>
        <v>322221.82776328962</v>
      </c>
      <c r="L905" s="3">
        <v>9581.9500000000007</v>
      </c>
      <c r="M905" s="3">
        <f>Table1[[#This Row],[Gross_Sales]]-Table1[[#This Row],[Discount]]</f>
        <v>312639.87776328961</v>
      </c>
      <c r="N905" s="3">
        <v>216352.09</v>
      </c>
      <c r="O905" s="3">
        <v>7943.18</v>
      </c>
      <c r="P905" s="3">
        <v>15849.32</v>
      </c>
      <c r="Q905" s="3">
        <v>9703.4599999999991</v>
      </c>
      <c r="R905" s="3">
        <v>5098.26</v>
      </c>
      <c r="S905" s="3">
        <f>SUM(Table1[[#This Row],[Product_Cost]:[Other_Cost]])</f>
        <v>254946.31</v>
      </c>
      <c r="T905" s="3">
        <f>Table1[[#This Row],[Net_Sales]]-Table1[[#This Row],[Product_Cost]]</f>
        <v>96287.787763289612</v>
      </c>
      <c r="U905" s="3">
        <f>Table1[[#This Row],[Net_Sales]]-Table1[[#This Row],[Total_Cost]]</f>
        <v>57693.567763289611</v>
      </c>
      <c r="V905" s="4">
        <f>Table1[[#This Row],[Net_Profit]]/Table1[[#This Row],[Net_Sales]]</f>
        <v>0.18453681653167545</v>
      </c>
      <c r="W905" t="s">
        <v>33</v>
      </c>
      <c r="X905" t="s">
        <v>920</v>
      </c>
      <c r="Y905">
        <v>8</v>
      </c>
      <c r="Z905" t="str">
        <f>IF(Table1[[#This Row],[Month_No]]&lt;=6, "H1","H2")</f>
        <v>H2</v>
      </c>
    </row>
    <row r="906" spans="1:26" x14ac:dyDescent="0.25">
      <c r="A906" s="2">
        <v>45888</v>
      </c>
      <c r="B906" t="s">
        <v>986</v>
      </c>
      <c r="C906" t="s">
        <v>63</v>
      </c>
      <c r="D906" t="s">
        <v>100</v>
      </c>
      <c r="E906" t="s">
        <v>75</v>
      </c>
      <c r="F906" t="s">
        <v>46</v>
      </c>
      <c r="G906" t="s">
        <v>40</v>
      </c>
      <c r="H906" t="s">
        <v>32</v>
      </c>
      <c r="I906">
        <v>49.236549170164793</v>
      </c>
      <c r="J906" s="3">
        <v>7294.33</v>
      </c>
      <c r="K906" s="3">
        <f>Table1[[#This Row],[Quantity]]*Table1[[#This Row],[Unit_Price]]</f>
        <v>359147.63770840818</v>
      </c>
      <c r="L906" s="3">
        <v>15308.2</v>
      </c>
      <c r="M906" s="3">
        <f>Table1[[#This Row],[Gross_Sales]]-Table1[[#This Row],[Discount]]</f>
        <v>343839.43770840816</v>
      </c>
      <c r="N906" s="3">
        <v>181658.13</v>
      </c>
      <c r="O906" s="3">
        <v>6629.85</v>
      </c>
      <c r="P906" s="3">
        <v>20224.21</v>
      </c>
      <c r="Q906" s="3">
        <v>10720.23</v>
      </c>
      <c r="R906" s="3">
        <v>5090.46</v>
      </c>
      <c r="S906" s="3">
        <f>SUM(Table1[[#This Row],[Product_Cost]:[Other_Cost]])</f>
        <v>224322.88</v>
      </c>
      <c r="T906" s="3">
        <f>Table1[[#This Row],[Net_Sales]]-Table1[[#This Row],[Product_Cost]]</f>
        <v>162181.30770840816</v>
      </c>
      <c r="U906" s="3">
        <f>Table1[[#This Row],[Net_Sales]]-Table1[[#This Row],[Total_Cost]]</f>
        <v>119516.55770840816</v>
      </c>
      <c r="V906" s="4">
        <f>Table1[[#This Row],[Net_Profit]]/Table1[[#This Row],[Net_Sales]]</f>
        <v>0.34759409364135757</v>
      </c>
      <c r="W906" t="s">
        <v>33</v>
      </c>
      <c r="X906" t="s">
        <v>920</v>
      </c>
      <c r="Y906">
        <v>8</v>
      </c>
      <c r="Z906" t="str">
        <f>IF(Table1[[#This Row],[Month_No]]&lt;=6, "H1","H2")</f>
        <v>H2</v>
      </c>
    </row>
    <row r="907" spans="1:26" x14ac:dyDescent="0.25">
      <c r="A907" s="2">
        <v>45888</v>
      </c>
      <c r="B907" t="s">
        <v>987</v>
      </c>
      <c r="C907" t="s">
        <v>49</v>
      </c>
      <c r="D907" t="s">
        <v>85</v>
      </c>
      <c r="E907" t="s">
        <v>57</v>
      </c>
      <c r="F907" t="s">
        <v>52</v>
      </c>
      <c r="G907" t="s">
        <v>61</v>
      </c>
      <c r="H907" t="s">
        <v>47</v>
      </c>
      <c r="I907">
        <v>59.196024043768809</v>
      </c>
      <c r="J907" s="3">
        <v>1966.02</v>
      </c>
      <c r="K907" s="3">
        <f>Table1[[#This Row],[Quantity]]*Table1[[#This Row],[Unit_Price]]</f>
        <v>116380.56719053035</v>
      </c>
      <c r="L907" s="3">
        <v>4835.1899999999996</v>
      </c>
      <c r="M907" s="3">
        <f>Table1[[#This Row],[Gross_Sales]]-Table1[[#This Row],[Discount]]</f>
        <v>111545.37719053034</v>
      </c>
      <c r="N907" s="3">
        <v>69755.600000000006</v>
      </c>
      <c r="O907" s="3">
        <v>2206.9299999999998</v>
      </c>
      <c r="P907" s="3">
        <v>5522.84</v>
      </c>
      <c r="Q907" s="3">
        <v>2322.13</v>
      </c>
      <c r="R907" s="3">
        <v>1554.34</v>
      </c>
      <c r="S907" s="3">
        <f>SUM(Table1[[#This Row],[Product_Cost]:[Other_Cost]])</f>
        <v>81361.84</v>
      </c>
      <c r="T907" s="3">
        <f>Table1[[#This Row],[Net_Sales]]-Table1[[#This Row],[Product_Cost]]</f>
        <v>41789.777190530338</v>
      </c>
      <c r="U907" s="3">
        <f>Table1[[#This Row],[Net_Sales]]-Table1[[#This Row],[Total_Cost]]</f>
        <v>30183.537190530347</v>
      </c>
      <c r="V907" s="4">
        <f>Table1[[#This Row],[Net_Profit]]/Table1[[#This Row],[Net_Sales]]</f>
        <v>0.27059424559543988</v>
      </c>
      <c r="W907" t="s">
        <v>33</v>
      </c>
      <c r="X907" t="s">
        <v>920</v>
      </c>
      <c r="Y907">
        <v>8</v>
      </c>
      <c r="Z907" t="str">
        <f>IF(Table1[[#This Row],[Month_No]]&lt;=6, "H1","H2")</f>
        <v>H2</v>
      </c>
    </row>
    <row r="908" spans="1:26" x14ac:dyDescent="0.25">
      <c r="A908" s="2">
        <v>45888</v>
      </c>
      <c r="B908" t="s">
        <v>988</v>
      </c>
      <c r="C908" t="s">
        <v>117</v>
      </c>
      <c r="D908" t="s">
        <v>68</v>
      </c>
      <c r="E908" t="s">
        <v>29</v>
      </c>
      <c r="F908" t="s">
        <v>52</v>
      </c>
      <c r="G908" t="s">
        <v>76</v>
      </c>
      <c r="H908" t="s">
        <v>59</v>
      </c>
      <c r="I908">
        <v>92.615331794452601</v>
      </c>
      <c r="J908" s="3">
        <v>392.14</v>
      </c>
      <c r="K908" s="3">
        <f>Table1[[#This Row],[Quantity]]*Table1[[#This Row],[Unit_Price]]</f>
        <v>36318.176209876641</v>
      </c>
      <c r="L908" s="3">
        <v>772.07</v>
      </c>
      <c r="M908" s="3">
        <f>Table1[[#This Row],[Gross_Sales]]-Table1[[#This Row],[Discount]]</f>
        <v>35546.106209876642</v>
      </c>
      <c r="N908" s="3">
        <v>25776.98</v>
      </c>
      <c r="O908" s="3">
        <v>721.42</v>
      </c>
      <c r="P908" s="3">
        <v>1857.22</v>
      </c>
      <c r="Q908" s="3">
        <v>1100.29</v>
      </c>
      <c r="R908" s="3">
        <v>514.39</v>
      </c>
      <c r="S908" s="3">
        <f>SUM(Table1[[#This Row],[Product_Cost]:[Other_Cost]])</f>
        <v>29970.3</v>
      </c>
      <c r="T908" s="3">
        <f>Table1[[#This Row],[Net_Sales]]-Table1[[#This Row],[Product_Cost]]</f>
        <v>9769.126209876642</v>
      </c>
      <c r="U908" s="3">
        <f>Table1[[#This Row],[Net_Sales]]-Table1[[#This Row],[Total_Cost]]</f>
        <v>5575.8062098766422</v>
      </c>
      <c r="V908" s="4">
        <f>Table1[[#This Row],[Net_Profit]]/Table1[[#This Row],[Net_Sales]]</f>
        <v>0.15686123754188808</v>
      </c>
      <c r="W908" t="s">
        <v>33</v>
      </c>
      <c r="X908" t="s">
        <v>920</v>
      </c>
      <c r="Y908">
        <v>8</v>
      </c>
      <c r="Z908" t="str">
        <f>IF(Table1[[#This Row],[Month_No]]&lt;=6, "H1","H2")</f>
        <v>H2</v>
      </c>
    </row>
    <row r="909" spans="1:26" x14ac:dyDescent="0.25">
      <c r="A909" s="2">
        <v>45888</v>
      </c>
      <c r="B909" t="s">
        <v>989</v>
      </c>
      <c r="C909" t="s">
        <v>55</v>
      </c>
      <c r="D909" t="s">
        <v>66</v>
      </c>
      <c r="E909" t="s">
        <v>51</v>
      </c>
      <c r="F909" t="s">
        <v>46</v>
      </c>
      <c r="G909" t="s">
        <v>58</v>
      </c>
      <c r="H909" t="s">
        <v>32</v>
      </c>
      <c r="I909">
        <v>45.705042533020752</v>
      </c>
      <c r="J909" s="3">
        <v>1555.65</v>
      </c>
      <c r="K909" s="3">
        <f>Table1[[#This Row],[Quantity]]*Table1[[#This Row],[Unit_Price]]</f>
        <v>71101.049416493741</v>
      </c>
      <c r="L909" s="3">
        <v>3180.06</v>
      </c>
      <c r="M909" s="3">
        <f>Table1[[#This Row],[Gross_Sales]]-Table1[[#This Row],[Discount]]</f>
        <v>67920.989416493743</v>
      </c>
      <c r="N909" s="3">
        <v>33887.769999999997</v>
      </c>
      <c r="O909" s="3">
        <v>1285.8900000000001</v>
      </c>
      <c r="P909" s="3">
        <v>3410.56</v>
      </c>
      <c r="Q909" s="3">
        <v>2071.1799999999998</v>
      </c>
      <c r="R909" s="3">
        <v>932.51</v>
      </c>
      <c r="S909" s="3">
        <f>SUM(Table1[[#This Row],[Product_Cost]:[Other_Cost]])</f>
        <v>41587.909999999996</v>
      </c>
      <c r="T909" s="3">
        <f>Table1[[#This Row],[Net_Sales]]-Table1[[#This Row],[Product_Cost]]</f>
        <v>34033.219416493746</v>
      </c>
      <c r="U909" s="3">
        <f>Table1[[#This Row],[Net_Sales]]-Table1[[#This Row],[Total_Cost]]</f>
        <v>26333.079416493747</v>
      </c>
      <c r="V909" s="4">
        <f>Table1[[#This Row],[Net_Profit]]/Table1[[#This Row],[Net_Sales]]</f>
        <v>0.38770164632052745</v>
      </c>
      <c r="W909" t="s">
        <v>33</v>
      </c>
      <c r="X909" t="s">
        <v>920</v>
      </c>
      <c r="Y909">
        <v>8</v>
      </c>
      <c r="Z909" t="str">
        <f>IF(Table1[[#This Row],[Month_No]]&lt;=6, "H1","H2")</f>
        <v>H2</v>
      </c>
    </row>
    <row r="910" spans="1:26" x14ac:dyDescent="0.25">
      <c r="A910" s="2">
        <v>45888</v>
      </c>
      <c r="B910" t="s">
        <v>990</v>
      </c>
      <c r="C910" t="s">
        <v>27</v>
      </c>
      <c r="D910" t="s">
        <v>183</v>
      </c>
      <c r="E910" t="s">
        <v>38</v>
      </c>
      <c r="F910" t="s">
        <v>52</v>
      </c>
      <c r="G910" t="s">
        <v>58</v>
      </c>
      <c r="H910" t="s">
        <v>41</v>
      </c>
      <c r="I910">
        <v>62.643369125510041</v>
      </c>
      <c r="J910" s="3">
        <v>6976.32</v>
      </c>
      <c r="K910" s="3">
        <f>Table1[[#This Row],[Quantity]]*Table1[[#This Row],[Unit_Price]]</f>
        <v>437020.18889767822</v>
      </c>
      <c r="L910" s="3">
        <v>15290.14</v>
      </c>
      <c r="M910" s="3">
        <f>Table1[[#This Row],[Gross_Sales]]-Table1[[#This Row],[Discount]]</f>
        <v>421730.04889767821</v>
      </c>
      <c r="N910" s="3">
        <v>219036</v>
      </c>
      <c r="O910" s="3">
        <v>6924.5</v>
      </c>
      <c r="P910" s="3">
        <v>22641.94</v>
      </c>
      <c r="Q910" s="3">
        <v>7848.3</v>
      </c>
      <c r="R910" s="3">
        <v>9134.44</v>
      </c>
      <c r="S910" s="3">
        <f>SUM(Table1[[#This Row],[Product_Cost]:[Other_Cost]])</f>
        <v>265585.18</v>
      </c>
      <c r="T910" s="3">
        <f>Table1[[#This Row],[Net_Sales]]-Table1[[#This Row],[Product_Cost]]</f>
        <v>202694.04889767821</v>
      </c>
      <c r="U910" s="3">
        <f>Table1[[#This Row],[Net_Sales]]-Table1[[#This Row],[Total_Cost]]</f>
        <v>156144.86889767821</v>
      </c>
      <c r="V910" s="4">
        <f>Table1[[#This Row],[Net_Profit]]/Table1[[#This Row],[Net_Sales]]</f>
        <v>0.37024838354727407</v>
      </c>
      <c r="W910" t="s">
        <v>33</v>
      </c>
      <c r="X910" t="s">
        <v>920</v>
      </c>
      <c r="Y910">
        <v>8</v>
      </c>
      <c r="Z910" t="str">
        <f>IF(Table1[[#This Row],[Month_No]]&lt;=6, "H1","H2")</f>
        <v>H2</v>
      </c>
    </row>
    <row r="911" spans="1:26" x14ac:dyDescent="0.25">
      <c r="A911" s="2">
        <v>45888</v>
      </c>
      <c r="B911" t="s">
        <v>991</v>
      </c>
      <c r="C911" t="s">
        <v>43</v>
      </c>
      <c r="D911" t="s">
        <v>28</v>
      </c>
      <c r="E911" t="s">
        <v>29</v>
      </c>
      <c r="F911" t="s">
        <v>30</v>
      </c>
      <c r="G911" t="s">
        <v>76</v>
      </c>
      <c r="H911" t="s">
        <v>59</v>
      </c>
      <c r="I911">
        <v>85.037116966889613</v>
      </c>
      <c r="J911" s="3">
        <v>1194.52</v>
      </c>
      <c r="K911" s="3">
        <f>Table1[[#This Row],[Quantity]]*Table1[[#This Row],[Unit_Price]]</f>
        <v>101578.53695928898</v>
      </c>
      <c r="L911" s="3">
        <v>2597.44</v>
      </c>
      <c r="M911" s="3">
        <f>Table1[[#This Row],[Gross_Sales]]-Table1[[#This Row],[Discount]]</f>
        <v>98981.096959288974</v>
      </c>
      <c r="N911" s="3">
        <v>52302.21</v>
      </c>
      <c r="O911" s="3">
        <v>2457.71</v>
      </c>
      <c r="P911" s="3">
        <v>5005.3100000000004</v>
      </c>
      <c r="Q911" s="3">
        <v>2983.51</v>
      </c>
      <c r="R911" s="3">
        <v>1675.17</v>
      </c>
      <c r="S911" s="3">
        <f>SUM(Table1[[#This Row],[Product_Cost]:[Other_Cost]])</f>
        <v>64423.909999999996</v>
      </c>
      <c r="T911" s="3">
        <f>Table1[[#This Row],[Net_Sales]]-Table1[[#This Row],[Product_Cost]]</f>
        <v>46678.886959288975</v>
      </c>
      <c r="U911" s="3">
        <f>Table1[[#This Row],[Net_Sales]]-Table1[[#This Row],[Total_Cost]]</f>
        <v>34557.186959288978</v>
      </c>
      <c r="V911" s="4">
        <f>Table1[[#This Row],[Net_Profit]]/Table1[[#This Row],[Net_Sales]]</f>
        <v>0.34912915719152299</v>
      </c>
      <c r="W911" t="s">
        <v>33</v>
      </c>
      <c r="X911" t="s">
        <v>920</v>
      </c>
      <c r="Y911">
        <v>8</v>
      </c>
      <c r="Z911" t="str">
        <f>IF(Table1[[#This Row],[Month_No]]&lt;=6, "H1","H2")</f>
        <v>H2</v>
      </c>
    </row>
    <row r="912" spans="1:26" x14ac:dyDescent="0.25">
      <c r="A912" s="2">
        <v>45888</v>
      </c>
      <c r="B912" t="s">
        <v>992</v>
      </c>
      <c r="C912" t="s">
        <v>117</v>
      </c>
      <c r="D912" t="s">
        <v>28</v>
      </c>
      <c r="E912" t="s">
        <v>29</v>
      </c>
      <c r="F912" t="s">
        <v>52</v>
      </c>
      <c r="G912" t="s">
        <v>71</v>
      </c>
      <c r="H912" t="s">
        <v>59</v>
      </c>
      <c r="I912">
        <v>85.147262796736058</v>
      </c>
      <c r="J912" s="3">
        <v>1222.3800000000001</v>
      </c>
      <c r="K912" s="3">
        <f>Table1[[#This Row],[Quantity]]*Table1[[#This Row],[Unit_Price]]</f>
        <v>104082.31109747423</v>
      </c>
      <c r="L912" s="3">
        <v>3833.43</v>
      </c>
      <c r="M912" s="3">
        <f>Table1[[#This Row],[Gross_Sales]]-Table1[[#This Row],[Discount]]</f>
        <v>100248.88109747424</v>
      </c>
      <c r="N912" s="3">
        <v>51199.46</v>
      </c>
      <c r="O912" s="3">
        <v>1498.19</v>
      </c>
      <c r="P912" s="3">
        <v>5634.24</v>
      </c>
      <c r="Q912" s="3">
        <v>2619.64</v>
      </c>
      <c r="R912" s="3">
        <v>2065.9299999999998</v>
      </c>
      <c r="S912" s="3">
        <f>SUM(Table1[[#This Row],[Product_Cost]:[Other_Cost]])</f>
        <v>63017.46</v>
      </c>
      <c r="T912" s="3">
        <f>Table1[[#This Row],[Net_Sales]]-Table1[[#This Row],[Product_Cost]]</f>
        <v>49049.421097474238</v>
      </c>
      <c r="U912" s="3">
        <f>Table1[[#This Row],[Net_Sales]]-Table1[[#This Row],[Total_Cost]]</f>
        <v>37231.421097474238</v>
      </c>
      <c r="V912" s="4">
        <f>Table1[[#This Row],[Net_Profit]]/Table1[[#This Row],[Net_Sales]]</f>
        <v>0.37138989173628073</v>
      </c>
      <c r="W912" t="s">
        <v>33</v>
      </c>
      <c r="X912" t="s">
        <v>920</v>
      </c>
      <c r="Y912">
        <v>8</v>
      </c>
      <c r="Z912" t="str">
        <f>IF(Table1[[#This Row],[Month_No]]&lt;=6, "H1","H2")</f>
        <v>H2</v>
      </c>
    </row>
    <row r="913" spans="1:26" x14ac:dyDescent="0.25">
      <c r="A913" s="2">
        <v>45889</v>
      </c>
      <c r="B913" t="s">
        <v>993</v>
      </c>
      <c r="C913" t="s">
        <v>43</v>
      </c>
      <c r="D913" t="s">
        <v>183</v>
      </c>
      <c r="E913" t="s">
        <v>38</v>
      </c>
      <c r="F913" t="s">
        <v>52</v>
      </c>
      <c r="G913" t="s">
        <v>40</v>
      </c>
      <c r="H913" t="s">
        <v>41</v>
      </c>
      <c r="I913">
        <v>44.11971640216823</v>
      </c>
      <c r="J913" s="3">
        <v>7145.56</v>
      </c>
      <c r="K913" s="3">
        <f>Table1[[#This Row],[Quantity]]*Table1[[#This Row],[Unit_Price]]</f>
        <v>315260.08073467721</v>
      </c>
      <c r="L913" s="3">
        <v>13945.62</v>
      </c>
      <c r="M913" s="3">
        <f>Table1[[#This Row],[Gross_Sales]]-Table1[[#This Row],[Discount]]</f>
        <v>301314.46073467721</v>
      </c>
      <c r="N913" s="3">
        <v>149383.29999999999</v>
      </c>
      <c r="O913" s="3">
        <v>5392.71</v>
      </c>
      <c r="P913" s="3">
        <v>17073.3</v>
      </c>
      <c r="Q913" s="3">
        <v>6660.41</v>
      </c>
      <c r="R913" s="3">
        <v>4403.6000000000004</v>
      </c>
      <c r="S913" s="3">
        <f>SUM(Table1[[#This Row],[Product_Cost]:[Other_Cost]])</f>
        <v>182913.31999999998</v>
      </c>
      <c r="T913" s="3">
        <f>Table1[[#This Row],[Net_Sales]]-Table1[[#This Row],[Product_Cost]]</f>
        <v>151931.16073467722</v>
      </c>
      <c r="U913" s="3">
        <f>Table1[[#This Row],[Net_Sales]]-Table1[[#This Row],[Total_Cost]]</f>
        <v>118401.14073467723</v>
      </c>
      <c r="V913" s="4">
        <f>Table1[[#This Row],[Net_Profit]]/Table1[[#This Row],[Net_Sales]]</f>
        <v>0.39294875010640623</v>
      </c>
      <c r="W913" t="s">
        <v>72</v>
      </c>
      <c r="X913" t="s">
        <v>920</v>
      </c>
      <c r="Y913">
        <v>8</v>
      </c>
      <c r="Z913" t="str">
        <f>IF(Table1[[#This Row],[Month_No]]&lt;=6, "H1","H2")</f>
        <v>H2</v>
      </c>
    </row>
    <row r="914" spans="1:26" x14ac:dyDescent="0.25">
      <c r="A914" s="2">
        <v>45890</v>
      </c>
      <c r="B914" t="s">
        <v>994</v>
      </c>
      <c r="C914" t="s">
        <v>83</v>
      </c>
      <c r="D914" t="s">
        <v>56</v>
      </c>
      <c r="E914" t="s">
        <v>57</v>
      </c>
      <c r="F914" t="s">
        <v>30</v>
      </c>
      <c r="G914" t="s">
        <v>86</v>
      </c>
      <c r="H914" t="s">
        <v>41</v>
      </c>
      <c r="I914">
        <v>62.541212728528677</v>
      </c>
      <c r="J914" s="3">
        <v>3273.52</v>
      </c>
      <c r="K914" s="3">
        <f>Table1[[#This Row],[Quantity]]*Table1[[#This Row],[Unit_Price]]</f>
        <v>204729.91069109319</v>
      </c>
      <c r="L914" s="3">
        <v>7177.61</v>
      </c>
      <c r="M914" s="3">
        <f>Table1[[#This Row],[Gross_Sales]]-Table1[[#This Row],[Discount]]</f>
        <v>197552.3006910932</v>
      </c>
      <c r="N914" s="3">
        <v>99126.84</v>
      </c>
      <c r="O914" s="3">
        <v>5324.36</v>
      </c>
      <c r="P914" s="3">
        <v>10131.17</v>
      </c>
      <c r="Q914" s="3">
        <v>4520.67</v>
      </c>
      <c r="R914" s="3">
        <v>3022.39</v>
      </c>
      <c r="S914" s="3">
        <f>SUM(Table1[[#This Row],[Product_Cost]:[Other_Cost]])</f>
        <v>122125.43</v>
      </c>
      <c r="T914" s="3">
        <f>Table1[[#This Row],[Net_Sales]]-Table1[[#This Row],[Product_Cost]]</f>
        <v>98425.460691093205</v>
      </c>
      <c r="U914" s="3">
        <f>Table1[[#This Row],[Net_Sales]]-Table1[[#This Row],[Total_Cost]]</f>
        <v>75426.870691093209</v>
      </c>
      <c r="V914" s="4">
        <f>Table1[[#This Row],[Net_Profit]]/Table1[[#This Row],[Net_Sales]]</f>
        <v>0.38180709830879678</v>
      </c>
      <c r="W914" t="s">
        <v>33</v>
      </c>
      <c r="X914" t="s">
        <v>920</v>
      </c>
      <c r="Y914">
        <v>8</v>
      </c>
      <c r="Z914" t="str">
        <f>IF(Table1[[#This Row],[Month_No]]&lt;=6, "H1","H2")</f>
        <v>H2</v>
      </c>
    </row>
    <row r="915" spans="1:26" x14ac:dyDescent="0.25">
      <c r="A915" s="2">
        <v>45890</v>
      </c>
      <c r="B915" t="s">
        <v>995</v>
      </c>
      <c r="C915" t="s">
        <v>36</v>
      </c>
      <c r="D915" t="s">
        <v>56</v>
      </c>
      <c r="E915" t="s">
        <v>57</v>
      </c>
      <c r="F915" t="s">
        <v>46</v>
      </c>
      <c r="G915" t="s">
        <v>76</v>
      </c>
      <c r="H915" t="s">
        <v>32</v>
      </c>
      <c r="I915">
        <v>60.196450718204467</v>
      </c>
      <c r="J915" s="3">
        <v>3434.52</v>
      </c>
      <c r="K915" s="3">
        <f>Table1[[#This Row],[Quantity]]*Table1[[#This Row],[Unit_Price]]</f>
        <v>206745.9139206876</v>
      </c>
      <c r="L915" s="3">
        <v>9495.73</v>
      </c>
      <c r="M915" s="3">
        <f>Table1[[#This Row],[Gross_Sales]]-Table1[[#This Row],[Discount]]</f>
        <v>197250.18392068759</v>
      </c>
      <c r="N915" s="3">
        <v>98901.41</v>
      </c>
      <c r="O915" s="3">
        <v>4038.41</v>
      </c>
      <c r="P915" s="3">
        <v>11871.93</v>
      </c>
      <c r="Q915" s="3">
        <v>5635.31</v>
      </c>
      <c r="R915" s="3">
        <v>3968.64</v>
      </c>
      <c r="S915" s="3">
        <f>SUM(Table1[[#This Row],[Product_Cost]:[Other_Cost]])</f>
        <v>124415.7</v>
      </c>
      <c r="T915" s="3">
        <f>Table1[[#This Row],[Net_Sales]]-Table1[[#This Row],[Product_Cost]]</f>
        <v>98348.773920687585</v>
      </c>
      <c r="U915" s="3">
        <f>Table1[[#This Row],[Net_Sales]]-Table1[[#This Row],[Total_Cost]]</f>
        <v>72834.483920687591</v>
      </c>
      <c r="V915" s="4">
        <f>Table1[[#This Row],[Net_Profit]]/Table1[[#This Row],[Net_Sales]]</f>
        <v>0.3692492573288228</v>
      </c>
      <c r="W915" t="s">
        <v>33</v>
      </c>
      <c r="X915" t="s">
        <v>920</v>
      </c>
      <c r="Y915">
        <v>8</v>
      </c>
      <c r="Z915" t="str">
        <f>IF(Table1[[#This Row],[Month_No]]&lt;=6, "H1","H2")</f>
        <v>H2</v>
      </c>
    </row>
    <row r="916" spans="1:26" x14ac:dyDescent="0.25">
      <c r="A916" s="2">
        <v>45890</v>
      </c>
      <c r="B916" t="s">
        <v>996</v>
      </c>
      <c r="C916" t="s">
        <v>27</v>
      </c>
      <c r="D916" t="s">
        <v>100</v>
      </c>
      <c r="E916" t="s">
        <v>75</v>
      </c>
      <c r="F916" t="s">
        <v>52</v>
      </c>
      <c r="G916" t="s">
        <v>40</v>
      </c>
      <c r="H916" t="s">
        <v>59</v>
      </c>
      <c r="I916">
        <v>57.921747266440313</v>
      </c>
      <c r="J916" s="3">
        <v>7293.42</v>
      </c>
      <c r="K916" s="3">
        <f>Table1[[#This Row],[Quantity]]*Table1[[#This Row],[Unit_Price]]</f>
        <v>422447.62994800112</v>
      </c>
      <c r="L916" s="3">
        <v>13761.58</v>
      </c>
      <c r="M916" s="3">
        <f>Table1[[#This Row],[Gross_Sales]]-Table1[[#This Row],[Discount]]</f>
        <v>408686.04994800111</v>
      </c>
      <c r="N916" s="3">
        <v>222571.78</v>
      </c>
      <c r="O916" s="3">
        <v>8393.7900000000009</v>
      </c>
      <c r="P916" s="3">
        <v>23966.48</v>
      </c>
      <c r="Q916" s="3">
        <v>10942</v>
      </c>
      <c r="R916" s="3">
        <v>8137.62</v>
      </c>
      <c r="S916" s="3">
        <f>SUM(Table1[[#This Row],[Product_Cost]:[Other_Cost]])</f>
        <v>274011.67000000004</v>
      </c>
      <c r="T916" s="3">
        <f>Table1[[#This Row],[Net_Sales]]-Table1[[#This Row],[Product_Cost]]</f>
        <v>186114.26994800111</v>
      </c>
      <c r="U916" s="3">
        <f>Table1[[#This Row],[Net_Sales]]-Table1[[#This Row],[Total_Cost]]</f>
        <v>134674.37994800106</v>
      </c>
      <c r="V916" s="4">
        <f>Table1[[#This Row],[Net_Profit]]/Table1[[#This Row],[Net_Sales]]</f>
        <v>0.32953016126960111</v>
      </c>
      <c r="W916" t="s">
        <v>33</v>
      </c>
      <c r="X916" t="s">
        <v>920</v>
      </c>
      <c r="Y916">
        <v>8</v>
      </c>
      <c r="Z916" t="str">
        <f>IF(Table1[[#This Row],[Month_No]]&lt;=6, "H1","H2")</f>
        <v>H2</v>
      </c>
    </row>
    <row r="917" spans="1:26" x14ac:dyDescent="0.25">
      <c r="A917" s="2">
        <v>45891</v>
      </c>
      <c r="B917" t="s">
        <v>997</v>
      </c>
      <c r="C917" t="s">
        <v>117</v>
      </c>
      <c r="D917" t="s">
        <v>50</v>
      </c>
      <c r="E917" t="s">
        <v>51</v>
      </c>
      <c r="F917" t="s">
        <v>46</v>
      </c>
      <c r="G917" t="s">
        <v>64</v>
      </c>
      <c r="H917" t="s">
        <v>41</v>
      </c>
      <c r="I917">
        <v>55.892289124810212</v>
      </c>
      <c r="J917" s="3">
        <v>904.5</v>
      </c>
      <c r="K917" s="3">
        <f>Table1[[#This Row],[Quantity]]*Table1[[#This Row],[Unit_Price]]</f>
        <v>50554.575513390839</v>
      </c>
      <c r="L917" s="3">
        <v>2085.4699999999998</v>
      </c>
      <c r="M917" s="3">
        <f>Table1[[#This Row],[Gross_Sales]]-Table1[[#This Row],[Discount]]</f>
        <v>48469.105513390838</v>
      </c>
      <c r="N917" s="3">
        <v>29584.959999999999</v>
      </c>
      <c r="O917" s="3">
        <v>1008.02</v>
      </c>
      <c r="P917" s="3">
        <v>2386.7399999999998</v>
      </c>
      <c r="Q917" s="3">
        <v>1522.88</v>
      </c>
      <c r="R917" s="3">
        <v>933.77</v>
      </c>
      <c r="S917" s="3">
        <f>SUM(Table1[[#This Row],[Product_Cost]:[Other_Cost]])</f>
        <v>35436.369999999995</v>
      </c>
      <c r="T917" s="3">
        <f>Table1[[#This Row],[Net_Sales]]-Table1[[#This Row],[Product_Cost]]</f>
        <v>18884.145513390838</v>
      </c>
      <c r="U917" s="3">
        <f>Table1[[#This Row],[Net_Sales]]-Table1[[#This Row],[Total_Cost]]</f>
        <v>13032.735513390842</v>
      </c>
      <c r="V917" s="4">
        <f>Table1[[#This Row],[Net_Profit]]/Table1[[#This Row],[Net_Sales]]</f>
        <v>0.26888747740125335</v>
      </c>
      <c r="W917" t="s">
        <v>33</v>
      </c>
      <c r="X917" t="s">
        <v>920</v>
      </c>
      <c r="Y917">
        <v>8</v>
      </c>
      <c r="Z917" t="str">
        <f>IF(Table1[[#This Row],[Month_No]]&lt;=6, "H1","H2")</f>
        <v>H2</v>
      </c>
    </row>
    <row r="918" spans="1:26" x14ac:dyDescent="0.25">
      <c r="A918" s="2">
        <v>45891</v>
      </c>
      <c r="B918" t="s">
        <v>998</v>
      </c>
      <c r="C918" t="s">
        <v>107</v>
      </c>
      <c r="D918" t="s">
        <v>37</v>
      </c>
      <c r="E918" t="s">
        <v>38</v>
      </c>
      <c r="F918" t="s">
        <v>52</v>
      </c>
      <c r="G918" t="s">
        <v>86</v>
      </c>
      <c r="H918" t="s">
        <v>41</v>
      </c>
      <c r="I918">
        <v>55.756208479695843</v>
      </c>
      <c r="J918" s="3">
        <v>4851.3599999999997</v>
      </c>
      <c r="K918" s="3">
        <f>Table1[[#This Row],[Quantity]]*Table1[[#This Row],[Unit_Price]]</f>
        <v>270493.43957005721</v>
      </c>
      <c r="L918" s="3">
        <v>14266.48</v>
      </c>
      <c r="M918" s="3">
        <f>Table1[[#This Row],[Gross_Sales]]-Table1[[#This Row],[Discount]]</f>
        <v>256226.9595700572</v>
      </c>
      <c r="N918" s="3">
        <v>174174.72</v>
      </c>
      <c r="O918" s="3">
        <v>5564.71</v>
      </c>
      <c r="P918" s="3">
        <v>15581.2</v>
      </c>
      <c r="Q918" s="3">
        <v>7822.81</v>
      </c>
      <c r="R918" s="3">
        <v>3717.5</v>
      </c>
      <c r="S918" s="3">
        <f>SUM(Table1[[#This Row],[Product_Cost]:[Other_Cost]])</f>
        <v>206860.94</v>
      </c>
      <c r="T918" s="3">
        <f>Table1[[#This Row],[Net_Sales]]-Table1[[#This Row],[Product_Cost]]</f>
        <v>82052.239570057194</v>
      </c>
      <c r="U918" s="3">
        <f>Table1[[#This Row],[Net_Sales]]-Table1[[#This Row],[Total_Cost]]</f>
        <v>49366.019570057193</v>
      </c>
      <c r="V918" s="4">
        <f>Table1[[#This Row],[Net_Profit]]/Table1[[#This Row],[Net_Sales]]</f>
        <v>0.19266520452372463</v>
      </c>
      <c r="W918" t="s">
        <v>33</v>
      </c>
      <c r="X918" t="s">
        <v>920</v>
      </c>
      <c r="Y918">
        <v>8</v>
      </c>
      <c r="Z918" t="str">
        <f>IF(Table1[[#This Row],[Month_No]]&lt;=6, "H1","H2")</f>
        <v>H2</v>
      </c>
    </row>
    <row r="919" spans="1:26" x14ac:dyDescent="0.25">
      <c r="A919" s="2">
        <v>45891</v>
      </c>
      <c r="B919" t="s">
        <v>999</v>
      </c>
      <c r="C919" t="s">
        <v>117</v>
      </c>
      <c r="D919" t="s">
        <v>74</v>
      </c>
      <c r="E919" t="s">
        <v>75</v>
      </c>
      <c r="F919" t="s">
        <v>52</v>
      </c>
      <c r="G919" t="s">
        <v>58</v>
      </c>
      <c r="H919" t="s">
        <v>41</v>
      </c>
      <c r="I919">
        <v>66.585423498916413</v>
      </c>
      <c r="J919" s="3">
        <v>5716.03</v>
      </c>
      <c r="K919" s="3">
        <f>Table1[[#This Row],[Quantity]]*Table1[[#This Row],[Unit_Price]]</f>
        <v>380604.27828251116</v>
      </c>
      <c r="L919" s="3">
        <v>12319.47</v>
      </c>
      <c r="M919" s="3">
        <f>Table1[[#This Row],[Gross_Sales]]-Table1[[#This Row],[Discount]]</f>
        <v>368284.80828251119</v>
      </c>
      <c r="N919" s="3">
        <v>251286.62</v>
      </c>
      <c r="O919" s="3">
        <v>6160.47</v>
      </c>
      <c r="P919" s="3">
        <v>20713</v>
      </c>
      <c r="Q919" s="3">
        <v>10267.040000000001</v>
      </c>
      <c r="R919" s="3">
        <v>5104.17</v>
      </c>
      <c r="S919" s="3">
        <f>SUM(Table1[[#This Row],[Product_Cost]:[Other_Cost]])</f>
        <v>293531.29999999993</v>
      </c>
      <c r="T919" s="3">
        <f>Table1[[#This Row],[Net_Sales]]-Table1[[#This Row],[Product_Cost]]</f>
        <v>116998.1882825112</v>
      </c>
      <c r="U919" s="3">
        <f>Table1[[#This Row],[Net_Sales]]-Table1[[#This Row],[Total_Cost]]</f>
        <v>74753.508282511262</v>
      </c>
      <c r="V919" s="4">
        <f>Table1[[#This Row],[Net_Profit]]/Table1[[#This Row],[Net_Sales]]</f>
        <v>0.20297744191817943</v>
      </c>
      <c r="W919" t="s">
        <v>33</v>
      </c>
      <c r="X919" t="s">
        <v>920</v>
      </c>
      <c r="Y919">
        <v>8</v>
      </c>
      <c r="Z919" t="str">
        <f>IF(Table1[[#This Row],[Month_No]]&lt;=6, "H1","H2")</f>
        <v>H2</v>
      </c>
    </row>
    <row r="920" spans="1:26" x14ac:dyDescent="0.25">
      <c r="A920" s="2">
        <v>45891</v>
      </c>
      <c r="B920" t="s">
        <v>1000</v>
      </c>
      <c r="C920" t="s">
        <v>27</v>
      </c>
      <c r="D920" t="s">
        <v>100</v>
      </c>
      <c r="E920" t="s">
        <v>75</v>
      </c>
      <c r="F920" t="s">
        <v>52</v>
      </c>
      <c r="G920" t="s">
        <v>31</v>
      </c>
      <c r="H920" t="s">
        <v>41</v>
      </c>
      <c r="I920">
        <v>43.412156454863037</v>
      </c>
      <c r="J920" s="3">
        <v>6971.8</v>
      </c>
      <c r="K920" s="3">
        <f>Table1[[#This Row],[Quantity]]*Table1[[#This Row],[Unit_Price]]</f>
        <v>302660.87237201416</v>
      </c>
      <c r="L920" s="3">
        <v>11351.78</v>
      </c>
      <c r="M920" s="3">
        <f>Table1[[#This Row],[Gross_Sales]]-Table1[[#This Row],[Discount]]</f>
        <v>291309.09237201413</v>
      </c>
      <c r="N920" s="3">
        <v>164112.82</v>
      </c>
      <c r="O920" s="3">
        <v>5477.88</v>
      </c>
      <c r="P920" s="3">
        <v>17339.61</v>
      </c>
      <c r="Q920" s="3">
        <v>7978.89</v>
      </c>
      <c r="R920" s="3">
        <v>5540.32</v>
      </c>
      <c r="S920" s="3">
        <f>SUM(Table1[[#This Row],[Product_Cost]:[Other_Cost]])</f>
        <v>200449.52000000002</v>
      </c>
      <c r="T920" s="3">
        <f>Table1[[#This Row],[Net_Sales]]-Table1[[#This Row],[Product_Cost]]</f>
        <v>127196.27237201412</v>
      </c>
      <c r="U920" s="3">
        <f>Table1[[#This Row],[Net_Sales]]-Table1[[#This Row],[Total_Cost]]</f>
        <v>90859.57237201411</v>
      </c>
      <c r="V920" s="4">
        <f>Table1[[#This Row],[Net_Profit]]/Table1[[#This Row],[Net_Sales]]</f>
        <v>0.31190091470259557</v>
      </c>
      <c r="W920" t="s">
        <v>33</v>
      </c>
      <c r="X920" t="s">
        <v>920</v>
      </c>
      <c r="Y920">
        <v>8</v>
      </c>
      <c r="Z920" t="str">
        <f>IF(Table1[[#This Row],[Month_No]]&lt;=6, "H1","H2")</f>
        <v>H2</v>
      </c>
    </row>
    <row r="921" spans="1:26" x14ac:dyDescent="0.25">
      <c r="A921" s="2">
        <v>45892</v>
      </c>
      <c r="B921" t="s">
        <v>1001</v>
      </c>
      <c r="C921" t="s">
        <v>78</v>
      </c>
      <c r="D921" t="s">
        <v>81</v>
      </c>
      <c r="E921" t="s">
        <v>45</v>
      </c>
      <c r="F921" t="s">
        <v>52</v>
      </c>
      <c r="G921" t="s">
        <v>86</v>
      </c>
      <c r="H921" t="s">
        <v>47</v>
      </c>
      <c r="I921">
        <v>47.819069930254187</v>
      </c>
      <c r="J921" s="3">
        <v>6625.07</v>
      </c>
      <c r="K921" s="3">
        <f>Table1[[#This Row],[Quantity]]*Table1[[#This Row],[Unit_Price]]</f>
        <v>316804.68562282907</v>
      </c>
      <c r="L921" s="3">
        <v>12570.89</v>
      </c>
      <c r="M921" s="3">
        <f>Table1[[#This Row],[Gross_Sales]]-Table1[[#This Row],[Discount]]</f>
        <v>304233.79562282906</v>
      </c>
      <c r="N921" s="3">
        <v>156292.72</v>
      </c>
      <c r="O921" s="3">
        <v>5426.9</v>
      </c>
      <c r="P921" s="3">
        <v>18070.48</v>
      </c>
      <c r="Q921" s="3">
        <v>5991.65</v>
      </c>
      <c r="R921" s="3">
        <v>5488.75</v>
      </c>
      <c r="S921" s="3">
        <f>SUM(Table1[[#This Row],[Product_Cost]:[Other_Cost]])</f>
        <v>191270.5</v>
      </c>
      <c r="T921" s="3">
        <f>Table1[[#This Row],[Net_Sales]]-Table1[[#This Row],[Product_Cost]]</f>
        <v>147941.07562282906</v>
      </c>
      <c r="U921" s="3">
        <f>Table1[[#This Row],[Net_Sales]]-Table1[[#This Row],[Total_Cost]]</f>
        <v>112963.29562282906</v>
      </c>
      <c r="V921" s="4">
        <f>Table1[[#This Row],[Net_Profit]]/Table1[[#This Row],[Net_Sales]]</f>
        <v>0.3713042313118764</v>
      </c>
      <c r="W921" t="s">
        <v>33</v>
      </c>
      <c r="X921" t="s">
        <v>920</v>
      </c>
      <c r="Y921">
        <v>8</v>
      </c>
      <c r="Z921" t="str">
        <f>IF(Table1[[#This Row],[Month_No]]&lt;=6, "H1","H2")</f>
        <v>H2</v>
      </c>
    </row>
    <row r="922" spans="1:26" x14ac:dyDescent="0.25">
      <c r="A922" s="2">
        <v>45892</v>
      </c>
      <c r="B922" t="s">
        <v>1002</v>
      </c>
      <c r="C922" t="s">
        <v>43</v>
      </c>
      <c r="D922" t="s">
        <v>100</v>
      </c>
      <c r="E922" t="s">
        <v>75</v>
      </c>
      <c r="F922" t="s">
        <v>39</v>
      </c>
      <c r="G922" t="s">
        <v>71</v>
      </c>
      <c r="H922" t="s">
        <v>59</v>
      </c>
      <c r="I922">
        <v>49.010967085612947</v>
      </c>
      <c r="J922" s="3">
        <v>6931.33</v>
      </c>
      <c r="K922" s="3">
        <f>Table1[[#This Row],[Quantity]]*Table1[[#This Row],[Unit_Price]]</f>
        <v>339711.18648952158</v>
      </c>
      <c r="L922" s="3">
        <v>13438.44</v>
      </c>
      <c r="M922" s="3">
        <f>Table1[[#This Row],[Gross_Sales]]-Table1[[#This Row],[Discount]]</f>
        <v>326272.74648952158</v>
      </c>
      <c r="N922" s="3">
        <v>179811.85</v>
      </c>
      <c r="O922" s="3">
        <v>8280.15</v>
      </c>
      <c r="P922" s="3">
        <v>16401.919999999998</v>
      </c>
      <c r="Q922" s="3">
        <v>9420.48</v>
      </c>
      <c r="R922" s="3">
        <v>4805.38</v>
      </c>
      <c r="S922" s="3">
        <f>SUM(Table1[[#This Row],[Product_Cost]:[Other_Cost]])</f>
        <v>218719.78</v>
      </c>
      <c r="T922" s="3">
        <f>Table1[[#This Row],[Net_Sales]]-Table1[[#This Row],[Product_Cost]]</f>
        <v>146460.89648952158</v>
      </c>
      <c r="U922" s="3">
        <f>Table1[[#This Row],[Net_Sales]]-Table1[[#This Row],[Total_Cost]]</f>
        <v>107552.96648952158</v>
      </c>
      <c r="V922" s="4">
        <f>Table1[[#This Row],[Net_Profit]]/Table1[[#This Row],[Net_Sales]]</f>
        <v>0.32964128216873823</v>
      </c>
      <c r="W922" t="s">
        <v>33</v>
      </c>
      <c r="X922" t="s">
        <v>920</v>
      </c>
      <c r="Y922">
        <v>8</v>
      </c>
      <c r="Z922" t="str">
        <f>IF(Table1[[#This Row],[Month_No]]&lt;=6, "H1","H2")</f>
        <v>H2</v>
      </c>
    </row>
    <row r="923" spans="1:26" x14ac:dyDescent="0.25">
      <c r="A923" s="2">
        <v>45892</v>
      </c>
      <c r="B923" t="s">
        <v>1003</v>
      </c>
      <c r="C923" t="s">
        <v>49</v>
      </c>
      <c r="D923" t="s">
        <v>68</v>
      </c>
      <c r="E923" t="s">
        <v>29</v>
      </c>
      <c r="F923" t="s">
        <v>52</v>
      </c>
      <c r="G923" t="s">
        <v>31</v>
      </c>
      <c r="H923" t="s">
        <v>41</v>
      </c>
      <c r="I923">
        <v>111.0691613934885</v>
      </c>
      <c r="J923" s="3">
        <v>402.14</v>
      </c>
      <c r="K923" s="3">
        <f>Table1[[#This Row],[Quantity]]*Table1[[#This Row],[Unit_Price]]</f>
        <v>44665.352562777465</v>
      </c>
      <c r="L923" s="3">
        <v>2171.9499999999998</v>
      </c>
      <c r="M923" s="3">
        <f>Table1[[#This Row],[Gross_Sales]]-Table1[[#This Row],[Discount]]</f>
        <v>42493.402562777468</v>
      </c>
      <c r="N923" s="3">
        <v>30027.040000000001</v>
      </c>
      <c r="O923" s="3">
        <v>771.3</v>
      </c>
      <c r="P923" s="3">
        <v>2179.2600000000002</v>
      </c>
      <c r="Q923" s="3">
        <v>1190.5999999999999</v>
      </c>
      <c r="R923" s="3">
        <v>735.97</v>
      </c>
      <c r="S923" s="3">
        <f>SUM(Table1[[#This Row],[Product_Cost]:[Other_Cost]])</f>
        <v>34904.17</v>
      </c>
      <c r="T923" s="3">
        <f>Table1[[#This Row],[Net_Sales]]-Table1[[#This Row],[Product_Cost]]</f>
        <v>12466.362562777467</v>
      </c>
      <c r="U923" s="3">
        <f>Table1[[#This Row],[Net_Sales]]-Table1[[#This Row],[Total_Cost]]</f>
        <v>7589.2325627774699</v>
      </c>
      <c r="V923" s="4">
        <f>Table1[[#This Row],[Net_Profit]]/Table1[[#This Row],[Net_Sales]]</f>
        <v>0.17859790238180023</v>
      </c>
      <c r="W923" t="s">
        <v>72</v>
      </c>
      <c r="X923" t="s">
        <v>920</v>
      </c>
      <c r="Y923">
        <v>8</v>
      </c>
      <c r="Z923" t="str">
        <f>IF(Table1[[#This Row],[Month_No]]&lt;=6, "H1","H2")</f>
        <v>H2</v>
      </c>
    </row>
    <row r="924" spans="1:26" x14ac:dyDescent="0.25">
      <c r="A924" s="2">
        <v>45892</v>
      </c>
      <c r="B924" t="s">
        <v>1004</v>
      </c>
      <c r="C924" t="s">
        <v>83</v>
      </c>
      <c r="D924" t="s">
        <v>183</v>
      </c>
      <c r="E924" t="s">
        <v>38</v>
      </c>
      <c r="F924" t="s">
        <v>52</v>
      </c>
      <c r="G924" t="s">
        <v>31</v>
      </c>
      <c r="H924" t="s">
        <v>41</v>
      </c>
      <c r="I924">
        <v>56.477838674762957</v>
      </c>
      <c r="J924" s="3">
        <v>7016.11</v>
      </c>
      <c r="K924" s="3">
        <f>Table1[[#This Row],[Quantity]]*Table1[[#This Row],[Unit_Price]]</f>
        <v>396254.72870439111</v>
      </c>
      <c r="L924" s="3">
        <v>21066.16</v>
      </c>
      <c r="M924" s="3">
        <f>Table1[[#This Row],[Gross_Sales]]-Table1[[#This Row],[Discount]]</f>
        <v>375188.56870439113</v>
      </c>
      <c r="N924" s="3">
        <v>190510.71</v>
      </c>
      <c r="O924" s="3">
        <v>7538.37</v>
      </c>
      <c r="P924" s="3">
        <v>21483.65</v>
      </c>
      <c r="Q924" s="3">
        <v>6962.57</v>
      </c>
      <c r="R924" s="3">
        <v>4766.04</v>
      </c>
      <c r="S924" s="3">
        <f>SUM(Table1[[#This Row],[Product_Cost]:[Other_Cost]])</f>
        <v>231261.34</v>
      </c>
      <c r="T924" s="3">
        <f>Table1[[#This Row],[Net_Sales]]-Table1[[#This Row],[Product_Cost]]</f>
        <v>184677.85870439114</v>
      </c>
      <c r="U924" s="3">
        <f>Table1[[#This Row],[Net_Sales]]-Table1[[#This Row],[Total_Cost]]</f>
        <v>143927.22870439113</v>
      </c>
      <c r="V924" s="4">
        <f>Table1[[#This Row],[Net_Profit]]/Table1[[#This Row],[Net_Sales]]</f>
        <v>0.38361304343947256</v>
      </c>
      <c r="W924" t="s">
        <v>33</v>
      </c>
      <c r="X924" t="s">
        <v>920</v>
      </c>
      <c r="Y924">
        <v>8</v>
      </c>
      <c r="Z924" t="str">
        <f>IF(Table1[[#This Row],[Month_No]]&lt;=6, "H1","H2")</f>
        <v>H2</v>
      </c>
    </row>
    <row r="925" spans="1:26" x14ac:dyDescent="0.25">
      <c r="A925" s="2">
        <v>45893</v>
      </c>
      <c r="B925" t="s">
        <v>1005</v>
      </c>
      <c r="C925" t="s">
        <v>43</v>
      </c>
      <c r="D925" t="s">
        <v>28</v>
      </c>
      <c r="E925" t="s">
        <v>29</v>
      </c>
      <c r="F925" t="s">
        <v>30</v>
      </c>
      <c r="G925" t="s">
        <v>76</v>
      </c>
      <c r="H925" t="s">
        <v>47</v>
      </c>
      <c r="I925">
        <v>83.913554107414328</v>
      </c>
      <c r="J925" s="3">
        <v>1238.45</v>
      </c>
      <c r="K925" s="3">
        <f>Table1[[#This Row],[Quantity]]*Table1[[#This Row],[Unit_Price]]</f>
        <v>103922.74108432728</v>
      </c>
      <c r="L925" s="3">
        <v>3068.04</v>
      </c>
      <c r="M925" s="3">
        <f>Table1[[#This Row],[Gross_Sales]]-Table1[[#This Row],[Discount]]</f>
        <v>100854.70108432729</v>
      </c>
      <c r="N925" s="3">
        <v>53128.57</v>
      </c>
      <c r="O925" s="3">
        <v>2417.12</v>
      </c>
      <c r="P925" s="3">
        <v>5488.09</v>
      </c>
      <c r="Q925" s="3">
        <v>2264.71</v>
      </c>
      <c r="R925" s="3">
        <v>1676.17</v>
      </c>
      <c r="S925" s="3">
        <f>SUM(Table1[[#This Row],[Product_Cost]:[Other_Cost]])</f>
        <v>64974.659999999996</v>
      </c>
      <c r="T925" s="3">
        <f>Table1[[#This Row],[Net_Sales]]-Table1[[#This Row],[Product_Cost]]</f>
        <v>47726.131084327288</v>
      </c>
      <c r="U925" s="3">
        <f>Table1[[#This Row],[Net_Sales]]-Table1[[#This Row],[Total_Cost]]</f>
        <v>35880.041084327291</v>
      </c>
      <c r="V925" s="4">
        <f>Table1[[#This Row],[Net_Profit]]/Table1[[#This Row],[Net_Sales]]</f>
        <v>0.35575972858545324</v>
      </c>
      <c r="W925" t="s">
        <v>33</v>
      </c>
      <c r="X925" t="s">
        <v>920</v>
      </c>
      <c r="Y925">
        <v>8</v>
      </c>
      <c r="Z925" t="str">
        <f>IF(Table1[[#This Row],[Month_No]]&lt;=6, "H1","H2")</f>
        <v>H2</v>
      </c>
    </row>
    <row r="926" spans="1:26" x14ac:dyDescent="0.25">
      <c r="A926" s="2">
        <v>45893</v>
      </c>
      <c r="B926" t="s">
        <v>1006</v>
      </c>
      <c r="C926" t="s">
        <v>83</v>
      </c>
      <c r="D926" t="s">
        <v>100</v>
      </c>
      <c r="E926" t="s">
        <v>75</v>
      </c>
      <c r="F926" t="s">
        <v>52</v>
      </c>
      <c r="G926" t="s">
        <v>64</v>
      </c>
      <c r="H926" t="s">
        <v>41</v>
      </c>
      <c r="I926">
        <v>43.977628796226497</v>
      </c>
      <c r="J926" s="3">
        <v>7069.85</v>
      </c>
      <c r="K926" s="3">
        <f>Table1[[#This Row],[Quantity]]*Table1[[#This Row],[Unit_Price]]</f>
        <v>310915.23894500191</v>
      </c>
      <c r="L926" s="3">
        <v>10684.72</v>
      </c>
      <c r="M926" s="3">
        <f>Table1[[#This Row],[Gross_Sales]]-Table1[[#This Row],[Discount]]</f>
        <v>300230.51894500194</v>
      </c>
      <c r="N926" s="3">
        <v>159253.60999999999</v>
      </c>
      <c r="O926" s="3">
        <v>5588.32</v>
      </c>
      <c r="P926" s="3">
        <v>17441.66</v>
      </c>
      <c r="Q926" s="3">
        <v>7577.2</v>
      </c>
      <c r="R926" s="3">
        <v>3907.55</v>
      </c>
      <c r="S926" s="3">
        <f>SUM(Table1[[#This Row],[Product_Cost]:[Other_Cost]])</f>
        <v>193768.34</v>
      </c>
      <c r="T926" s="3">
        <f>Table1[[#This Row],[Net_Sales]]-Table1[[#This Row],[Product_Cost]]</f>
        <v>140976.90894500195</v>
      </c>
      <c r="U926" s="3">
        <f>Table1[[#This Row],[Net_Sales]]-Table1[[#This Row],[Total_Cost]]</f>
        <v>106462.17894500194</v>
      </c>
      <c r="V926" s="4">
        <f>Table1[[#This Row],[Net_Profit]]/Table1[[#This Row],[Net_Sales]]</f>
        <v>0.3546014553054293</v>
      </c>
      <c r="W926" t="s">
        <v>33</v>
      </c>
      <c r="X926" t="s">
        <v>920</v>
      </c>
      <c r="Y926">
        <v>8</v>
      </c>
      <c r="Z926" t="str">
        <f>IF(Table1[[#This Row],[Month_No]]&lt;=6, "H1","H2")</f>
        <v>H2</v>
      </c>
    </row>
    <row r="927" spans="1:26" x14ac:dyDescent="0.25">
      <c r="A927" s="2">
        <v>45893</v>
      </c>
      <c r="B927" t="s">
        <v>1007</v>
      </c>
      <c r="C927" t="s">
        <v>49</v>
      </c>
      <c r="D927" t="s">
        <v>100</v>
      </c>
      <c r="E927" t="s">
        <v>75</v>
      </c>
      <c r="F927" t="s">
        <v>52</v>
      </c>
      <c r="G927" t="s">
        <v>71</v>
      </c>
      <c r="H927" t="s">
        <v>47</v>
      </c>
      <c r="I927">
        <v>41.497150084211953</v>
      </c>
      <c r="J927" s="3">
        <v>7056.54</v>
      </c>
      <c r="K927" s="3">
        <f>Table1[[#This Row],[Quantity]]*Table1[[#This Row],[Unit_Price]]</f>
        <v>292826.29945524503</v>
      </c>
      <c r="L927" s="3">
        <v>8908.24</v>
      </c>
      <c r="M927" s="3">
        <f>Table1[[#This Row],[Gross_Sales]]-Table1[[#This Row],[Discount]]</f>
        <v>283918.05945524503</v>
      </c>
      <c r="N927" s="3">
        <v>164062.21</v>
      </c>
      <c r="O927" s="3">
        <v>4297.8500000000004</v>
      </c>
      <c r="P927" s="3">
        <v>16529.099999999999</v>
      </c>
      <c r="Q927" s="3">
        <v>7880.88</v>
      </c>
      <c r="R927" s="3">
        <v>4473.7700000000004</v>
      </c>
      <c r="S927" s="3">
        <f>SUM(Table1[[#This Row],[Product_Cost]:[Other_Cost]])</f>
        <v>197243.81</v>
      </c>
      <c r="T927" s="3">
        <f>Table1[[#This Row],[Net_Sales]]-Table1[[#This Row],[Product_Cost]]</f>
        <v>119855.84945524504</v>
      </c>
      <c r="U927" s="3">
        <f>Table1[[#This Row],[Net_Sales]]-Table1[[#This Row],[Total_Cost]]</f>
        <v>86674.249455245037</v>
      </c>
      <c r="V927" s="4">
        <f>Table1[[#This Row],[Net_Profit]]/Table1[[#This Row],[Net_Sales]]</f>
        <v>0.30527909926387686</v>
      </c>
      <c r="W927" t="s">
        <v>33</v>
      </c>
      <c r="X927" t="s">
        <v>920</v>
      </c>
      <c r="Y927">
        <v>8</v>
      </c>
      <c r="Z927" t="str">
        <f>IF(Table1[[#This Row],[Month_No]]&lt;=6, "H1","H2")</f>
        <v>H2</v>
      </c>
    </row>
    <row r="928" spans="1:26" x14ac:dyDescent="0.25">
      <c r="A928" s="2">
        <v>45893</v>
      </c>
      <c r="B928" t="s">
        <v>1008</v>
      </c>
      <c r="C928" t="s">
        <v>70</v>
      </c>
      <c r="D928" t="s">
        <v>85</v>
      </c>
      <c r="E928" t="s">
        <v>57</v>
      </c>
      <c r="F928" t="s">
        <v>52</v>
      </c>
      <c r="G928" t="s">
        <v>86</v>
      </c>
      <c r="H928" t="s">
        <v>47</v>
      </c>
      <c r="I928">
        <v>28.205514774624739</v>
      </c>
      <c r="J928" s="3">
        <v>2012.97</v>
      </c>
      <c r="K928" s="3">
        <f>Table1[[#This Row],[Quantity]]*Table1[[#This Row],[Unit_Price]]</f>
        <v>56776.855075876359</v>
      </c>
      <c r="L928" s="3">
        <v>1710.09</v>
      </c>
      <c r="M928" s="3">
        <f>Table1[[#This Row],[Gross_Sales]]-Table1[[#This Row],[Discount]]</f>
        <v>55066.765075876363</v>
      </c>
      <c r="N928" s="3">
        <v>34798.47</v>
      </c>
      <c r="O928" s="3">
        <v>1035.1500000000001</v>
      </c>
      <c r="P928" s="3">
        <v>3279.16</v>
      </c>
      <c r="Q928" s="3">
        <v>1184.56</v>
      </c>
      <c r="R928" s="3">
        <v>1131</v>
      </c>
      <c r="S928" s="3">
        <f>SUM(Table1[[#This Row],[Product_Cost]:[Other_Cost]])</f>
        <v>41428.339999999997</v>
      </c>
      <c r="T928" s="3">
        <f>Table1[[#This Row],[Net_Sales]]-Table1[[#This Row],[Product_Cost]]</f>
        <v>20268.295075876362</v>
      </c>
      <c r="U928" s="3">
        <f>Table1[[#This Row],[Net_Sales]]-Table1[[#This Row],[Total_Cost]]</f>
        <v>13638.425075876366</v>
      </c>
      <c r="V928" s="4">
        <f>Table1[[#This Row],[Net_Profit]]/Table1[[#This Row],[Net_Sales]]</f>
        <v>0.24767071494183493</v>
      </c>
      <c r="W928" t="s">
        <v>33</v>
      </c>
      <c r="X928" t="s">
        <v>920</v>
      </c>
      <c r="Y928">
        <v>8</v>
      </c>
      <c r="Z928" t="str">
        <f>IF(Table1[[#This Row],[Month_No]]&lt;=6, "H1","H2")</f>
        <v>H2</v>
      </c>
    </row>
    <row r="929" spans="1:26" x14ac:dyDescent="0.25">
      <c r="A929" s="2">
        <v>45894</v>
      </c>
      <c r="B929" t="s">
        <v>1009</v>
      </c>
      <c r="C929" t="s">
        <v>98</v>
      </c>
      <c r="D929" t="s">
        <v>37</v>
      </c>
      <c r="E929" t="s">
        <v>38</v>
      </c>
      <c r="F929" t="s">
        <v>30</v>
      </c>
      <c r="G929" t="s">
        <v>40</v>
      </c>
      <c r="H929" t="s">
        <v>59</v>
      </c>
      <c r="I929">
        <v>39.659551394837749</v>
      </c>
      <c r="J929" s="3">
        <v>4473.99</v>
      </c>
      <c r="K929" s="3">
        <f>Table1[[#This Row],[Quantity]]*Table1[[#This Row],[Unit_Price]]</f>
        <v>177436.43634499013</v>
      </c>
      <c r="L929" s="3">
        <v>4058.53</v>
      </c>
      <c r="M929" s="3">
        <f>Table1[[#This Row],[Gross_Sales]]-Table1[[#This Row],[Discount]]</f>
        <v>173377.90634499013</v>
      </c>
      <c r="N929" s="3">
        <v>120529.2</v>
      </c>
      <c r="O929" s="3">
        <v>4511.8599999999997</v>
      </c>
      <c r="P929" s="3">
        <v>10167.65</v>
      </c>
      <c r="Q929" s="3">
        <v>3560.04</v>
      </c>
      <c r="R929" s="3">
        <v>2500.12</v>
      </c>
      <c r="S929" s="3">
        <f>SUM(Table1[[#This Row],[Product_Cost]:[Other_Cost]])</f>
        <v>141268.87</v>
      </c>
      <c r="T929" s="3">
        <f>Table1[[#This Row],[Net_Sales]]-Table1[[#This Row],[Product_Cost]]</f>
        <v>52848.706344990132</v>
      </c>
      <c r="U929" s="3">
        <f>Table1[[#This Row],[Net_Sales]]-Table1[[#This Row],[Total_Cost]]</f>
        <v>32109.036344990134</v>
      </c>
      <c r="V929" s="4">
        <f>Table1[[#This Row],[Net_Profit]]/Table1[[#This Row],[Net_Sales]]</f>
        <v>0.18519681672184379</v>
      </c>
      <c r="W929" t="s">
        <v>33</v>
      </c>
      <c r="X929" t="s">
        <v>920</v>
      </c>
      <c r="Y929">
        <v>8</v>
      </c>
      <c r="Z929" t="str">
        <f>IF(Table1[[#This Row],[Month_No]]&lt;=6, "H1","H2")</f>
        <v>H2</v>
      </c>
    </row>
    <row r="930" spans="1:26" x14ac:dyDescent="0.25">
      <c r="A930" s="2">
        <v>45894</v>
      </c>
      <c r="B930" t="s">
        <v>1010</v>
      </c>
      <c r="C930" t="s">
        <v>117</v>
      </c>
      <c r="D930" t="s">
        <v>28</v>
      </c>
      <c r="E930" t="s">
        <v>29</v>
      </c>
      <c r="F930" t="s">
        <v>39</v>
      </c>
      <c r="G930" t="s">
        <v>64</v>
      </c>
      <c r="H930" t="s">
        <v>32</v>
      </c>
      <c r="I930">
        <v>78.918602247842529</v>
      </c>
      <c r="J930" s="3">
        <v>1203.72</v>
      </c>
      <c r="K930" s="3">
        <f>Table1[[#This Row],[Quantity]]*Table1[[#This Row],[Unit_Price]]</f>
        <v>94995.899897773008</v>
      </c>
      <c r="L930" s="3">
        <v>3442.32</v>
      </c>
      <c r="M930" s="3">
        <f>Table1[[#This Row],[Gross_Sales]]-Table1[[#This Row],[Discount]]</f>
        <v>91553.579897773001</v>
      </c>
      <c r="N930" s="3">
        <v>45946.41</v>
      </c>
      <c r="O930" s="3">
        <v>2819.16</v>
      </c>
      <c r="P930" s="3">
        <v>4756.78</v>
      </c>
      <c r="Q930" s="3">
        <v>1791.7</v>
      </c>
      <c r="R930" s="3">
        <v>1348.41</v>
      </c>
      <c r="S930" s="3">
        <f>SUM(Table1[[#This Row],[Product_Cost]:[Other_Cost]])</f>
        <v>56662.460000000006</v>
      </c>
      <c r="T930" s="3">
        <f>Table1[[#This Row],[Net_Sales]]-Table1[[#This Row],[Product_Cost]]</f>
        <v>45607.169897772998</v>
      </c>
      <c r="U930" s="3">
        <f>Table1[[#This Row],[Net_Sales]]-Table1[[#This Row],[Total_Cost]]</f>
        <v>34891.119897772995</v>
      </c>
      <c r="V930" s="4">
        <f>Table1[[#This Row],[Net_Profit]]/Table1[[#This Row],[Net_Sales]]</f>
        <v>0.38110055266797604</v>
      </c>
      <c r="W930" t="s">
        <v>33</v>
      </c>
      <c r="X930" t="s">
        <v>920</v>
      </c>
      <c r="Y930">
        <v>8</v>
      </c>
      <c r="Z930" t="str">
        <f>IF(Table1[[#This Row],[Month_No]]&lt;=6, "H1","H2")</f>
        <v>H2</v>
      </c>
    </row>
    <row r="931" spans="1:26" x14ac:dyDescent="0.25">
      <c r="A931" s="2">
        <v>45894</v>
      </c>
      <c r="B931" t="s">
        <v>1011</v>
      </c>
      <c r="C931" t="s">
        <v>49</v>
      </c>
      <c r="D931" t="s">
        <v>100</v>
      </c>
      <c r="E931" t="s">
        <v>75</v>
      </c>
      <c r="F931" t="s">
        <v>39</v>
      </c>
      <c r="G931" t="s">
        <v>61</v>
      </c>
      <c r="H931" t="s">
        <v>47</v>
      </c>
      <c r="I931">
        <v>15.403474081056959</v>
      </c>
      <c r="J931" s="3">
        <v>7485.69</v>
      </c>
      <c r="K931" s="3">
        <f>Table1[[#This Row],[Quantity]]*Table1[[#This Row],[Unit_Price]]</f>
        <v>115305.63189382726</v>
      </c>
      <c r="L931" s="3">
        <v>4521.12</v>
      </c>
      <c r="M931" s="3">
        <f>Table1[[#This Row],[Gross_Sales]]-Table1[[#This Row],[Discount]]</f>
        <v>110784.51189382726</v>
      </c>
      <c r="N931" s="3">
        <v>62775.42</v>
      </c>
      <c r="O931" s="3">
        <v>3100.47</v>
      </c>
      <c r="P931" s="3">
        <v>5886.06</v>
      </c>
      <c r="Q931" s="3">
        <v>2616.56</v>
      </c>
      <c r="R931" s="3">
        <v>2061.0500000000002</v>
      </c>
      <c r="S931" s="3">
        <f>SUM(Table1[[#This Row],[Product_Cost]:[Other_Cost]])</f>
        <v>76439.56</v>
      </c>
      <c r="T931" s="3">
        <f>Table1[[#This Row],[Net_Sales]]-Table1[[#This Row],[Product_Cost]]</f>
        <v>48009.091893827266</v>
      </c>
      <c r="U931" s="3">
        <f>Table1[[#This Row],[Net_Sales]]-Table1[[#This Row],[Total_Cost]]</f>
        <v>34344.951893827267</v>
      </c>
      <c r="V931" s="4">
        <f>Table1[[#This Row],[Net_Profit]]/Table1[[#This Row],[Net_Sales]]</f>
        <v>0.31001582537767097</v>
      </c>
      <c r="W931" t="s">
        <v>72</v>
      </c>
      <c r="X931" t="s">
        <v>920</v>
      </c>
      <c r="Y931">
        <v>8</v>
      </c>
      <c r="Z931" t="str">
        <f>IF(Table1[[#This Row],[Month_No]]&lt;=6, "H1","H2")</f>
        <v>H2</v>
      </c>
    </row>
    <row r="932" spans="1:26" x14ac:dyDescent="0.25">
      <c r="A932" s="2">
        <v>45895</v>
      </c>
      <c r="B932" t="s">
        <v>1012</v>
      </c>
      <c r="C932" t="s">
        <v>117</v>
      </c>
      <c r="D932" t="s">
        <v>85</v>
      </c>
      <c r="E932" t="s">
        <v>57</v>
      </c>
      <c r="F932" t="s">
        <v>39</v>
      </c>
      <c r="G932" t="s">
        <v>31</v>
      </c>
      <c r="H932" t="s">
        <v>59</v>
      </c>
      <c r="I932">
        <v>4.3742610775811279</v>
      </c>
      <c r="J932" s="3">
        <v>1918.55</v>
      </c>
      <c r="K932" s="3">
        <f>Table1[[#This Row],[Quantity]]*Table1[[#This Row],[Unit_Price]]</f>
        <v>8392.2385903932736</v>
      </c>
      <c r="L932" s="3">
        <v>307.18</v>
      </c>
      <c r="M932" s="3">
        <f>Table1[[#This Row],[Gross_Sales]]-Table1[[#This Row],[Discount]]</f>
        <v>8085.0585903932733</v>
      </c>
      <c r="N932" s="3">
        <v>5177.12</v>
      </c>
      <c r="O932" s="3">
        <v>216.19</v>
      </c>
      <c r="P932" s="3">
        <v>467.61</v>
      </c>
      <c r="Q932" s="3">
        <v>225.74</v>
      </c>
      <c r="R932" s="3">
        <v>145.61000000000001</v>
      </c>
      <c r="S932" s="3">
        <f>SUM(Table1[[#This Row],[Product_Cost]:[Other_Cost]])</f>
        <v>6232.2699999999986</v>
      </c>
      <c r="T932" s="3">
        <f>Table1[[#This Row],[Net_Sales]]-Table1[[#This Row],[Product_Cost]]</f>
        <v>2907.9385903932734</v>
      </c>
      <c r="U932" s="3">
        <f>Table1[[#This Row],[Net_Sales]]-Table1[[#This Row],[Total_Cost]]</f>
        <v>1852.7885903932747</v>
      </c>
      <c r="V932" s="4">
        <f>Table1[[#This Row],[Net_Profit]]/Table1[[#This Row],[Net_Sales]]</f>
        <v>0.22916204869495588</v>
      </c>
      <c r="W932" t="s">
        <v>33</v>
      </c>
      <c r="X932" t="s">
        <v>920</v>
      </c>
      <c r="Y932">
        <v>8</v>
      </c>
      <c r="Z932" t="str">
        <f>IF(Table1[[#This Row],[Month_No]]&lt;=6, "H1","H2")</f>
        <v>H2</v>
      </c>
    </row>
    <row r="933" spans="1:26" x14ac:dyDescent="0.25">
      <c r="A933" s="2">
        <v>45895</v>
      </c>
      <c r="B933" t="s">
        <v>1013</v>
      </c>
      <c r="C933" t="s">
        <v>55</v>
      </c>
      <c r="D933" t="s">
        <v>81</v>
      </c>
      <c r="E933" t="s">
        <v>45</v>
      </c>
      <c r="F933" t="s">
        <v>30</v>
      </c>
      <c r="G933" t="s">
        <v>61</v>
      </c>
      <c r="H933" t="s">
        <v>41</v>
      </c>
      <c r="I933">
        <v>25.491571373870269</v>
      </c>
      <c r="J933" s="3">
        <v>6676.13</v>
      </c>
      <c r="K933" s="3">
        <f>Table1[[#This Row],[Quantity]]*Table1[[#This Row],[Unit_Price]]</f>
        <v>170185.04439623651</v>
      </c>
      <c r="L933" s="3">
        <v>8330.0300000000007</v>
      </c>
      <c r="M933" s="3">
        <f>Table1[[#This Row],[Gross_Sales]]-Table1[[#This Row],[Discount]]</f>
        <v>161855.01439623651</v>
      </c>
      <c r="N933" s="3">
        <v>83491.88</v>
      </c>
      <c r="O933" s="3">
        <v>3427.5</v>
      </c>
      <c r="P933" s="3">
        <v>9808.08</v>
      </c>
      <c r="Q933" s="3">
        <v>4772.99</v>
      </c>
      <c r="R933" s="3">
        <v>1996.28</v>
      </c>
      <c r="S933" s="3">
        <f>SUM(Table1[[#This Row],[Product_Cost]:[Other_Cost]])</f>
        <v>103496.73000000001</v>
      </c>
      <c r="T933" s="3">
        <f>Table1[[#This Row],[Net_Sales]]-Table1[[#This Row],[Product_Cost]]</f>
        <v>78363.134396236506</v>
      </c>
      <c r="U933" s="3">
        <f>Table1[[#This Row],[Net_Sales]]-Table1[[#This Row],[Total_Cost]]</f>
        <v>58358.2843962365</v>
      </c>
      <c r="V933" s="4">
        <f>Table1[[#This Row],[Net_Profit]]/Table1[[#This Row],[Net_Sales]]</f>
        <v>0.36055901396647405</v>
      </c>
      <c r="W933" t="s">
        <v>33</v>
      </c>
      <c r="X933" t="s">
        <v>920</v>
      </c>
      <c r="Y933">
        <v>8</v>
      </c>
      <c r="Z933" t="str">
        <f>IF(Table1[[#This Row],[Month_No]]&lt;=6, "H1","H2")</f>
        <v>H2</v>
      </c>
    </row>
    <row r="934" spans="1:26" x14ac:dyDescent="0.25">
      <c r="A934" s="2">
        <v>45895</v>
      </c>
      <c r="B934" t="s">
        <v>1014</v>
      </c>
      <c r="C934" t="s">
        <v>117</v>
      </c>
      <c r="D934" t="s">
        <v>44</v>
      </c>
      <c r="E934" t="s">
        <v>45</v>
      </c>
      <c r="F934" t="s">
        <v>52</v>
      </c>
      <c r="G934" t="s">
        <v>71</v>
      </c>
      <c r="H934" t="s">
        <v>47</v>
      </c>
      <c r="I934">
        <v>69.468735610554646</v>
      </c>
      <c r="J934" s="3">
        <v>4635.51</v>
      </c>
      <c r="K934" s="3">
        <f>Table1[[#This Row],[Quantity]]*Table1[[#This Row],[Unit_Price]]</f>
        <v>322023.01861008216</v>
      </c>
      <c r="L934" s="3">
        <v>14343.14</v>
      </c>
      <c r="M934" s="3">
        <f>Table1[[#This Row],[Gross_Sales]]-Table1[[#This Row],[Discount]]</f>
        <v>307679.87861008215</v>
      </c>
      <c r="N934" s="3">
        <v>210785.15</v>
      </c>
      <c r="O934" s="3">
        <v>6041.45</v>
      </c>
      <c r="P934" s="3">
        <v>18058.39</v>
      </c>
      <c r="Q934" s="3">
        <v>8348.0300000000007</v>
      </c>
      <c r="R934" s="3">
        <v>4147.8100000000004</v>
      </c>
      <c r="S934" s="3">
        <f>SUM(Table1[[#This Row],[Product_Cost]:[Other_Cost]])</f>
        <v>247380.83</v>
      </c>
      <c r="T934" s="3">
        <f>Table1[[#This Row],[Net_Sales]]-Table1[[#This Row],[Product_Cost]]</f>
        <v>96894.728610082151</v>
      </c>
      <c r="U934" s="3">
        <f>Table1[[#This Row],[Net_Sales]]-Table1[[#This Row],[Total_Cost]]</f>
        <v>60299.048610082158</v>
      </c>
      <c r="V934" s="4">
        <f>Table1[[#This Row],[Net_Profit]]/Table1[[#This Row],[Net_Sales]]</f>
        <v>0.19597982449316484</v>
      </c>
      <c r="W934" t="s">
        <v>33</v>
      </c>
      <c r="X934" t="s">
        <v>920</v>
      </c>
      <c r="Y934">
        <v>8</v>
      </c>
      <c r="Z934" t="str">
        <f>IF(Table1[[#This Row],[Month_No]]&lt;=6, "H1","H2")</f>
        <v>H2</v>
      </c>
    </row>
    <row r="935" spans="1:26" x14ac:dyDescent="0.25">
      <c r="A935" s="2">
        <v>45895</v>
      </c>
      <c r="B935" t="s">
        <v>1015</v>
      </c>
      <c r="C935" t="s">
        <v>36</v>
      </c>
      <c r="D935" t="s">
        <v>81</v>
      </c>
      <c r="E935" t="s">
        <v>45</v>
      </c>
      <c r="F935" t="s">
        <v>52</v>
      </c>
      <c r="G935" t="s">
        <v>86</v>
      </c>
      <c r="H935" t="s">
        <v>41</v>
      </c>
      <c r="I935">
        <v>68.282920886602199</v>
      </c>
      <c r="J935" s="3">
        <v>6793.47</v>
      </c>
      <c r="K935" s="3">
        <f>Table1[[#This Row],[Quantity]]*Table1[[#This Row],[Unit_Price]]</f>
        <v>463877.97455550544</v>
      </c>
      <c r="L935" s="3">
        <v>23354.43</v>
      </c>
      <c r="M935" s="3">
        <f>Table1[[#This Row],[Gross_Sales]]-Table1[[#This Row],[Discount]]</f>
        <v>440523.54455550545</v>
      </c>
      <c r="N935" s="3">
        <v>221061.25</v>
      </c>
      <c r="O935" s="3">
        <v>8644.58</v>
      </c>
      <c r="P935" s="3">
        <v>23113.25</v>
      </c>
      <c r="Q935" s="3">
        <v>8363.51</v>
      </c>
      <c r="R935" s="3">
        <v>7070.28</v>
      </c>
      <c r="S935" s="3">
        <f>SUM(Table1[[#This Row],[Product_Cost]:[Other_Cost]])</f>
        <v>268252.87</v>
      </c>
      <c r="T935" s="3">
        <f>Table1[[#This Row],[Net_Sales]]-Table1[[#This Row],[Product_Cost]]</f>
        <v>219462.29455550545</v>
      </c>
      <c r="U935" s="3">
        <f>Table1[[#This Row],[Net_Sales]]-Table1[[#This Row],[Total_Cost]]</f>
        <v>172270.67455550545</v>
      </c>
      <c r="V935" s="4">
        <f>Table1[[#This Row],[Net_Profit]]/Table1[[#This Row],[Net_Sales]]</f>
        <v>0.39105894948096137</v>
      </c>
      <c r="W935" t="s">
        <v>33</v>
      </c>
      <c r="X935" t="s">
        <v>920</v>
      </c>
      <c r="Y935">
        <v>8</v>
      </c>
      <c r="Z935" t="str">
        <f>IF(Table1[[#This Row],[Month_No]]&lt;=6, "H1","H2")</f>
        <v>H2</v>
      </c>
    </row>
    <row r="936" spans="1:26" x14ac:dyDescent="0.25">
      <c r="A936" s="2">
        <v>45895</v>
      </c>
      <c r="B936" t="s">
        <v>1016</v>
      </c>
      <c r="C936" t="s">
        <v>83</v>
      </c>
      <c r="D936" t="s">
        <v>28</v>
      </c>
      <c r="E936" t="s">
        <v>29</v>
      </c>
      <c r="F936" t="s">
        <v>39</v>
      </c>
      <c r="G936" t="s">
        <v>71</v>
      </c>
      <c r="H936" t="s">
        <v>47</v>
      </c>
      <c r="I936">
        <v>72.912092868290557</v>
      </c>
      <c r="J936" s="3">
        <v>1180.6400000000001</v>
      </c>
      <c r="K936" s="3">
        <f>Table1[[#This Row],[Quantity]]*Table1[[#This Row],[Unit_Price]]</f>
        <v>86082.933324018566</v>
      </c>
      <c r="L936" s="3">
        <v>2988.58</v>
      </c>
      <c r="M936" s="3">
        <f>Table1[[#This Row],[Gross_Sales]]-Table1[[#This Row],[Discount]]</f>
        <v>83094.353324018564</v>
      </c>
      <c r="N936" s="3">
        <v>47038.7</v>
      </c>
      <c r="O936" s="3">
        <v>2389.85</v>
      </c>
      <c r="P936" s="3">
        <v>4101.82</v>
      </c>
      <c r="Q936" s="3">
        <v>2427.9699999999998</v>
      </c>
      <c r="R936" s="3">
        <v>1262.18</v>
      </c>
      <c r="S936" s="3">
        <f>SUM(Table1[[#This Row],[Product_Cost]:[Other_Cost]])</f>
        <v>57220.52</v>
      </c>
      <c r="T936" s="3">
        <f>Table1[[#This Row],[Net_Sales]]-Table1[[#This Row],[Product_Cost]]</f>
        <v>36055.653324018567</v>
      </c>
      <c r="U936" s="3">
        <f>Table1[[#This Row],[Net_Sales]]-Table1[[#This Row],[Total_Cost]]</f>
        <v>25873.833324018568</v>
      </c>
      <c r="V936" s="4">
        <f>Table1[[#This Row],[Net_Profit]]/Table1[[#This Row],[Net_Sales]]</f>
        <v>0.31137896004949944</v>
      </c>
      <c r="W936" t="s">
        <v>33</v>
      </c>
      <c r="X936" t="s">
        <v>920</v>
      </c>
      <c r="Y936">
        <v>8</v>
      </c>
      <c r="Z936" t="str">
        <f>IF(Table1[[#This Row],[Month_No]]&lt;=6, "H1","H2")</f>
        <v>H2</v>
      </c>
    </row>
    <row r="937" spans="1:26" x14ac:dyDescent="0.25">
      <c r="A937" s="2">
        <v>45895</v>
      </c>
      <c r="B937" t="s">
        <v>1017</v>
      </c>
      <c r="C937" t="s">
        <v>117</v>
      </c>
      <c r="D937" t="s">
        <v>44</v>
      </c>
      <c r="E937" t="s">
        <v>45</v>
      </c>
      <c r="F937" t="s">
        <v>52</v>
      </c>
      <c r="G937" t="s">
        <v>86</v>
      </c>
      <c r="H937" t="s">
        <v>47</v>
      </c>
      <c r="I937">
        <v>82.394815228925111</v>
      </c>
      <c r="J937" s="3">
        <v>4606</v>
      </c>
      <c r="K937" s="3">
        <f>Table1[[#This Row],[Quantity]]*Table1[[#This Row],[Unit_Price]]</f>
        <v>379510.51894442906</v>
      </c>
      <c r="L937" s="3">
        <v>10125.48</v>
      </c>
      <c r="M937" s="3">
        <f>Table1[[#This Row],[Gross_Sales]]-Table1[[#This Row],[Discount]]</f>
        <v>369385.03894442908</v>
      </c>
      <c r="N937" s="3">
        <v>229404.98</v>
      </c>
      <c r="O937" s="3">
        <v>5868.48</v>
      </c>
      <c r="P937" s="3">
        <v>18191.41</v>
      </c>
      <c r="Q937" s="3">
        <v>8389.8700000000008</v>
      </c>
      <c r="R937" s="3">
        <v>4979.6400000000003</v>
      </c>
      <c r="S937" s="3">
        <f>SUM(Table1[[#This Row],[Product_Cost]:[Other_Cost]])</f>
        <v>266834.38</v>
      </c>
      <c r="T937" s="3">
        <f>Table1[[#This Row],[Net_Sales]]-Table1[[#This Row],[Product_Cost]]</f>
        <v>139980.05894442907</v>
      </c>
      <c r="U937" s="3">
        <f>Table1[[#This Row],[Net_Sales]]-Table1[[#This Row],[Total_Cost]]</f>
        <v>102550.65894442907</v>
      </c>
      <c r="V937" s="4">
        <f>Table1[[#This Row],[Net_Profit]]/Table1[[#This Row],[Net_Sales]]</f>
        <v>0.27762537226056133</v>
      </c>
      <c r="W937" t="s">
        <v>33</v>
      </c>
      <c r="X937" t="s">
        <v>920</v>
      </c>
      <c r="Y937">
        <v>8</v>
      </c>
      <c r="Z937" t="str">
        <f>IF(Table1[[#This Row],[Month_No]]&lt;=6, "H1","H2")</f>
        <v>H2</v>
      </c>
    </row>
    <row r="938" spans="1:26" x14ac:dyDescent="0.25">
      <c r="A938" s="2">
        <v>45895</v>
      </c>
      <c r="B938" t="s">
        <v>1018</v>
      </c>
      <c r="C938" t="s">
        <v>107</v>
      </c>
      <c r="D938" t="s">
        <v>81</v>
      </c>
      <c r="E938" t="s">
        <v>45</v>
      </c>
      <c r="F938" t="s">
        <v>52</v>
      </c>
      <c r="G938" t="s">
        <v>58</v>
      </c>
      <c r="H938" t="s">
        <v>32</v>
      </c>
      <c r="I938">
        <v>24.206510312243221</v>
      </c>
      <c r="J938" s="3">
        <v>7021.67</v>
      </c>
      <c r="K938" s="3">
        <f>Table1[[#This Row],[Quantity]]*Table1[[#This Row],[Unit_Price]]</f>
        <v>169970.12726416887</v>
      </c>
      <c r="L938" s="3">
        <v>7719.14</v>
      </c>
      <c r="M938" s="3">
        <f>Table1[[#This Row],[Gross_Sales]]-Table1[[#This Row],[Discount]]</f>
        <v>162250.98726416886</v>
      </c>
      <c r="N938" s="3">
        <v>82574.899999999994</v>
      </c>
      <c r="O938" s="3">
        <v>2712.99</v>
      </c>
      <c r="P938" s="3">
        <v>8739.11</v>
      </c>
      <c r="Q938" s="3">
        <v>3086.44</v>
      </c>
      <c r="R938" s="3">
        <v>2397.66</v>
      </c>
      <c r="S938" s="3">
        <f>SUM(Table1[[#This Row],[Product_Cost]:[Other_Cost]])</f>
        <v>99511.1</v>
      </c>
      <c r="T938" s="3">
        <f>Table1[[#This Row],[Net_Sales]]-Table1[[#This Row],[Product_Cost]]</f>
        <v>79676.087264168862</v>
      </c>
      <c r="U938" s="3">
        <f>Table1[[#This Row],[Net_Sales]]-Table1[[#This Row],[Total_Cost]]</f>
        <v>62739.88726416885</v>
      </c>
      <c r="V938" s="4">
        <f>Table1[[#This Row],[Net_Profit]]/Table1[[#This Row],[Net_Sales]]</f>
        <v>0.38668416335747119</v>
      </c>
      <c r="W938" t="s">
        <v>33</v>
      </c>
      <c r="X938" t="s">
        <v>920</v>
      </c>
      <c r="Y938">
        <v>8</v>
      </c>
      <c r="Z938" t="str">
        <f>IF(Table1[[#This Row],[Month_No]]&lt;=6, "H1","H2")</f>
        <v>H2</v>
      </c>
    </row>
    <row r="939" spans="1:26" x14ac:dyDescent="0.25">
      <c r="A939" s="2">
        <v>45896</v>
      </c>
      <c r="B939" t="s">
        <v>1019</v>
      </c>
      <c r="C939" t="s">
        <v>70</v>
      </c>
      <c r="D939" t="s">
        <v>85</v>
      </c>
      <c r="E939" t="s">
        <v>57</v>
      </c>
      <c r="F939" t="s">
        <v>52</v>
      </c>
      <c r="G939" t="s">
        <v>31</v>
      </c>
      <c r="H939" t="s">
        <v>59</v>
      </c>
      <c r="I939">
        <v>32.095173015055032</v>
      </c>
      <c r="J939" s="3">
        <v>2085.77</v>
      </c>
      <c r="K939" s="3">
        <f>Table1[[#This Row],[Quantity]]*Table1[[#This Row],[Unit_Price]]</f>
        <v>66943.14901961133</v>
      </c>
      <c r="L939" s="3">
        <v>2306.87</v>
      </c>
      <c r="M939" s="3">
        <f>Table1[[#This Row],[Gross_Sales]]-Table1[[#This Row],[Discount]]</f>
        <v>64636.279019611327</v>
      </c>
      <c r="N939" s="3">
        <v>40411.360000000001</v>
      </c>
      <c r="O939" s="3">
        <v>1104.47</v>
      </c>
      <c r="P939" s="3">
        <v>3655.14</v>
      </c>
      <c r="Q939" s="3">
        <v>1377.56</v>
      </c>
      <c r="R939" s="3">
        <v>1376.02</v>
      </c>
      <c r="S939" s="3">
        <f>SUM(Table1[[#This Row],[Product_Cost]:[Other_Cost]])</f>
        <v>47924.549999999996</v>
      </c>
      <c r="T939" s="3">
        <f>Table1[[#This Row],[Net_Sales]]-Table1[[#This Row],[Product_Cost]]</f>
        <v>24224.919019611327</v>
      </c>
      <c r="U939" s="3">
        <f>Table1[[#This Row],[Net_Sales]]-Table1[[#This Row],[Total_Cost]]</f>
        <v>16711.729019611332</v>
      </c>
      <c r="V939" s="4">
        <f>Table1[[#This Row],[Net_Profit]]/Table1[[#This Row],[Net_Sales]]</f>
        <v>0.25855029517619382</v>
      </c>
      <c r="W939" t="s">
        <v>33</v>
      </c>
      <c r="X939" t="s">
        <v>920</v>
      </c>
      <c r="Y939">
        <v>8</v>
      </c>
      <c r="Z939" t="str">
        <f>IF(Table1[[#This Row],[Month_No]]&lt;=6, "H1","H2")</f>
        <v>H2</v>
      </c>
    </row>
    <row r="940" spans="1:26" x14ac:dyDescent="0.25">
      <c r="A940" s="2">
        <v>45896</v>
      </c>
      <c r="B940" t="s">
        <v>1020</v>
      </c>
      <c r="C940" t="s">
        <v>83</v>
      </c>
      <c r="D940" t="s">
        <v>100</v>
      </c>
      <c r="E940" t="s">
        <v>75</v>
      </c>
      <c r="F940" t="s">
        <v>52</v>
      </c>
      <c r="G940" t="s">
        <v>76</v>
      </c>
      <c r="H940" t="s">
        <v>32</v>
      </c>
      <c r="I940">
        <v>37.755600521225389</v>
      </c>
      <c r="J940" s="3">
        <v>7040.8</v>
      </c>
      <c r="K940" s="3">
        <f>Table1[[#This Row],[Quantity]]*Table1[[#This Row],[Unit_Price]]</f>
        <v>265829.63214984373</v>
      </c>
      <c r="L940" s="3">
        <v>15800.47</v>
      </c>
      <c r="M940" s="3">
        <f>Table1[[#This Row],[Gross_Sales]]-Table1[[#This Row],[Discount]]</f>
        <v>250029.16214984373</v>
      </c>
      <c r="N940" s="3">
        <v>133117.79999999999</v>
      </c>
      <c r="O940" s="3">
        <v>3664.19</v>
      </c>
      <c r="P940" s="3">
        <v>15234.07</v>
      </c>
      <c r="Q940" s="3">
        <v>7439.92</v>
      </c>
      <c r="R940" s="3">
        <v>3707.93</v>
      </c>
      <c r="S940" s="3">
        <f>SUM(Table1[[#This Row],[Product_Cost]:[Other_Cost]])</f>
        <v>163163.91</v>
      </c>
      <c r="T940" s="3">
        <f>Table1[[#This Row],[Net_Sales]]-Table1[[#This Row],[Product_Cost]]</f>
        <v>116911.36214984374</v>
      </c>
      <c r="U940" s="3">
        <f>Table1[[#This Row],[Net_Sales]]-Table1[[#This Row],[Total_Cost]]</f>
        <v>86865.252149843727</v>
      </c>
      <c r="V940" s="4">
        <f>Table1[[#This Row],[Net_Profit]]/Table1[[#This Row],[Net_Sales]]</f>
        <v>0.34742048248669866</v>
      </c>
      <c r="W940" t="s">
        <v>33</v>
      </c>
      <c r="X940" t="s">
        <v>920</v>
      </c>
      <c r="Y940">
        <v>8</v>
      </c>
      <c r="Z940" t="str">
        <f>IF(Table1[[#This Row],[Month_No]]&lt;=6, "H1","H2")</f>
        <v>H2</v>
      </c>
    </row>
    <row r="941" spans="1:26" x14ac:dyDescent="0.25">
      <c r="A941" s="2">
        <v>45896</v>
      </c>
      <c r="B941" t="s">
        <v>1021</v>
      </c>
      <c r="C941" t="s">
        <v>117</v>
      </c>
      <c r="D941" t="s">
        <v>85</v>
      </c>
      <c r="E941" t="s">
        <v>57</v>
      </c>
      <c r="F941" t="s">
        <v>52</v>
      </c>
      <c r="G941" t="s">
        <v>40</v>
      </c>
      <c r="H941" t="s">
        <v>47</v>
      </c>
      <c r="I941">
        <v>82.160093941308119</v>
      </c>
      <c r="J941" s="3">
        <v>1914.01</v>
      </c>
      <c r="K941" s="3">
        <f>Table1[[#This Row],[Quantity]]*Table1[[#This Row],[Unit_Price]]</f>
        <v>157255.24140460315</v>
      </c>
      <c r="L941" s="3">
        <v>5651.85</v>
      </c>
      <c r="M941" s="3">
        <f>Table1[[#This Row],[Gross_Sales]]-Table1[[#This Row],[Discount]]</f>
        <v>151603.39140460314</v>
      </c>
      <c r="N941" s="3">
        <v>95722.29</v>
      </c>
      <c r="O941" s="3">
        <v>2866.64</v>
      </c>
      <c r="P941" s="3">
        <v>8814.07</v>
      </c>
      <c r="Q941" s="3">
        <v>3005.78</v>
      </c>
      <c r="R941" s="3">
        <v>3090.13</v>
      </c>
      <c r="S941" s="3">
        <f>SUM(Table1[[#This Row],[Product_Cost]:[Other_Cost]])</f>
        <v>113498.91</v>
      </c>
      <c r="T941" s="3">
        <f>Table1[[#This Row],[Net_Sales]]-Table1[[#This Row],[Product_Cost]]</f>
        <v>55881.101404603149</v>
      </c>
      <c r="U941" s="3">
        <f>Table1[[#This Row],[Net_Sales]]-Table1[[#This Row],[Total_Cost]]</f>
        <v>38104.481404603139</v>
      </c>
      <c r="V941" s="4">
        <f>Table1[[#This Row],[Net_Profit]]/Table1[[#This Row],[Net_Sales]]</f>
        <v>0.25134319919604498</v>
      </c>
      <c r="W941" t="s">
        <v>72</v>
      </c>
      <c r="X941" t="s">
        <v>920</v>
      </c>
      <c r="Y941">
        <v>8</v>
      </c>
      <c r="Z941" t="str">
        <f>IF(Table1[[#This Row],[Month_No]]&lt;=6, "H1","H2")</f>
        <v>H2</v>
      </c>
    </row>
    <row r="942" spans="1:26" x14ac:dyDescent="0.25">
      <c r="A942" s="2">
        <v>45898</v>
      </c>
      <c r="B942" t="s">
        <v>1022</v>
      </c>
      <c r="C942" t="s">
        <v>27</v>
      </c>
      <c r="D942" t="s">
        <v>74</v>
      </c>
      <c r="E942" t="s">
        <v>75</v>
      </c>
      <c r="F942" t="s">
        <v>30</v>
      </c>
      <c r="G942" t="s">
        <v>64</v>
      </c>
      <c r="H942" t="s">
        <v>59</v>
      </c>
      <c r="I942">
        <v>22.49884273016751</v>
      </c>
      <c r="J942" s="3">
        <v>5642.07</v>
      </c>
      <c r="K942" s="3">
        <f>Table1[[#This Row],[Quantity]]*Table1[[#This Row],[Unit_Price]]</f>
        <v>126940.0456025962</v>
      </c>
      <c r="L942" s="3">
        <v>5637.95</v>
      </c>
      <c r="M942" s="3">
        <f>Table1[[#This Row],[Gross_Sales]]-Table1[[#This Row],[Discount]]</f>
        <v>121302.09560259621</v>
      </c>
      <c r="N942" s="3">
        <v>84191.62</v>
      </c>
      <c r="O942" s="3">
        <v>3068.42</v>
      </c>
      <c r="P942" s="3">
        <v>6409.67</v>
      </c>
      <c r="Q942" s="3">
        <v>3460.94</v>
      </c>
      <c r="R942" s="3">
        <v>2512.13</v>
      </c>
      <c r="S942" s="3">
        <f>SUM(Table1[[#This Row],[Product_Cost]:[Other_Cost]])</f>
        <v>99642.78</v>
      </c>
      <c r="T942" s="3">
        <f>Table1[[#This Row],[Net_Sales]]-Table1[[#This Row],[Product_Cost]]</f>
        <v>37110.475602596212</v>
      </c>
      <c r="U942" s="3">
        <f>Table1[[#This Row],[Net_Sales]]-Table1[[#This Row],[Total_Cost]]</f>
        <v>21659.315602596209</v>
      </c>
      <c r="V942" s="4">
        <f>Table1[[#This Row],[Net_Profit]]/Table1[[#This Row],[Net_Sales]]</f>
        <v>0.1785568130129867</v>
      </c>
      <c r="W942" t="s">
        <v>33</v>
      </c>
      <c r="X942" t="s">
        <v>920</v>
      </c>
      <c r="Y942">
        <v>8</v>
      </c>
      <c r="Z942" t="str">
        <f>IF(Table1[[#This Row],[Month_No]]&lt;=6, "H1","H2")</f>
        <v>H2</v>
      </c>
    </row>
    <row r="943" spans="1:26" x14ac:dyDescent="0.25">
      <c r="A943" s="2">
        <v>45898</v>
      </c>
      <c r="B943" t="s">
        <v>1023</v>
      </c>
      <c r="C943" t="s">
        <v>27</v>
      </c>
      <c r="D943" t="s">
        <v>81</v>
      </c>
      <c r="E943" t="s">
        <v>45</v>
      </c>
      <c r="F943" t="s">
        <v>52</v>
      </c>
      <c r="G943" t="s">
        <v>76</v>
      </c>
      <c r="H943" t="s">
        <v>41</v>
      </c>
      <c r="I943">
        <v>19.028400839227668</v>
      </c>
      <c r="J943" s="3">
        <v>6624.19</v>
      </c>
      <c r="K943" s="3">
        <f>Table1[[#This Row],[Quantity]]*Table1[[#This Row],[Unit_Price]]</f>
        <v>126047.74255520351</v>
      </c>
      <c r="L943" s="3">
        <v>5322.11</v>
      </c>
      <c r="M943" s="3">
        <f>Table1[[#This Row],[Gross_Sales]]-Table1[[#This Row],[Discount]]</f>
        <v>120725.63255520351</v>
      </c>
      <c r="N943" s="3">
        <v>64068.3</v>
      </c>
      <c r="O943" s="3">
        <v>2567.7800000000002</v>
      </c>
      <c r="P943" s="3">
        <v>7356.17</v>
      </c>
      <c r="Q943" s="3">
        <v>3832.69</v>
      </c>
      <c r="R943" s="3">
        <v>1947.16</v>
      </c>
      <c r="S943" s="3">
        <f>SUM(Table1[[#This Row],[Product_Cost]:[Other_Cost]])</f>
        <v>79772.100000000006</v>
      </c>
      <c r="T943" s="3">
        <f>Table1[[#This Row],[Net_Sales]]-Table1[[#This Row],[Product_Cost]]</f>
        <v>56657.332555203509</v>
      </c>
      <c r="U943" s="3">
        <f>Table1[[#This Row],[Net_Sales]]-Table1[[#This Row],[Total_Cost]]</f>
        <v>40953.532555203506</v>
      </c>
      <c r="V943" s="4">
        <f>Table1[[#This Row],[Net_Profit]]/Table1[[#This Row],[Net_Sales]]</f>
        <v>0.33922814640442595</v>
      </c>
      <c r="W943" t="s">
        <v>72</v>
      </c>
      <c r="X943" t="s">
        <v>920</v>
      </c>
      <c r="Y943">
        <v>8</v>
      </c>
      <c r="Z943" t="str">
        <f>IF(Table1[[#This Row],[Month_No]]&lt;=6, "H1","H2")</f>
        <v>H2</v>
      </c>
    </row>
    <row r="944" spans="1:26" x14ac:dyDescent="0.25">
      <c r="A944" s="2">
        <v>45898</v>
      </c>
      <c r="B944" t="s">
        <v>1024</v>
      </c>
      <c r="C944" t="s">
        <v>27</v>
      </c>
      <c r="D944" t="s">
        <v>56</v>
      </c>
      <c r="E944" t="s">
        <v>57</v>
      </c>
      <c r="F944" t="s">
        <v>52</v>
      </c>
      <c r="G944" t="s">
        <v>86</v>
      </c>
      <c r="H944" t="s">
        <v>59</v>
      </c>
      <c r="I944">
        <v>51.60285439785816</v>
      </c>
      <c r="J944" s="3">
        <v>3189.66</v>
      </c>
      <c r="K944" s="3">
        <f>Table1[[#This Row],[Quantity]]*Table1[[#This Row],[Unit_Price]]</f>
        <v>164595.56055867224</v>
      </c>
      <c r="L944" s="3">
        <v>5528.85</v>
      </c>
      <c r="M944" s="3">
        <f>Table1[[#This Row],[Gross_Sales]]-Table1[[#This Row],[Discount]]</f>
        <v>159066.71055867223</v>
      </c>
      <c r="N944" s="3">
        <v>80056.639999999999</v>
      </c>
      <c r="O944" s="3">
        <v>2993.86</v>
      </c>
      <c r="P944" s="3">
        <v>8546.27</v>
      </c>
      <c r="Q944" s="3">
        <v>4964.55</v>
      </c>
      <c r="R944" s="3">
        <v>2467.65</v>
      </c>
      <c r="S944" s="3">
        <f>SUM(Table1[[#This Row],[Product_Cost]:[Other_Cost]])</f>
        <v>99028.97</v>
      </c>
      <c r="T944" s="3">
        <f>Table1[[#This Row],[Net_Sales]]-Table1[[#This Row],[Product_Cost]]</f>
        <v>79010.070558672232</v>
      </c>
      <c r="U944" s="3">
        <f>Table1[[#This Row],[Net_Sales]]-Table1[[#This Row],[Total_Cost]]</f>
        <v>60037.740558672231</v>
      </c>
      <c r="V944" s="4">
        <f>Table1[[#This Row],[Net_Profit]]/Table1[[#This Row],[Net_Sales]]</f>
        <v>0.37743749366418894</v>
      </c>
      <c r="W944" t="s">
        <v>33</v>
      </c>
      <c r="X944" t="s">
        <v>920</v>
      </c>
      <c r="Y944">
        <v>8</v>
      </c>
      <c r="Z944" t="str">
        <f>IF(Table1[[#This Row],[Month_No]]&lt;=6, "H1","H2")</f>
        <v>H2</v>
      </c>
    </row>
    <row r="945" spans="1:26" x14ac:dyDescent="0.25">
      <c r="A945" s="2">
        <v>45899</v>
      </c>
      <c r="B945" t="s">
        <v>1025</v>
      </c>
      <c r="C945" t="s">
        <v>83</v>
      </c>
      <c r="D945" t="s">
        <v>74</v>
      </c>
      <c r="E945" t="s">
        <v>75</v>
      </c>
      <c r="F945" t="s">
        <v>39</v>
      </c>
      <c r="G945" t="s">
        <v>61</v>
      </c>
      <c r="H945" t="s">
        <v>47</v>
      </c>
      <c r="I945">
        <v>57.079665539801027</v>
      </c>
      <c r="J945" s="3">
        <v>5627.57</v>
      </c>
      <c r="K945" s="3">
        <f>Table1[[#This Row],[Quantity]]*Table1[[#This Row],[Unit_Price]]</f>
        <v>321219.81340181804</v>
      </c>
      <c r="L945" s="3">
        <v>14522.4</v>
      </c>
      <c r="M945" s="3">
        <f>Table1[[#This Row],[Gross_Sales]]-Table1[[#This Row],[Discount]]</f>
        <v>306697.41340181802</v>
      </c>
      <c r="N945" s="3">
        <v>212804.34</v>
      </c>
      <c r="O945" s="3">
        <v>7989.64</v>
      </c>
      <c r="P945" s="3">
        <v>18890.91</v>
      </c>
      <c r="Q945" s="3">
        <v>7815.13</v>
      </c>
      <c r="R945" s="3">
        <v>4221.74</v>
      </c>
      <c r="S945" s="3">
        <f>SUM(Table1[[#This Row],[Product_Cost]:[Other_Cost]])</f>
        <v>251721.76</v>
      </c>
      <c r="T945" s="3">
        <f>Table1[[#This Row],[Net_Sales]]-Table1[[#This Row],[Product_Cost]]</f>
        <v>93893.073401818023</v>
      </c>
      <c r="U945" s="3">
        <f>Table1[[#This Row],[Net_Sales]]-Table1[[#This Row],[Total_Cost]]</f>
        <v>54975.65340181801</v>
      </c>
      <c r="V945" s="4">
        <f>Table1[[#This Row],[Net_Profit]]/Table1[[#This Row],[Net_Sales]]</f>
        <v>0.17925046315859189</v>
      </c>
      <c r="W945" t="s">
        <v>33</v>
      </c>
      <c r="X945" t="s">
        <v>920</v>
      </c>
      <c r="Y945">
        <v>8</v>
      </c>
      <c r="Z945" t="str">
        <f>IF(Table1[[#This Row],[Month_No]]&lt;=6, "H1","H2")</f>
        <v>H2</v>
      </c>
    </row>
    <row r="946" spans="1:26" x14ac:dyDescent="0.25">
      <c r="A946" s="2">
        <v>45899</v>
      </c>
      <c r="B946" t="s">
        <v>1026</v>
      </c>
      <c r="C946" t="s">
        <v>36</v>
      </c>
      <c r="D946" t="s">
        <v>50</v>
      </c>
      <c r="E946" t="s">
        <v>51</v>
      </c>
      <c r="F946" t="s">
        <v>52</v>
      </c>
      <c r="G946" t="s">
        <v>58</v>
      </c>
      <c r="H946" t="s">
        <v>41</v>
      </c>
      <c r="I946">
        <v>56.595964471620711</v>
      </c>
      <c r="J946" s="3">
        <v>925.19</v>
      </c>
      <c r="K946" s="3">
        <f>Table1[[#This Row],[Quantity]]*Table1[[#This Row],[Unit_Price]]</f>
        <v>52362.020369498772</v>
      </c>
      <c r="L946" s="3">
        <v>1729.25</v>
      </c>
      <c r="M946" s="3">
        <f>Table1[[#This Row],[Gross_Sales]]-Table1[[#This Row],[Discount]]</f>
        <v>50632.770369498772</v>
      </c>
      <c r="N946" s="3">
        <v>31038.75</v>
      </c>
      <c r="O946" s="3">
        <v>893.68</v>
      </c>
      <c r="P946" s="3">
        <v>2873.26</v>
      </c>
      <c r="Q946" s="3">
        <v>1555.44</v>
      </c>
      <c r="R946" s="3">
        <v>770.08</v>
      </c>
      <c r="S946" s="3">
        <f>SUM(Table1[[#This Row],[Product_Cost]:[Other_Cost]])</f>
        <v>37131.210000000006</v>
      </c>
      <c r="T946" s="3">
        <f>Table1[[#This Row],[Net_Sales]]-Table1[[#This Row],[Product_Cost]]</f>
        <v>19594.020369498772</v>
      </c>
      <c r="U946" s="3">
        <f>Table1[[#This Row],[Net_Sales]]-Table1[[#This Row],[Total_Cost]]</f>
        <v>13501.560369498766</v>
      </c>
      <c r="V946" s="4">
        <f>Table1[[#This Row],[Net_Profit]]/Table1[[#This Row],[Net_Sales]]</f>
        <v>0.2666565599900913</v>
      </c>
      <c r="W946" t="s">
        <v>72</v>
      </c>
      <c r="X946" t="s">
        <v>920</v>
      </c>
      <c r="Y946">
        <v>8</v>
      </c>
      <c r="Z946" t="str">
        <f>IF(Table1[[#This Row],[Month_No]]&lt;=6, "H1","H2")</f>
        <v>H2</v>
      </c>
    </row>
    <row r="947" spans="1:26" x14ac:dyDescent="0.25">
      <c r="A947" s="2">
        <v>45899</v>
      </c>
      <c r="B947" t="s">
        <v>1027</v>
      </c>
      <c r="C947" t="s">
        <v>83</v>
      </c>
      <c r="D947" t="s">
        <v>44</v>
      </c>
      <c r="E947" t="s">
        <v>45</v>
      </c>
      <c r="F947" t="s">
        <v>39</v>
      </c>
      <c r="G947" t="s">
        <v>61</v>
      </c>
      <c r="H947" t="s">
        <v>47</v>
      </c>
      <c r="I947">
        <v>83.25265671034937</v>
      </c>
      <c r="J947" s="3">
        <v>4501.22</v>
      </c>
      <c r="K947" s="3">
        <f>Table1[[#This Row],[Quantity]]*Table1[[#This Row],[Unit_Price]]</f>
        <v>374738.52343775879</v>
      </c>
      <c r="L947" s="3">
        <v>13037.9</v>
      </c>
      <c r="M947" s="3">
        <f>Table1[[#This Row],[Gross_Sales]]-Table1[[#This Row],[Discount]]</f>
        <v>361700.62343775877</v>
      </c>
      <c r="N947" s="3">
        <v>237473.22</v>
      </c>
      <c r="O947" s="3">
        <v>10484.959999999999</v>
      </c>
      <c r="P947" s="3">
        <v>20675.91</v>
      </c>
      <c r="Q947" s="3">
        <v>10450.92</v>
      </c>
      <c r="R947" s="3">
        <v>5866.24</v>
      </c>
      <c r="S947" s="3">
        <f>SUM(Table1[[#This Row],[Product_Cost]:[Other_Cost]])</f>
        <v>284951.24999999994</v>
      </c>
      <c r="T947" s="3">
        <f>Table1[[#This Row],[Net_Sales]]-Table1[[#This Row],[Product_Cost]]</f>
        <v>124227.40343775877</v>
      </c>
      <c r="U947" s="3">
        <f>Table1[[#This Row],[Net_Sales]]-Table1[[#This Row],[Total_Cost]]</f>
        <v>76749.373437758826</v>
      </c>
      <c r="V947" s="4">
        <f>Table1[[#This Row],[Net_Profit]]/Table1[[#This Row],[Net_Sales]]</f>
        <v>0.21219032665274301</v>
      </c>
      <c r="W947" t="s">
        <v>72</v>
      </c>
      <c r="X947" t="s">
        <v>920</v>
      </c>
      <c r="Y947">
        <v>8</v>
      </c>
      <c r="Z947" t="str">
        <f>IF(Table1[[#This Row],[Month_No]]&lt;=6, "H1","H2")</f>
        <v>H2</v>
      </c>
    </row>
    <row r="948" spans="1:26" x14ac:dyDescent="0.25">
      <c r="A948" s="2">
        <v>45900</v>
      </c>
      <c r="B948" t="s">
        <v>1028</v>
      </c>
      <c r="C948" t="s">
        <v>55</v>
      </c>
      <c r="D948" t="s">
        <v>37</v>
      </c>
      <c r="E948" t="s">
        <v>38</v>
      </c>
      <c r="F948" t="s">
        <v>52</v>
      </c>
      <c r="G948" t="s">
        <v>64</v>
      </c>
      <c r="H948" t="s">
        <v>41</v>
      </c>
      <c r="I948">
        <v>68.195599878208412</v>
      </c>
      <c r="J948" s="3">
        <v>4588.96</v>
      </c>
      <c r="K948" s="3">
        <f>Table1[[#This Row],[Quantity]]*Table1[[#This Row],[Unit_Price]]</f>
        <v>312946.88001710328</v>
      </c>
      <c r="L948" s="3">
        <v>15928.88</v>
      </c>
      <c r="M948" s="3">
        <f>Table1[[#This Row],[Gross_Sales]]-Table1[[#This Row],[Discount]]</f>
        <v>297018.00001710327</v>
      </c>
      <c r="N948" s="3">
        <v>195018.41</v>
      </c>
      <c r="O948" s="3">
        <v>4498.97</v>
      </c>
      <c r="P948" s="3">
        <v>17570.05</v>
      </c>
      <c r="Q948" s="3">
        <v>9030.3700000000008</v>
      </c>
      <c r="R948" s="3">
        <v>3580.22</v>
      </c>
      <c r="S948" s="3">
        <f>SUM(Table1[[#This Row],[Product_Cost]:[Other_Cost]])</f>
        <v>229698.02</v>
      </c>
      <c r="T948" s="3">
        <f>Table1[[#This Row],[Net_Sales]]-Table1[[#This Row],[Product_Cost]]</f>
        <v>101999.59001710327</v>
      </c>
      <c r="U948" s="3">
        <f>Table1[[#This Row],[Net_Sales]]-Table1[[#This Row],[Total_Cost]]</f>
        <v>67319.980017103284</v>
      </c>
      <c r="V948" s="4">
        <f>Table1[[#This Row],[Net_Profit]]/Table1[[#This Row],[Net_Sales]]</f>
        <v>0.22665286283399247</v>
      </c>
      <c r="W948" t="s">
        <v>33</v>
      </c>
      <c r="X948" t="s">
        <v>920</v>
      </c>
      <c r="Y948">
        <v>8</v>
      </c>
      <c r="Z948" t="str">
        <f>IF(Table1[[#This Row],[Month_No]]&lt;=6, "H1","H2")</f>
        <v>H2</v>
      </c>
    </row>
    <row r="949" spans="1:26" x14ac:dyDescent="0.25">
      <c r="A949" s="2">
        <v>45900</v>
      </c>
      <c r="B949" t="s">
        <v>1029</v>
      </c>
      <c r="C949" t="s">
        <v>107</v>
      </c>
      <c r="D949" t="s">
        <v>56</v>
      </c>
      <c r="E949" t="s">
        <v>57</v>
      </c>
      <c r="F949" t="s">
        <v>30</v>
      </c>
      <c r="G949" t="s">
        <v>76</v>
      </c>
      <c r="H949" t="s">
        <v>47</v>
      </c>
      <c r="I949">
        <v>66.47536310577911</v>
      </c>
      <c r="J949" s="3">
        <v>3369.45</v>
      </c>
      <c r="K949" s="3">
        <f>Table1[[#This Row],[Quantity]]*Table1[[#This Row],[Unit_Price]]</f>
        <v>223985.41221676741</v>
      </c>
      <c r="L949" s="3">
        <v>9156.35</v>
      </c>
      <c r="M949" s="3">
        <f>Table1[[#This Row],[Gross_Sales]]-Table1[[#This Row],[Discount]]</f>
        <v>214829.0622167674</v>
      </c>
      <c r="N949" s="3">
        <v>103854.99</v>
      </c>
      <c r="O949" s="3">
        <v>5968.12</v>
      </c>
      <c r="P949" s="3">
        <v>13002.61</v>
      </c>
      <c r="Q949" s="3">
        <v>3927.75</v>
      </c>
      <c r="R949" s="3">
        <v>3466.82</v>
      </c>
      <c r="S949" s="3">
        <f>SUM(Table1[[#This Row],[Product_Cost]:[Other_Cost]])</f>
        <v>130220.29000000001</v>
      </c>
      <c r="T949" s="3">
        <f>Table1[[#This Row],[Net_Sales]]-Table1[[#This Row],[Product_Cost]]</f>
        <v>110974.0722167674</v>
      </c>
      <c r="U949" s="3">
        <f>Table1[[#This Row],[Net_Sales]]-Table1[[#This Row],[Total_Cost]]</f>
        <v>84608.772216767393</v>
      </c>
      <c r="V949" s="4">
        <f>Table1[[#This Row],[Net_Profit]]/Table1[[#This Row],[Net_Sales]]</f>
        <v>0.39384230114729646</v>
      </c>
      <c r="W949" t="s">
        <v>33</v>
      </c>
      <c r="X949" t="s">
        <v>920</v>
      </c>
      <c r="Y949">
        <v>8</v>
      </c>
      <c r="Z949" t="str">
        <f>IF(Table1[[#This Row],[Month_No]]&lt;=6, "H1","H2")</f>
        <v>H2</v>
      </c>
    </row>
    <row r="950" spans="1:26" x14ac:dyDescent="0.25">
      <c r="A950" s="2">
        <v>45900</v>
      </c>
      <c r="B950" t="s">
        <v>1030</v>
      </c>
      <c r="C950" t="s">
        <v>49</v>
      </c>
      <c r="D950" t="s">
        <v>66</v>
      </c>
      <c r="E950" t="s">
        <v>51</v>
      </c>
      <c r="F950" t="s">
        <v>46</v>
      </c>
      <c r="G950" t="s">
        <v>71</v>
      </c>
      <c r="H950" t="s">
        <v>41</v>
      </c>
      <c r="I950">
        <v>55.786378905729627</v>
      </c>
      <c r="J950" s="3">
        <v>1493.97</v>
      </c>
      <c r="K950" s="3">
        <f>Table1[[#This Row],[Quantity]]*Table1[[#This Row],[Unit_Price]]</f>
        <v>83343.176493792897</v>
      </c>
      <c r="L950" s="3">
        <v>2796.91</v>
      </c>
      <c r="M950" s="3">
        <f>Table1[[#This Row],[Gross_Sales]]-Table1[[#This Row],[Discount]]</f>
        <v>80546.266493792893</v>
      </c>
      <c r="N950" s="3">
        <v>40145.879999999997</v>
      </c>
      <c r="O950" s="3">
        <v>1713.03</v>
      </c>
      <c r="P950" s="3">
        <v>4038.84</v>
      </c>
      <c r="Q950" s="3">
        <v>1678.17</v>
      </c>
      <c r="R950" s="3">
        <v>1770.45</v>
      </c>
      <c r="S950" s="3">
        <f>SUM(Table1[[#This Row],[Product_Cost]:[Other_Cost]])</f>
        <v>49346.369999999995</v>
      </c>
      <c r="T950" s="3">
        <f>Table1[[#This Row],[Net_Sales]]-Table1[[#This Row],[Product_Cost]]</f>
        <v>40400.386493792896</v>
      </c>
      <c r="U950" s="3">
        <f>Table1[[#This Row],[Net_Sales]]-Table1[[#This Row],[Total_Cost]]</f>
        <v>31199.896493792898</v>
      </c>
      <c r="V950" s="4">
        <f>Table1[[#This Row],[Net_Profit]]/Table1[[#This Row],[Net_Sales]]</f>
        <v>0.38735372664600465</v>
      </c>
      <c r="W950" t="s">
        <v>33</v>
      </c>
      <c r="X950" t="s">
        <v>920</v>
      </c>
      <c r="Y950">
        <v>8</v>
      </c>
      <c r="Z950" t="str">
        <f>IF(Table1[[#This Row],[Month_No]]&lt;=6, "H1","H2")</f>
        <v>H2</v>
      </c>
    </row>
    <row r="951" spans="1:26" x14ac:dyDescent="0.25">
      <c r="A951" s="2">
        <v>45900</v>
      </c>
      <c r="B951" t="s">
        <v>1031</v>
      </c>
      <c r="C951" t="s">
        <v>78</v>
      </c>
      <c r="D951" t="s">
        <v>183</v>
      </c>
      <c r="E951" t="s">
        <v>38</v>
      </c>
      <c r="F951" t="s">
        <v>46</v>
      </c>
      <c r="G951" t="s">
        <v>31</v>
      </c>
      <c r="H951" t="s">
        <v>41</v>
      </c>
      <c r="I951">
        <v>51.562424820268852</v>
      </c>
      <c r="J951" s="3">
        <v>6579.01</v>
      </c>
      <c r="K951" s="3">
        <f>Table1[[#This Row],[Quantity]]*Table1[[#This Row],[Unit_Price]]</f>
        <v>339229.70851679699</v>
      </c>
      <c r="L951" s="3">
        <v>11828.47</v>
      </c>
      <c r="M951" s="3">
        <f>Table1[[#This Row],[Gross_Sales]]-Table1[[#This Row],[Discount]]</f>
        <v>327401.23851679702</v>
      </c>
      <c r="N951" s="3">
        <v>175650.32</v>
      </c>
      <c r="O951" s="3">
        <v>6315.02</v>
      </c>
      <c r="P951" s="3">
        <v>16012.06</v>
      </c>
      <c r="Q951" s="3">
        <v>8306.18</v>
      </c>
      <c r="R951" s="3">
        <v>5865.77</v>
      </c>
      <c r="S951" s="3">
        <f>SUM(Table1[[#This Row],[Product_Cost]:[Other_Cost]])</f>
        <v>212149.34999999998</v>
      </c>
      <c r="T951" s="3">
        <f>Table1[[#This Row],[Net_Sales]]-Table1[[#This Row],[Product_Cost]]</f>
        <v>151750.91851679701</v>
      </c>
      <c r="U951" s="3">
        <f>Table1[[#This Row],[Net_Sales]]-Table1[[#This Row],[Total_Cost]]</f>
        <v>115251.88851679704</v>
      </c>
      <c r="V951" s="4">
        <f>Table1[[#This Row],[Net_Profit]]/Table1[[#This Row],[Net_Sales]]</f>
        <v>0.35202031928441879</v>
      </c>
      <c r="W951" t="s">
        <v>33</v>
      </c>
      <c r="X951" t="s">
        <v>920</v>
      </c>
      <c r="Y951">
        <v>8</v>
      </c>
      <c r="Z951" t="str">
        <f>IF(Table1[[#This Row],[Month_No]]&lt;=6, "H1","H2")</f>
        <v>H2</v>
      </c>
    </row>
    <row r="952" spans="1:26" x14ac:dyDescent="0.25">
      <c r="A952" s="2">
        <v>45900</v>
      </c>
      <c r="B952" t="s">
        <v>1032</v>
      </c>
      <c r="C952" t="s">
        <v>83</v>
      </c>
      <c r="D952" t="s">
        <v>66</v>
      </c>
      <c r="E952" t="s">
        <v>51</v>
      </c>
      <c r="F952" t="s">
        <v>52</v>
      </c>
      <c r="G952" t="s">
        <v>31</v>
      </c>
      <c r="H952" t="s">
        <v>47</v>
      </c>
      <c r="I952">
        <v>52.508272287207298</v>
      </c>
      <c r="J952" s="3">
        <v>1579</v>
      </c>
      <c r="K952" s="3">
        <f>Table1[[#This Row],[Quantity]]*Table1[[#This Row],[Unit_Price]]</f>
        <v>82910.561941500317</v>
      </c>
      <c r="L952" s="3">
        <v>3673.83</v>
      </c>
      <c r="M952" s="3">
        <f>Table1[[#This Row],[Gross_Sales]]-Table1[[#This Row],[Discount]]</f>
        <v>79236.731941500315</v>
      </c>
      <c r="N952" s="3">
        <v>39271.14</v>
      </c>
      <c r="O952" s="3">
        <v>1404.78</v>
      </c>
      <c r="P952" s="3">
        <v>4113.05</v>
      </c>
      <c r="Q952" s="3">
        <v>1524.49</v>
      </c>
      <c r="R952" s="3">
        <v>1272.6400000000001</v>
      </c>
      <c r="S952" s="3">
        <f>SUM(Table1[[#This Row],[Product_Cost]:[Other_Cost]])</f>
        <v>47586.1</v>
      </c>
      <c r="T952" s="3">
        <f>Table1[[#This Row],[Net_Sales]]-Table1[[#This Row],[Product_Cost]]</f>
        <v>39965.591941500315</v>
      </c>
      <c r="U952" s="3">
        <f>Table1[[#This Row],[Net_Sales]]-Table1[[#This Row],[Total_Cost]]</f>
        <v>31650.631941500316</v>
      </c>
      <c r="V952" s="4">
        <f>Table1[[#This Row],[Net_Profit]]/Table1[[#This Row],[Net_Sales]]</f>
        <v>0.39944393422065488</v>
      </c>
      <c r="W952" t="s">
        <v>33</v>
      </c>
      <c r="X952" t="s">
        <v>920</v>
      </c>
      <c r="Y952">
        <v>8</v>
      </c>
      <c r="Z952" t="str">
        <f>IF(Table1[[#This Row],[Month_No]]&lt;=6, "H1","H2")</f>
        <v>H2</v>
      </c>
    </row>
    <row r="953" spans="1:26" x14ac:dyDescent="0.25">
      <c r="A953" s="2">
        <v>45901</v>
      </c>
      <c r="B953" t="s">
        <v>1033</v>
      </c>
      <c r="C953" t="s">
        <v>55</v>
      </c>
      <c r="D953" t="s">
        <v>81</v>
      </c>
      <c r="E953" t="s">
        <v>45</v>
      </c>
      <c r="F953" t="s">
        <v>52</v>
      </c>
      <c r="G953" t="s">
        <v>61</v>
      </c>
      <c r="H953" t="s">
        <v>41</v>
      </c>
      <c r="I953">
        <v>60.072423021612821</v>
      </c>
      <c r="J953" s="3">
        <v>6680.98</v>
      </c>
      <c r="K953" s="3">
        <f>Table1[[#This Row],[Quantity]]*Table1[[#This Row],[Unit_Price]]</f>
        <v>401342.65675893478</v>
      </c>
      <c r="L953" s="3">
        <v>16821.259999999998</v>
      </c>
      <c r="M953" s="3">
        <f>Table1[[#This Row],[Gross_Sales]]-Table1[[#This Row],[Discount]]</f>
        <v>384521.39675893477</v>
      </c>
      <c r="N953" s="3">
        <v>191707.77</v>
      </c>
      <c r="O953" s="3">
        <v>6222.74</v>
      </c>
      <c r="P953" s="3">
        <v>19601.89</v>
      </c>
      <c r="Q953" s="3">
        <v>11680.37</v>
      </c>
      <c r="R953" s="3">
        <v>6333.5</v>
      </c>
      <c r="S953" s="3">
        <f>SUM(Table1[[#This Row],[Product_Cost]:[Other_Cost]])</f>
        <v>235546.26999999996</v>
      </c>
      <c r="T953" s="3">
        <f>Table1[[#This Row],[Net_Sales]]-Table1[[#This Row],[Product_Cost]]</f>
        <v>192813.62675893478</v>
      </c>
      <c r="U953" s="3">
        <f>Table1[[#This Row],[Net_Sales]]-Table1[[#This Row],[Total_Cost]]</f>
        <v>148975.12675893481</v>
      </c>
      <c r="V953" s="4">
        <f>Table1[[#This Row],[Net_Profit]]/Table1[[#This Row],[Net_Sales]]</f>
        <v>0.38743000523409288</v>
      </c>
      <c r="W953" t="s">
        <v>33</v>
      </c>
      <c r="X953" t="s">
        <v>1034</v>
      </c>
      <c r="Y953">
        <v>9</v>
      </c>
      <c r="Z953" t="str">
        <f>IF(Table1[[#This Row],[Month_No]]&lt;=6, "H1","H2")</f>
        <v>H2</v>
      </c>
    </row>
    <row r="954" spans="1:26" x14ac:dyDescent="0.25">
      <c r="A954" s="2">
        <v>45901</v>
      </c>
      <c r="B954" t="s">
        <v>1035</v>
      </c>
      <c r="C954" t="s">
        <v>117</v>
      </c>
      <c r="D954" t="s">
        <v>66</v>
      </c>
      <c r="E954" t="s">
        <v>51</v>
      </c>
      <c r="F954" t="s">
        <v>52</v>
      </c>
      <c r="G954" t="s">
        <v>64</v>
      </c>
      <c r="H954" t="s">
        <v>47</v>
      </c>
      <c r="I954">
        <v>25.15425808312202</v>
      </c>
      <c r="J954" s="3">
        <v>1587.35</v>
      </c>
      <c r="K954" s="3">
        <f>Table1[[#This Row],[Quantity]]*Table1[[#This Row],[Unit_Price]]</f>
        <v>39928.611568243738</v>
      </c>
      <c r="L954" s="3">
        <v>1082.54</v>
      </c>
      <c r="M954" s="3">
        <f>Table1[[#This Row],[Gross_Sales]]-Table1[[#This Row],[Discount]]</f>
        <v>38846.071568243737</v>
      </c>
      <c r="N954" s="3">
        <v>18532.96</v>
      </c>
      <c r="O954" s="3">
        <v>688.88</v>
      </c>
      <c r="P954" s="3">
        <v>2308.4</v>
      </c>
      <c r="Q954" s="3">
        <v>849.16</v>
      </c>
      <c r="R954" s="3">
        <v>560.25</v>
      </c>
      <c r="S954" s="3">
        <f>SUM(Table1[[#This Row],[Product_Cost]:[Other_Cost]])</f>
        <v>22939.65</v>
      </c>
      <c r="T954" s="3">
        <f>Table1[[#This Row],[Net_Sales]]-Table1[[#This Row],[Product_Cost]]</f>
        <v>20313.111568243738</v>
      </c>
      <c r="U954" s="3">
        <f>Table1[[#This Row],[Net_Sales]]-Table1[[#This Row],[Total_Cost]]</f>
        <v>15906.421568243735</v>
      </c>
      <c r="V954" s="4">
        <f>Table1[[#This Row],[Net_Profit]]/Table1[[#This Row],[Net_Sales]]</f>
        <v>0.40947310567298317</v>
      </c>
      <c r="W954" t="s">
        <v>33</v>
      </c>
      <c r="X954" t="s">
        <v>1034</v>
      </c>
      <c r="Y954">
        <v>9</v>
      </c>
      <c r="Z954" t="str">
        <f>IF(Table1[[#This Row],[Month_No]]&lt;=6, "H1","H2")</f>
        <v>H2</v>
      </c>
    </row>
    <row r="955" spans="1:26" x14ac:dyDescent="0.25">
      <c r="A955" s="2">
        <v>45901</v>
      </c>
      <c r="B955" t="s">
        <v>1036</v>
      </c>
      <c r="C955" t="s">
        <v>70</v>
      </c>
      <c r="D955" t="s">
        <v>68</v>
      </c>
      <c r="E955" t="s">
        <v>29</v>
      </c>
      <c r="F955" t="s">
        <v>52</v>
      </c>
      <c r="G955" t="s">
        <v>40</v>
      </c>
      <c r="H955" t="s">
        <v>59</v>
      </c>
      <c r="I955">
        <v>118.0505117188753</v>
      </c>
      <c r="J955" s="3">
        <v>406.58</v>
      </c>
      <c r="K955" s="3">
        <f>Table1[[#This Row],[Quantity]]*Table1[[#This Row],[Unit_Price]]</f>
        <v>47996.977054660318</v>
      </c>
      <c r="L955" s="3">
        <v>1423.36</v>
      </c>
      <c r="M955" s="3">
        <f>Table1[[#This Row],[Gross_Sales]]-Table1[[#This Row],[Discount]]</f>
        <v>46573.617054660317</v>
      </c>
      <c r="N955" s="3">
        <v>34918.79</v>
      </c>
      <c r="O955" s="3">
        <v>857.99</v>
      </c>
      <c r="P955" s="3">
        <v>2624.83</v>
      </c>
      <c r="Q955" s="3">
        <v>1261.97</v>
      </c>
      <c r="R955" s="3">
        <v>813.15</v>
      </c>
      <c r="S955" s="3">
        <f>SUM(Table1[[#This Row],[Product_Cost]:[Other_Cost]])</f>
        <v>40476.730000000003</v>
      </c>
      <c r="T955" s="3">
        <f>Table1[[#This Row],[Net_Sales]]-Table1[[#This Row],[Product_Cost]]</f>
        <v>11654.827054660316</v>
      </c>
      <c r="U955" s="3">
        <f>Table1[[#This Row],[Net_Sales]]-Table1[[#This Row],[Total_Cost]]</f>
        <v>6096.8870546603139</v>
      </c>
      <c r="V955" s="4">
        <f>Table1[[#This Row],[Net_Profit]]/Table1[[#This Row],[Net_Sales]]</f>
        <v>0.13090860105421506</v>
      </c>
      <c r="W955" t="s">
        <v>33</v>
      </c>
      <c r="X955" t="s">
        <v>1034</v>
      </c>
      <c r="Y955">
        <v>9</v>
      </c>
      <c r="Z955" t="str">
        <f>IF(Table1[[#This Row],[Month_No]]&lt;=6, "H1","H2")</f>
        <v>H2</v>
      </c>
    </row>
    <row r="956" spans="1:26" x14ac:dyDescent="0.25">
      <c r="A956" s="2">
        <v>45902</v>
      </c>
      <c r="B956" t="s">
        <v>1037</v>
      </c>
      <c r="C956" t="s">
        <v>27</v>
      </c>
      <c r="D956" t="s">
        <v>66</v>
      </c>
      <c r="E956" t="s">
        <v>51</v>
      </c>
      <c r="F956" t="s">
        <v>46</v>
      </c>
      <c r="G956" t="s">
        <v>76</v>
      </c>
      <c r="H956" t="s">
        <v>47</v>
      </c>
      <c r="I956">
        <v>42.368507813111798</v>
      </c>
      <c r="J956" s="3">
        <v>1623.32</v>
      </c>
      <c r="K956" s="3">
        <f>Table1[[#This Row],[Quantity]]*Table1[[#This Row],[Unit_Price]]</f>
        <v>68777.646103180639</v>
      </c>
      <c r="L956" s="3">
        <v>1720.67</v>
      </c>
      <c r="M956" s="3">
        <f>Table1[[#This Row],[Gross_Sales]]-Table1[[#This Row],[Discount]]</f>
        <v>67056.976103180641</v>
      </c>
      <c r="N956" s="3">
        <v>31495.53</v>
      </c>
      <c r="O956" s="3">
        <v>1309.6600000000001</v>
      </c>
      <c r="P956" s="3">
        <v>3412.54</v>
      </c>
      <c r="Q956" s="3">
        <v>1413.51</v>
      </c>
      <c r="R956" s="3">
        <v>1199.5</v>
      </c>
      <c r="S956" s="3">
        <f>SUM(Table1[[#This Row],[Product_Cost]:[Other_Cost]])</f>
        <v>38830.740000000005</v>
      </c>
      <c r="T956" s="3">
        <f>Table1[[#This Row],[Net_Sales]]-Table1[[#This Row],[Product_Cost]]</f>
        <v>35561.446103180642</v>
      </c>
      <c r="U956" s="3">
        <f>Table1[[#This Row],[Net_Sales]]-Table1[[#This Row],[Total_Cost]]</f>
        <v>28226.236103180636</v>
      </c>
      <c r="V956" s="4">
        <f>Table1[[#This Row],[Net_Profit]]/Table1[[#This Row],[Net_Sales]]</f>
        <v>0.42092915224433763</v>
      </c>
      <c r="W956" t="s">
        <v>33</v>
      </c>
      <c r="X956" t="s">
        <v>1034</v>
      </c>
      <c r="Y956">
        <v>9</v>
      </c>
      <c r="Z956" t="str">
        <f>IF(Table1[[#This Row],[Month_No]]&lt;=6, "H1","H2")</f>
        <v>H2</v>
      </c>
    </row>
    <row r="957" spans="1:26" x14ac:dyDescent="0.25">
      <c r="A957" s="2">
        <v>45902</v>
      </c>
      <c r="B957" t="s">
        <v>1038</v>
      </c>
      <c r="C957" t="s">
        <v>70</v>
      </c>
      <c r="D957" t="s">
        <v>28</v>
      </c>
      <c r="E957" t="s">
        <v>29</v>
      </c>
      <c r="F957" t="s">
        <v>52</v>
      </c>
      <c r="G957" t="s">
        <v>71</v>
      </c>
      <c r="H957" t="s">
        <v>59</v>
      </c>
      <c r="I957">
        <v>96.627794798945516</v>
      </c>
      <c r="J957" s="3">
        <v>1222.82</v>
      </c>
      <c r="K957" s="3">
        <f>Table1[[#This Row],[Quantity]]*Table1[[#This Row],[Unit_Price]]</f>
        <v>118158.40003604654</v>
      </c>
      <c r="L957" s="3">
        <v>3824.24</v>
      </c>
      <c r="M957" s="3">
        <f>Table1[[#This Row],[Gross_Sales]]-Table1[[#This Row],[Discount]]</f>
        <v>114334.16003604654</v>
      </c>
      <c r="N957" s="3">
        <v>57219.49</v>
      </c>
      <c r="O957" s="3">
        <v>1732.04</v>
      </c>
      <c r="P957" s="3">
        <v>6682.8</v>
      </c>
      <c r="Q957" s="3">
        <v>3588.23</v>
      </c>
      <c r="R957" s="3">
        <v>2279.3200000000002</v>
      </c>
      <c r="S957" s="3">
        <f>SUM(Table1[[#This Row],[Product_Cost]:[Other_Cost]])</f>
        <v>71501.88</v>
      </c>
      <c r="T957" s="3">
        <f>Table1[[#This Row],[Net_Sales]]-Table1[[#This Row],[Product_Cost]]</f>
        <v>57114.67003604654</v>
      </c>
      <c r="U957" s="3">
        <f>Table1[[#This Row],[Net_Sales]]-Table1[[#This Row],[Total_Cost]]</f>
        <v>42832.280036046533</v>
      </c>
      <c r="V957" s="4">
        <f>Table1[[#This Row],[Net_Profit]]/Table1[[#This Row],[Net_Sales]]</f>
        <v>0.37462364723318603</v>
      </c>
      <c r="W957" t="s">
        <v>33</v>
      </c>
      <c r="X957" t="s">
        <v>1034</v>
      </c>
      <c r="Y957">
        <v>9</v>
      </c>
      <c r="Z957" t="str">
        <f>IF(Table1[[#This Row],[Month_No]]&lt;=6, "H1","H2")</f>
        <v>H2</v>
      </c>
    </row>
    <row r="958" spans="1:26" x14ac:dyDescent="0.25">
      <c r="A958" s="2">
        <v>45902</v>
      </c>
      <c r="B958" t="s">
        <v>1039</v>
      </c>
      <c r="C958" t="s">
        <v>55</v>
      </c>
      <c r="D958" t="s">
        <v>44</v>
      </c>
      <c r="E958" t="s">
        <v>45</v>
      </c>
      <c r="F958" t="s">
        <v>52</v>
      </c>
      <c r="G958" t="s">
        <v>71</v>
      </c>
      <c r="H958" t="s">
        <v>32</v>
      </c>
      <c r="I958">
        <v>31.372927028034962</v>
      </c>
      <c r="J958" s="3">
        <v>4809.45</v>
      </c>
      <c r="K958" s="3">
        <f>Table1[[#This Row],[Quantity]]*Table1[[#This Row],[Unit_Price]]</f>
        <v>150886.52389498273</v>
      </c>
      <c r="L958" s="3">
        <v>6304.67</v>
      </c>
      <c r="M958" s="3">
        <f>Table1[[#This Row],[Gross_Sales]]-Table1[[#This Row],[Discount]]</f>
        <v>144581.85389498272</v>
      </c>
      <c r="N958" s="3">
        <v>92582.43</v>
      </c>
      <c r="O958" s="3">
        <v>3015.3</v>
      </c>
      <c r="P958" s="3">
        <v>8539.7999999999993</v>
      </c>
      <c r="Q958" s="3">
        <v>3851.71</v>
      </c>
      <c r="R958" s="3">
        <v>2341.89</v>
      </c>
      <c r="S958" s="3">
        <f>SUM(Table1[[#This Row],[Product_Cost]:[Other_Cost]])</f>
        <v>110331.13</v>
      </c>
      <c r="T958" s="3">
        <f>Table1[[#This Row],[Net_Sales]]-Table1[[#This Row],[Product_Cost]]</f>
        <v>51999.423894982727</v>
      </c>
      <c r="U958" s="3">
        <f>Table1[[#This Row],[Net_Sales]]-Table1[[#This Row],[Total_Cost]]</f>
        <v>34250.723894982715</v>
      </c>
      <c r="V958" s="4">
        <f>Table1[[#This Row],[Net_Profit]]/Table1[[#This Row],[Net_Sales]]</f>
        <v>0.23689503884671992</v>
      </c>
      <c r="W958" t="s">
        <v>33</v>
      </c>
      <c r="X958" t="s">
        <v>1034</v>
      </c>
      <c r="Y958">
        <v>9</v>
      </c>
      <c r="Z958" t="str">
        <f>IF(Table1[[#This Row],[Month_No]]&lt;=6, "H1","H2")</f>
        <v>H2</v>
      </c>
    </row>
    <row r="959" spans="1:26" x14ac:dyDescent="0.25">
      <c r="A959" s="2">
        <v>45902</v>
      </c>
      <c r="B959" t="s">
        <v>1040</v>
      </c>
      <c r="C959" t="s">
        <v>63</v>
      </c>
      <c r="D959" t="s">
        <v>50</v>
      </c>
      <c r="E959" t="s">
        <v>51</v>
      </c>
      <c r="F959" t="s">
        <v>52</v>
      </c>
      <c r="G959" t="s">
        <v>76</v>
      </c>
      <c r="H959" t="s">
        <v>47</v>
      </c>
      <c r="I959">
        <v>61.157656151725071</v>
      </c>
      <c r="J959" s="3">
        <v>875.24</v>
      </c>
      <c r="K959" s="3">
        <f>Table1[[#This Row],[Quantity]]*Table1[[#This Row],[Unit_Price]]</f>
        <v>53527.626970235855</v>
      </c>
      <c r="L959" s="3">
        <v>2036.35</v>
      </c>
      <c r="M959" s="3">
        <f>Table1[[#This Row],[Gross_Sales]]-Table1[[#This Row],[Discount]]</f>
        <v>51491.276970235856</v>
      </c>
      <c r="N959" s="3">
        <v>30664.67</v>
      </c>
      <c r="O959" s="3">
        <v>755.21</v>
      </c>
      <c r="P959" s="3">
        <v>2491.33</v>
      </c>
      <c r="Q959" s="3">
        <v>1195.72</v>
      </c>
      <c r="R959" s="3">
        <v>1125.3699999999999</v>
      </c>
      <c r="S959" s="3">
        <f>SUM(Table1[[#This Row],[Product_Cost]:[Other_Cost]])</f>
        <v>36232.300000000003</v>
      </c>
      <c r="T959" s="3">
        <f>Table1[[#This Row],[Net_Sales]]-Table1[[#This Row],[Product_Cost]]</f>
        <v>20826.606970235858</v>
      </c>
      <c r="U959" s="3">
        <f>Table1[[#This Row],[Net_Sales]]-Table1[[#This Row],[Total_Cost]]</f>
        <v>15258.976970235854</v>
      </c>
      <c r="V959" s="4">
        <f>Table1[[#This Row],[Net_Profit]]/Table1[[#This Row],[Net_Sales]]</f>
        <v>0.29634100896460946</v>
      </c>
      <c r="W959" t="s">
        <v>33</v>
      </c>
      <c r="X959" t="s">
        <v>1034</v>
      </c>
      <c r="Y959">
        <v>9</v>
      </c>
      <c r="Z959" t="str">
        <f>IF(Table1[[#This Row],[Month_No]]&lt;=6, "H1","H2")</f>
        <v>H2</v>
      </c>
    </row>
    <row r="960" spans="1:26" x14ac:dyDescent="0.25">
      <c r="A960" s="2">
        <v>45902</v>
      </c>
      <c r="B960" t="s">
        <v>1041</v>
      </c>
      <c r="C960" t="s">
        <v>63</v>
      </c>
      <c r="D960" t="s">
        <v>50</v>
      </c>
      <c r="E960" t="s">
        <v>51</v>
      </c>
      <c r="F960" t="s">
        <v>52</v>
      </c>
      <c r="G960" t="s">
        <v>64</v>
      </c>
      <c r="H960" t="s">
        <v>41</v>
      </c>
      <c r="I960">
        <v>39.25917396860752</v>
      </c>
      <c r="J960" s="3">
        <v>881.2</v>
      </c>
      <c r="K960" s="3">
        <f>Table1[[#This Row],[Quantity]]*Table1[[#This Row],[Unit_Price]]</f>
        <v>34595.184101136947</v>
      </c>
      <c r="L960" s="3">
        <v>1406.41</v>
      </c>
      <c r="M960" s="3">
        <f>Table1[[#This Row],[Gross_Sales]]-Table1[[#This Row],[Discount]]</f>
        <v>33188.774101136944</v>
      </c>
      <c r="N960" s="3">
        <v>19911.97</v>
      </c>
      <c r="O960" s="3">
        <v>593.13</v>
      </c>
      <c r="P960" s="3">
        <v>1680.28</v>
      </c>
      <c r="Q960" s="3">
        <v>673.76</v>
      </c>
      <c r="R960" s="3">
        <v>623.96</v>
      </c>
      <c r="S960" s="3">
        <f>SUM(Table1[[#This Row],[Product_Cost]:[Other_Cost]])</f>
        <v>23483.1</v>
      </c>
      <c r="T960" s="3">
        <f>Table1[[#This Row],[Net_Sales]]-Table1[[#This Row],[Product_Cost]]</f>
        <v>13276.804101136942</v>
      </c>
      <c r="U960" s="3">
        <f>Table1[[#This Row],[Net_Sales]]-Table1[[#This Row],[Total_Cost]]</f>
        <v>9705.674101136945</v>
      </c>
      <c r="V960" s="4">
        <f>Table1[[#This Row],[Net_Profit]]/Table1[[#This Row],[Net_Sales]]</f>
        <v>0.29243846342623603</v>
      </c>
      <c r="W960" t="s">
        <v>72</v>
      </c>
      <c r="X960" t="s">
        <v>1034</v>
      </c>
      <c r="Y960">
        <v>9</v>
      </c>
      <c r="Z960" t="str">
        <f>IF(Table1[[#This Row],[Month_No]]&lt;=6, "H1","H2")</f>
        <v>H2</v>
      </c>
    </row>
    <row r="961" spans="1:26" x14ac:dyDescent="0.25">
      <c r="A961" s="2">
        <v>45902</v>
      </c>
      <c r="B961" t="s">
        <v>1042</v>
      </c>
      <c r="C961" t="s">
        <v>49</v>
      </c>
      <c r="D961" t="s">
        <v>183</v>
      </c>
      <c r="E961" t="s">
        <v>38</v>
      </c>
      <c r="F961" t="s">
        <v>46</v>
      </c>
      <c r="G961" t="s">
        <v>58</v>
      </c>
      <c r="H961" t="s">
        <v>59</v>
      </c>
      <c r="I961">
        <v>35.433585072893862</v>
      </c>
      <c r="J961" s="3">
        <v>6704.63</v>
      </c>
      <c r="K961" s="3">
        <f>Table1[[#This Row],[Quantity]]*Table1[[#This Row],[Unit_Price]]</f>
        <v>237569.07748727637</v>
      </c>
      <c r="L961" s="3">
        <v>6716.9</v>
      </c>
      <c r="M961" s="3">
        <f>Table1[[#This Row],[Gross_Sales]]-Table1[[#This Row],[Discount]]</f>
        <v>230852.17748727638</v>
      </c>
      <c r="N961" s="3">
        <v>122081.02</v>
      </c>
      <c r="O961" s="3">
        <v>4081.39</v>
      </c>
      <c r="P961" s="3">
        <v>13597.91</v>
      </c>
      <c r="Q961" s="3">
        <v>4585.92</v>
      </c>
      <c r="R961" s="3">
        <v>4583.32</v>
      </c>
      <c r="S961" s="3">
        <f>SUM(Table1[[#This Row],[Product_Cost]:[Other_Cost]])</f>
        <v>148929.56000000003</v>
      </c>
      <c r="T961" s="3">
        <f>Table1[[#This Row],[Net_Sales]]-Table1[[#This Row],[Product_Cost]]</f>
        <v>108771.15748727637</v>
      </c>
      <c r="U961" s="3">
        <f>Table1[[#This Row],[Net_Sales]]-Table1[[#This Row],[Total_Cost]]</f>
        <v>81922.617487276351</v>
      </c>
      <c r="V961" s="4">
        <f>Table1[[#This Row],[Net_Profit]]/Table1[[#This Row],[Net_Sales]]</f>
        <v>0.35487045597302885</v>
      </c>
      <c r="W961" t="s">
        <v>33</v>
      </c>
      <c r="X961" t="s">
        <v>1034</v>
      </c>
      <c r="Y961">
        <v>9</v>
      </c>
      <c r="Z961" t="str">
        <f>IF(Table1[[#This Row],[Month_No]]&lt;=6, "H1","H2")</f>
        <v>H2</v>
      </c>
    </row>
    <row r="962" spans="1:26" x14ac:dyDescent="0.25">
      <c r="A962" s="2">
        <v>45902</v>
      </c>
      <c r="B962" t="s">
        <v>1043</v>
      </c>
      <c r="C962" t="s">
        <v>36</v>
      </c>
      <c r="D962" t="s">
        <v>85</v>
      </c>
      <c r="E962" t="s">
        <v>57</v>
      </c>
      <c r="F962" t="s">
        <v>52</v>
      </c>
      <c r="G962" t="s">
        <v>76</v>
      </c>
      <c r="H962" t="s">
        <v>47</v>
      </c>
      <c r="I962">
        <v>93.889670048883119</v>
      </c>
      <c r="J962" s="3">
        <v>2102.7600000000002</v>
      </c>
      <c r="K962" s="3">
        <f>Table1[[#This Row],[Quantity]]*Table1[[#This Row],[Unit_Price]]</f>
        <v>197427.4425919895</v>
      </c>
      <c r="L962" s="3">
        <v>6089.66</v>
      </c>
      <c r="M962" s="3">
        <f>Table1[[#This Row],[Gross_Sales]]-Table1[[#This Row],[Discount]]</f>
        <v>191337.7825919895</v>
      </c>
      <c r="N962" s="3">
        <v>124375.46</v>
      </c>
      <c r="O962" s="3">
        <v>3268.7</v>
      </c>
      <c r="P962" s="3">
        <v>11544.21</v>
      </c>
      <c r="Q962" s="3">
        <v>3748.56</v>
      </c>
      <c r="R962" s="3">
        <v>3989.45</v>
      </c>
      <c r="S962" s="3">
        <f>SUM(Table1[[#This Row],[Product_Cost]:[Other_Cost]])</f>
        <v>146926.38</v>
      </c>
      <c r="T962" s="3">
        <f>Table1[[#This Row],[Net_Sales]]-Table1[[#This Row],[Product_Cost]]</f>
        <v>66962.32259198949</v>
      </c>
      <c r="U962" s="3">
        <f>Table1[[#This Row],[Net_Sales]]-Table1[[#This Row],[Total_Cost]]</f>
        <v>44411.402591989492</v>
      </c>
      <c r="V962" s="4">
        <f>Table1[[#This Row],[Net_Profit]]/Table1[[#This Row],[Net_Sales]]</f>
        <v>0.23210994708082716</v>
      </c>
      <c r="W962" t="s">
        <v>33</v>
      </c>
      <c r="X962" t="s">
        <v>1034</v>
      </c>
      <c r="Y962">
        <v>9</v>
      </c>
      <c r="Z962" t="str">
        <f>IF(Table1[[#This Row],[Month_No]]&lt;=6, "H1","H2")</f>
        <v>H2</v>
      </c>
    </row>
    <row r="963" spans="1:26" x14ac:dyDescent="0.25">
      <c r="A963" s="2">
        <v>45903</v>
      </c>
      <c r="B963" t="s">
        <v>1044</v>
      </c>
      <c r="C963" t="s">
        <v>107</v>
      </c>
      <c r="D963" t="s">
        <v>68</v>
      </c>
      <c r="E963" t="s">
        <v>29</v>
      </c>
      <c r="F963" t="s">
        <v>30</v>
      </c>
      <c r="G963" t="s">
        <v>86</v>
      </c>
      <c r="H963" t="s">
        <v>41</v>
      </c>
      <c r="I963">
        <v>109.6217200894895</v>
      </c>
      <c r="J963" s="3">
        <v>388.85</v>
      </c>
      <c r="K963" s="3">
        <f>Table1[[#This Row],[Quantity]]*Table1[[#This Row],[Unit_Price]]</f>
        <v>42626.405856797996</v>
      </c>
      <c r="L963" s="3">
        <v>1681.48</v>
      </c>
      <c r="M963" s="3">
        <f>Table1[[#This Row],[Gross_Sales]]-Table1[[#This Row],[Discount]]</f>
        <v>40944.925856797992</v>
      </c>
      <c r="N963" s="3">
        <v>27636.58</v>
      </c>
      <c r="O963" s="3">
        <v>972.55</v>
      </c>
      <c r="P963" s="3">
        <v>2417.62</v>
      </c>
      <c r="Q963" s="3">
        <v>1308.73</v>
      </c>
      <c r="R963" s="3">
        <v>872.78</v>
      </c>
      <c r="S963" s="3">
        <f>SUM(Table1[[#This Row],[Product_Cost]:[Other_Cost]])</f>
        <v>33208.26</v>
      </c>
      <c r="T963" s="3">
        <f>Table1[[#This Row],[Net_Sales]]-Table1[[#This Row],[Product_Cost]]</f>
        <v>13308.345856797991</v>
      </c>
      <c r="U963" s="3">
        <f>Table1[[#This Row],[Net_Sales]]-Table1[[#This Row],[Total_Cost]]</f>
        <v>7736.6658567979903</v>
      </c>
      <c r="V963" s="4">
        <f>Table1[[#This Row],[Net_Profit]]/Table1[[#This Row],[Net_Sales]]</f>
        <v>0.18895298244906919</v>
      </c>
      <c r="W963" t="s">
        <v>33</v>
      </c>
      <c r="X963" t="s">
        <v>1034</v>
      </c>
      <c r="Y963">
        <v>9</v>
      </c>
      <c r="Z963" t="str">
        <f>IF(Table1[[#This Row],[Month_No]]&lt;=6, "H1","H2")</f>
        <v>H2</v>
      </c>
    </row>
    <row r="964" spans="1:26" x14ac:dyDescent="0.25">
      <c r="A964" s="2">
        <v>45903</v>
      </c>
      <c r="B964" t="s">
        <v>1045</v>
      </c>
      <c r="C964" t="s">
        <v>55</v>
      </c>
      <c r="D964" t="s">
        <v>66</v>
      </c>
      <c r="E964" t="s">
        <v>51</v>
      </c>
      <c r="F964" t="s">
        <v>52</v>
      </c>
      <c r="G964" t="s">
        <v>31</v>
      </c>
      <c r="H964" t="s">
        <v>59</v>
      </c>
      <c r="I964">
        <v>41.798299022059659</v>
      </c>
      <c r="J964" s="3">
        <v>1625.47</v>
      </c>
      <c r="K964" s="3">
        <f>Table1[[#This Row],[Quantity]]*Table1[[#This Row],[Unit_Price]]</f>
        <v>67941.881111387309</v>
      </c>
      <c r="L964" s="3">
        <v>2438.63</v>
      </c>
      <c r="M964" s="3">
        <f>Table1[[#This Row],[Gross_Sales]]-Table1[[#This Row],[Discount]]</f>
        <v>65503.251111387312</v>
      </c>
      <c r="N964" s="3">
        <v>32904.07</v>
      </c>
      <c r="O964" s="3">
        <v>1176.1099999999999</v>
      </c>
      <c r="P964" s="3">
        <v>3396.06</v>
      </c>
      <c r="Q964" s="3">
        <v>1539.91</v>
      </c>
      <c r="R964" s="3">
        <v>795.14</v>
      </c>
      <c r="S964" s="3">
        <f>SUM(Table1[[#This Row],[Product_Cost]:[Other_Cost]])</f>
        <v>39811.29</v>
      </c>
      <c r="T964" s="3">
        <f>Table1[[#This Row],[Net_Sales]]-Table1[[#This Row],[Product_Cost]]</f>
        <v>32599.181111387312</v>
      </c>
      <c r="U964" s="3">
        <f>Table1[[#This Row],[Net_Sales]]-Table1[[#This Row],[Total_Cost]]</f>
        <v>25691.961111387311</v>
      </c>
      <c r="V964" s="4">
        <f>Table1[[#This Row],[Net_Profit]]/Table1[[#This Row],[Net_Sales]]</f>
        <v>0.39222421292797377</v>
      </c>
      <c r="W964" t="s">
        <v>33</v>
      </c>
      <c r="X964" t="s">
        <v>1034</v>
      </c>
      <c r="Y964">
        <v>9</v>
      </c>
      <c r="Z964" t="str">
        <f>IF(Table1[[#This Row],[Month_No]]&lt;=6, "H1","H2")</f>
        <v>H2</v>
      </c>
    </row>
    <row r="965" spans="1:26" x14ac:dyDescent="0.25">
      <c r="A965" s="2">
        <v>45903</v>
      </c>
      <c r="B965" t="s">
        <v>1046</v>
      </c>
      <c r="C965" t="s">
        <v>117</v>
      </c>
      <c r="D965" t="s">
        <v>68</v>
      </c>
      <c r="E965" t="s">
        <v>29</v>
      </c>
      <c r="F965" t="s">
        <v>46</v>
      </c>
      <c r="G965" t="s">
        <v>86</v>
      </c>
      <c r="H965" t="s">
        <v>47</v>
      </c>
      <c r="I965">
        <v>77.219822649727917</v>
      </c>
      <c r="J965" s="3">
        <v>401.34</v>
      </c>
      <c r="K965" s="3">
        <f>Table1[[#This Row],[Quantity]]*Table1[[#This Row],[Unit_Price]]</f>
        <v>30991.4036222418</v>
      </c>
      <c r="L965" s="3">
        <v>1506.27</v>
      </c>
      <c r="M965" s="3">
        <f>Table1[[#This Row],[Gross_Sales]]-Table1[[#This Row],[Discount]]</f>
        <v>29485.133622241799</v>
      </c>
      <c r="N965" s="3">
        <v>20200.400000000001</v>
      </c>
      <c r="O965" s="3">
        <v>634.62</v>
      </c>
      <c r="P965" s="3">
        <v>1816.76</v>
      </c>
      <c r="Q965" s="3">
        <v>898.16</v>
      </c>
      <c r="R965" s="3">
        <v>449.25</v>
      </c>
      <c r="S965" s="3">
        <f>SUM(Table1[[#This Row],[Product_Cost]:[Other_Cost]])</f>
        <v>23999.19</v>
      </c>
      <c r="T965" s="3">
        <f>Table1[[#This Row],[Net_Sales]]-Table1[[#This Row],[Product_Cost]]</f>
        <v>9284.733622241798</v>
      </c>
      <c r="U965" s="3">
        <f>Table1[[#This Row],[Net_Sales]]-Table1[[#This Row],[Total_Cost]]</f>
        <v>5485.9436222418008</v>
      </c>
      <c r="V965" s="4">
        <f>Table1[[#This Row],[Net_Profit]]/Table1[[#This Row],[Net_Sales]]</f>
        <v>0.18605795356150387</v>
      </c>
      <c r="W965" t="s">
        <v>33</v>
      </c>
      <c r="X965" t="s">
        <v>1034</v>
      </c>
      <c r="Y965">
        <v>9</v>
      </c>
      <c r="Z965" t="str">
        <f>IF(Table1[[#This Row],[Month_No]]&lt;=6, "H1","H2")</f>
        <v>H2</v>
      </c>
    </row>
    <row r="966" spans="1:26" x14ac:dyDescent="0.25">
      <c r="A966" s="2">
        <v>45903</v>
      </c>
      <c r="B966" t="s">
        <v>1047</v>
      </c>
      <c r="C966" t="s">
        <v>107</v>
      </c>
      <c r="D966" t="s">
        <v>44</v>
      </c>
      <c r="E966" t="s">
        <v>45</v>
      </c>
      <c r="F966" t="s">
        <v>52</v>
      </c>
      <c r="G966" t="s">
        <v>58</v>
      </c>
      <c r="H966" t="s">
        <v>41</v>
      </c>
      <c r="I966">
        <v>73.504310825071883</v>
      </c>
      <c r="J966" s="3">
        <v>4681.8599999999997</v>
      </c>
      <c r="K966" s="3">
        <f>Table1[[#This Row],[Quantity]]*Table1[[#This Row],[Unit_Price]]</f>
        <v>344136.892679471</v>
      </c>
      <c r="L966" s="3">
        <v>14774.8</v>
      </c>
      <c r="M966" s="3">
        <f>Table1[[#This Row],[Gross_Sales]]-Table1[[#This Row],[Discount]]</f>
        <v>329362.09267947101</v>
      </c>
      <c r="N966" s="3">
        <v>221231.01</v>
      </c>
      <c r="O966" s="3">
        <v>6974.81</v>
      </c>
      <c r="P966" s="3">
        <v>19432.79</v>
      </c>
      <c r="Q966" s="3">
        <v>10491.79</v>
      </c>
      <c r="R966" s="3">
        <v>4465.29</v>
      </c>
      <c r="S966" s="3">
        <f>SUM(Table1[[#This Row],[Product_Cost]:[Other_Cost]])</f>
        <v>262595.69</v>
      </c>
      <c r="T966" s="3">
        <f>Table1[[#This Row],[Net_Sales]]-Table1[[#This Row],[Product_Cost]]</f>
        <v>108131.082679471</v>
      </c>
      <c r="U966" s="3">
        <f>Table1[[#This Row],[Net_Sales]]-Table1[[#This Row],[Total_Cost]]</f>
        <v>66766.402679471008</v>
      </c>
      <c r="V966" s="4">
        <f>Table1[[#This Row],[Net_Profit]]/Table1[[#This Row],[Net_Sales]]</f>
        <v>0.20271428972382324</v>
      </c>
      <c r="W966" t="s">
        <v>33</v>
      </c>
      <c r="X966" t="s">
        <v>1034</v>
      </c>
      <c r="Y966">
        <v>9</v>
      </c>
      <c r="Z966" t="str">
        <f>IF(Table1[[#This Row],[Month_No]]&lt;=6, "H1","H2")</f>
        <v>H2</v>
      </c>
    </row>
    <row r="967" spans="1:26" x14ac:dyDescent="0.25">
      <c r="A967" s="2">
        <v>45903</v>
      </c>
      <c r="B967" t="s">
        <v>1048</v>
      </c>
      <c r="C967" t="s">
        <v>78</v>
      </c>
      <c r="D967" t="s">
        <v>44</v>
      </c>
      <c r="E967" t="s">
        <v>45</v>
      </c>
      <c r="F967" t="s">
        <v>39</v>
      </c>
      <c r="G967" t="s">
        <v>76</v>
      </c>
      <c r="H967" t="s">
        <v>47</v>
      </c>
      <c r="I967">
        <v>66.615072076774382</v>
      </c>
      <c r="J967" s="3">
        <v>4820.51</v>
      </c>
      <c r="K967" s="3">
        <f>Table1[[#This Row],[Quantity]]*Table1[[#This Row],[Unit_Price]]</f>
        <v>321118.62109681166</v>
      </c>
      <c r="L967" s="3">
        <v>9549.99</v>
      </c>
      <c r="M967" s="3">
        <f>Table1[[#This Row],[Gross_Sales]]-Table1[[#This Row],[Discount]]</f>
        <v>311568.63109681167</v>
      </c>
      <c r="N967" s="3">
        <v>194022.13</v>
      </c>
      <c r="O967" s="3">
        <v>8629.8799999999992</v>
      </c>
      <c r="P967" s="3">
        <v>19228.91</v>
      </c>
      <c r="Q967" s="3">
        <v>8652.43</v>
      </c>
      <c r="R967" s="3">
        <v>5853.56</v>
      </c>
      <c r="S967" s="3">
        <f>SUM(Table1[[#This Row],[Product_Cost]:[Other_Cost]])</f>
        <v>236386.91</v>
      </c>
      <c r="T967" s="3">
        <f>Table1[[#This Row],[Net_Sales]]-Table1[[#This Row],[Product_Cost]]</f>
        <v>117546.50109681167</v>
      </c>
      <c r="U967" s="3">
        <f>Table1[[#This Row],[Net_Sales]]-Table1[[#This Row],[Total_Cost]]</f>
        <v>75181.721096811671</v>
      </c>
      <c r="V967" s="4">
        <f>Table1[[#This Row],[Net_Profit]]/Table1[[#This Row],[Net_Sales]]</f>
        <v>0.24130067533483801</v>
      </c>
      <c r="W967" t="s">
        <v>33</v>
      </c>
      <c r="X967" t="s">
        <v>1034</v>
      </c>
      <c r="Y967">
        <v>9</v>
      </c>
      <c r="Z967" t="str">
        <f>IF(Table1[[#This Row],[Month_No]]&lt;=6, "H1","H2")</f>
        <v>H2</v>
      </c>
    </row>
    <row r="968" spans="1:26" x14ac:dyDescent="0.25">
      <c r="A968" s="2">
        <v>45903</v>
      </c>
      <c r="B968" t="s">
        <v>1049</v>
      </c>
      <c r="C968" t="s">
        <v>49</v>
      </c>
      <c r="D968" t="s">
        <v>66</v>
      </c>
      <c r="E968" t="s">
        <v>51</v>
      </c>
      <c r="F968" t="s">
        <v>52</v>
      </c>
      <c r="G968" t="s">
        <v>40</v>
      </c>
      <c r="H968" t="s">
        <v>47</v>
      </c>
      <c r="I968">
        <v>37.94047707827626</v>
      </c>
      <c r="J968" s="3">
        <v>1612.44</v>
      </c>
      <c r="K968" s="3">
        <f>Table1[[#This Row],[Quantity]]*Table1[[#This Row],[Unit_Price]]</f>
        <v>61176.742860095772</v>
      </c>
      <c r="L968" s="3">
        <v>2138.5300000000002</v>
      </c>
      <c r="M968" s="3">
        <f>Table1[[#This Row],[Gross_Sales]]-Table1[[#This Row],[Discount]]</f>
        <v>59038.212860095773</v>
      </c>
      <c r="N968" s="3">
        <v>28110.35</v>
      </c>
      <c r="O968" s="3">
        <v>1120.26</v>
      </c>
      <c r="P968" s="3">
        <v>3048.04</v>
      </c>
      <c r="Q968" s="3">
        <v>1531.01</v>
      </c>
      <c r="R968" s="3">
        <v>1267.22</v>
      </c>
      <c r="S968" s="3">
        <f>SUM(Table1[[#This Row],[Product_Cost]:[Other_Cost]])</f>
        <v>35076.879999999997</v>
      </c>
      <c r="T968" s="3">
        <f>Table1[[#This Row],[Net_Sales]]-Table1[[#This Row],[Product_Cost]]</f>
        <v>30927.862860095775</v>
      </c>
      <c r="U968" s="3">
        <f>Table1[[#This Row],[Net_Sales]]-Table1[[#This Row],[Total_Cost]]</f>
        <v>23961.332860095776</v>
      </c>
      <c r="V968" s="4">
        <f>Table1[[#This Row],[Net_Profit]]/Table1[[#This Row],[Net_Sales]]</f>
        <v>0.40586141922821245</v>
      </c>
      <c r="W968" t="s">
        <v>33</v>
      </c>
      <c r="X968" t="s">
        <v>1034</v>
      </c>
      <c r="Y968">
        <v>9</v>
      </c>
      <c r="Z968" t="str">
        <f>IF(Table1[[#This Row],[Month_No]]&lt;=6, "H1","H2")</f>
        <v>H2</v>
      </c>
    </row>
    <row r="969" spans="1:26" x14ac:dyDescent="0.25">
      <c r="A969" s="2">
        <v>45903</v>
      </c>
      <c r="B969" t="s">
        <v>1050</v>
      </c>
      <c r="C969" t="s">
        <v>117</v>
      </c>
      <c r="D969" t="s">
        <v>81</v>
      </c>
      <c r="E969" t="s">
        <v>45</v>
      </c>
      <c r="F969" t="s">
        <v>52</v>
      </c>
      <c r="G969" t="s">
        <v>40</v>
      </c>
      <c r="H969" t="s">
        <v>41</v>
      </c>
      <c r="I969">
        <v>37.958578395181597</v>
      </c>
      <c r="J969" s="3">
        <v>6794.51</v>
      </c>
      <c r="K969" s="3">
        <f>Table1[[#This Row],[Quantity]]*Table1[[#This Row],[Unit_Price]]</f>
        <v>257909.94049184531</v>
      </c>
      <c r="L969" s="3">
        <v>12656.62</v>
      </c>
      <c r="M969" s="3">
        <f>Table1[[#This Row],[Gross_Sales]]-Table1[[#This Row],[Discount]]</f>
        <v>245253.32049184531</v>
      </c>
      <c r="N969" s="3">
        <v>118983.93</v>
      </c>
      <c r="O969" s="3">
        <v>4084.46</v>
      </c>
      <c r="P969" s="3">
        <v>14716.62</v>
      </c>
      <c r="Q969" s="3">
        <v>5417.93</v>
      </c>
      <c r="R969" s="3">
        <v>5285.03</v>
      </c>
      <c r="S969" s="3">
        <f>SUM(Table1[[#This Row],[Product_Cost]:[Other_Cost]])</f>
        <v>148487.97</v>
      </c>
      <c r="T969" s="3">
        <f>Table1[[#This Row],[Net_Sales]]-Table1[[#This Row],[Product_Cost]]</f>
        <v>126269.39049184532</v>
      </c>
      <c r="U969" s="3">
        <f>Table1[[#This Row],[Net_Sales]]-Table1[[#This Row],[Total_Cost]]</f>
        <v>96765.350491845311</v>
      </c>
      <c r="V969" s="4">
        <f>Table1[[#This Row],[Net_Profit]]/Table1[[#This Row],[Net_Sales]]</f>
        <v>0.39455266211191936</v>
      </c>
      <c r="W969" t="s">
        <v>33</v>
      </c>
      <c r="X969" t="s">
        <v>1034</v>
      </c>
      <c r="Y969">
        <v>9</v>
      </c>
      <c r="Z969" t="str">
        <f>IF(Table1[[#This Row],[Month_No]]&lt;=6, "H1","H2")</f>
        <v>H2</v>
      </c>
    </row>
    <row r="970" spans="1:26" x14ac:dyDescent="0.25">
      <c r="A970" s="2">
        <v>45903</v>
      </c>
      <c r="B970" t="s">
        <v>1051</v>
      </c>
      <c r="C970" t="s">
        <v>36</v>
      </c>
      <c r="D970" t="s">
        <v>50</v>
      </c>
      <c r="E970" t="s">
        <v>51</v>
      </c>
      <c r="F970" t="s">
        <v>39</v>
      </c>
      <c r="G970" t="s">
        <v>40</v>
      </c>
      <c r="H970" t="s">
        <v>47</v>
      </c>
      <c r="I970">
        <v>88.895700045795422</v>
      </c>
      <c r="J970" s="3">
        <v>916.83</v>
      </c>
      <c r="K970" s="3">
        <f>Table1[[#This Row],[Quantity]]*Table1[[#This Row],[Unit_Price]]</f>
        <v>81502.244672986621</v>
      </c>
      <c r="L970" s="3">
        <v>4037.39</v>
      </c>
      <c r="M970" s="3">
        <f>Table1[[#This Row],[Gross_Sales]]-Table1[[#This Row],[Discount]]</f>
        <v>77464.854672986621</v>
      </c>
      <c r="N970" s="3">
        <v>46823.34</v>
      </c>
      <c r="O970" s="3">
        <v>2290.21</v>
      </c>
      <c r="P970" s="3">
        <v>4533.91</v>
      </c>
      <c r="Q970" s="3">
        <v>1422.08</v>
      </c>
      <c r="R970" s="3">
        <v>1547.39</v>
      </c>
      <c r="S970" s="3">
        <f>SUM(Table1[[#This Row],[Product_Cost]:[Other_Cost]])</f>
        <v>56616.929999999993</v>
      </c>
      <c r="T970" s="3">
        <f>Table1[[#This Row],[Net_Sales]]-Table1[[#This Row],[Product_Cost]]</f>
        <v>30641.514672986625</v>
      </c>
      <c r="U970" s="3">
        <f>Table1[[#This Row],[Net_Sales]]-Table1[[#This Row],[Total_Cost]]</f>
        <v>20847.924672986628</v>
      </c>
      <c r="V970" s="4">
        <f>Table1[[#This Row],[Net_Profit]]/Table1[[#This Row],[Net_Sales]]</f>
        <v>0.26912752577920568</v>
      </c>
      <c r="W970" t="s">
        <v>33</v>
      </c>
      <c r="X970" t="s">
        <v>1034</v>
      </c>
      <c r="Y970">
        <v>9</v>
      </c>
      <c r="Z970" t="str">
        <f>IF(Table1[[#This Row],[Month_No]]&lt;=6, "H1","H2")</f>
        <v>H2</v>
      </c>
    </row>
    <row r="971" spans="1:26" x14ac:dyDescent="0.25">
      <c r="A971" s="2">
        <v>45904</v>
      </c>
      <c r="B971" t="s">
        <v>1052</v>
      </c>
      <c r="C971" t="s">
        <v>107</v>
      </c>
      <c r="D971" t="s">
        <v>28</v>
      </c>
      <c r="E971" t="s">
        <v>29</v>
      </c>
      <c r="F971" t="s">
        <v>52</v>
      </c>
      <c r="G971" t="s">
        <v>40</v>
      </c>
      <c r="H971" t="s">
        <v>32</v>
      </c>
      <c r="I971">
        <v>85.402683133061885</v>
      </c>
      <c r="J971" s="3">
        <v>1238.8399999999999</v>
      </c>
      <c r="K971" s="3">
        <f>Table1[[#This Row],[Quantity]]*Table1[[#This Row],[Unit_Price]]</f>
        <v>105800.25997256237</v>
      </c>
      <c r="L971" s="3">
        <v>5153.87</v>
      </c>
      <c r="M971" s="3">
        <f>Table1[[#This Row],[Gross_Sales]]-Table1[[#This Row],[Discount]]</f>
        <v>100646.38997256238</v>
      </c>
      <c r="N971" s="3">
        <v>55549.32</v>
      </c>
      <c r="O971" s="3">
        <v>1995.98</v>
      </c>
      <c r="P971" s="3">
        <v>5182.08</v>
      </c>
      <c r="Q971" s="3">
        <v>2924.48</v>
      </c>
      <c r="R971" s="3">
        <v>1368.45</v>
      </c>
      <c r="S971" s="3">
        <f>SUM(Table1[[#This Row],[Product_Cost]:[Other_Cost]])</f>
        <v>67020.31</v>
      </c>
      <c r="T971" s="3">
        <f>Table1[[#This Row],[Net_Sales]]-Table1[[#This Row],[Product_Cost]]</f>
        <v>45097.069972562378</v>
      </c>
      <c r="U971" s="3">
        <f>Table1[[#This Row],[Net_Sales]]-Table1[[#This Row],[Total_Cost]]</f>
        <v>33626.07997256238</v>
      </c>
      <c r="V971" s="4">
        <f>Table1[[#This Row],[Net_Profit]]/Table1[[#This Row],[Net_Sales]]</f>
        <v>0.33410120305089258</v>
      </c>
      <c r="W971" t="s">
        <v>72</v>
      </c>
      <c r="X971" t="s">
        <v>1034</v>
      </c>
      <c r="Y971">
        <v>9</v>
      </c>
      <c r="Z971" t="str">
        <f>IF(Table1[[#This Row],[Month_No]]&lt;=6, "H1","H2")</f>
        <v>H2</v>
      </c>
    </row>
    <row r="972" spans="1:26" x14ac:dyDescent="0.25">
      <c r="A972" s="2">
        <v>45904</v>
      </c>
      <c r="B972" t="s">
        <v>1053</v>
      </c>
      <c r="C972" t="s">
        <v>49</v>
      </c>
      <c r="D972" t="s">
        <v>68</v>
      </c>
      <c r="E972" t="s">
        <v>29</v>
      </c>
      <c r="F972" t="s">
        <v>46</v>
      </c>
      <c r="G972" t="s">
        <v>31</v>
      </c>
      <c r="H972" t="s">
        <v>59</v>
      </c>
      <c r="I972">
        <v>63.701015459282942</v>
      </c>
      <c r="J972" s="3">
        <v>395.1</v>
      </c>
      <c r="K972" s="3">
        <f>Table1[[#This Row],[Quantity]]*Table1[[#This Row],[Unit_Price]]</f>
        <v>25168.271207962691</v>
      </c>
      <c r="L972" s="3">
        <v>737.87</v>
      </c>
      <c r="M972" s="3">
        <f>Table1[[#This Row],[Gross_Sales]]-Table1[[#This Row],[Discount]]</f>
        <v>24430.401207962692</v>
      </c>
      <c r="N972" s="3">
        <v>17735.91</v>
      </c>
      <c r="O972" s="3">
        <v>559.52</v>
      </c>
      <c r="P972" s="3">
        <v>1396.55</v>
      </c>
      <c r="Q972" s="3">
        <v>732.79</v>
      </c>
      <c r="R972" s="3">
        <v>361.02</v>
      </c>
      <c r="S972" s="3">
        <f>SUM(Table1[[#This Row],[Product_Cost]:[Other_Cost]])</f>
        <v>20785.79</v>
      </c>
      <c r="T972" s="3">
        <f>Table1[[#This Row],[Net_Sales]]-Table1[[#This Row],[Product_Cost]]</f>
        <v>6694.491207962692</v>
      </c>
      <c r="U972" s="3">
        <f>Table1[[#This Row],[Net_Sales]]-Table1[[#This Row],[Total_Cost]]</f>
        <v>3644.611207962691</v>
      </c>
      <c r="V972" s="4">
        <f>Table1[[#This Row],[Net_Profit]]/Table1[[#This Row],[Net_Sales]]</f>
        <v>0.1491834365280415</v>
      </c>
      <c r="W972" t="s">
        <v>33</v>
      </c>
      <c r="X972" t="s">
        <v>1034</v>
      </c>
      <c r="Y972">
        <v>9</v>
      </c>
      <c r="Z972" t="str">
        <f>IF(Table1[[#This Row],[Month_No]]&lt;=6, "H1","H2")</f>
        <v>H2</v>
      </c>
    </row>
    <row r="973" spans="1:26" x14ac:dyDescent="0.25">
      <c r="A973" s="2">
        <v>45904</v>
      </c>
      <c r="B973" t="s">
        <v>1054</v>
      </c>
      <c r="C973" t="s">
        <v>43</v>
      </c>
      <c r="D973" t="s">
        <v>37</v>
      </c>
      <c r="E973" t="s">
        <v>38</v>
      </c>
      <c r="F973" t="s">
        <v>52</v>
      </c>
      <c r="G973" t="s">
        <v>31</v>
      </c>
      <c r="H973" t="s">
        <v>32</v>
      </c>
      <c r="I973">
        <v>79.343183821170285</v>
      </c>
      <c r="J973" s="3">
        <v>4544.93</v>
      </c>
      <c r="K973" s="3">
        <f>Table1[[#This Row],[Quantity]]*Table1[[#This Row],[Unit_Price]]</f>
        <v>360609.21644435148</v>
      </c>
      <c r="L973" s="3">
        <v>14006.48</v>
      </c>
      <c r="M973" s="3">
        <f>Table1[[#This Row],[Gross_Sales]]-Table1[[#This Row],[Discount]]</f>
        <v>346602.7364443515</v>
      </c>
      <c r="N973" s="3">
        <v>221740</v>
      </c>
      <c r="O973" s="3">
        <v>5801.95</v>
      </c>
      <c r="P973" s="3">
        <v>20979.72</v>
      </c>
      <c r="Q973" s="3">
        <v>7630.43</v>
      </c>
      <c r="R973" s="3">
        <v>7121.66</v>
      </c>
      <c r="S973" s="3">
        <f>SUM(Table1[[#This Row],[Product_Cost]:[Other_Cost]])</f>
        <v>263273.76</v>
      </c>
      <c r="T973" s="3">
        <f>Table1[[#This Row],[Net_Sales]]-Table1[[#This Row],[Product_Cost]]</f>
        <v>124862.7364443515</v>
      </c>
      <c r="U973" s="3">
        <f>Table1[[#This Row],[Net_Sales]]-Table1[[#This Row],[Total_Cost]]</f>
        <v>83328.976444351487</v>
      </c>
      <c r="V973" s="4">
        <f>Table1[[#This Row],[Net_Profit]]/Table1[[#This Row],[Net_Sales]]</f>
        <v>0.2404163836073184</v>
      </c>
      <c r="W973" t="s">
        <v>33</v>
      </c>
      <c r="X973" t="s">
        <v>1034</v>
      </c>
      <c r="Y973">
        <v>9</v>
      </c>
      <c r="Z973" t="str">
        <f>IF(Table1[[#This Row],[Month_No]]&lt;=6, "H1","H2")</f>
        <v>H2</v>
      </c>
    </row>
    <row r="974" spans="1:26" x14ac:dyDescent="0.25">
      <c r="A974" s="2">
        <v>45904</v>
      </c>
      <c r="B974" t="s">
        <v>1055</v>
      </c>
      <c r="C974" t="s">
        <v>63</v>
      </c>
      <c r="D974" t="s">
        <v>74</v>
      </c>
      <c r="E974" t="s">
        <v>75</v>
      </c>
      <c r="F974" t="s">
        <v>46</v>
      </c>
      <c r="G974" t="s">
        <v>40</v>
      </c>
      <c r="H974" t="s">
        <v>41</v>
      </c>
      <c r="I974">
        <v>45.459292068352838</v>
      </c>
      <c r="J974" s="3">
        <v>5694.65</v>
      </c>
      <c r="K974" s="3">
        <f>Table1[[#This Row],[Quantity]]*Table1[[#This Row],[Unit_Price]]</f>
        <v>258874.75757704547</v>
      </c>
      <c r="L974" s="3">
        <v>9558.0499999999993</v>
      </c>
      <c r="M974" s="3">
        <f>Table1[[#This Row],[Gross_Sales]]-Table1[[#This Row],[Discount]]</f>
        <v>249316.70757704548</v>
      </c>
      <c r="N974" s="3">
        <v>173644.76</v>
      </c>
      <c r="O974" s="3">
        <v>4230.49</v>
      </c>
      <c r="P974" s="3">
        <v>14496.68</v>
      </c>
      <c r="Q974" s="3">
        <v>7971.27</v>
      </c>
      <c r="R974" s="3">
        <v>4127.6099999999997</v>
      </c>
      <c r="S974" s="3">
        <f>SUM(Table1[[#This Row],[Product_Cost]:[Other_Cost]])</f>
        <v>204470.80999999997</v>
      </c>
      <c r="T974" s="3">
        <f>Table1[[#This Row],[Net_Sales]]-Table1[[#This Row],[Product_Cost]]</f>
        <v>75671.947577045474</v>
      </c>
      <c r="U974" s="3">
        <f>Table1[[#This Row],[Net_Sales]]-Table1[[#This Row],[Total_Cost]]</f>
        <v>44845.897577045514</v>
      </c>
      <c r="V974" s="4">
        <f>Table1[[#This Row],[Net_Profit]]/Table1[[#This Row],[Net_Sales]]</f>
        <v>0.17987521980726839</v>
      </c>
      <c r="W974" t="s">
        <v>33</v>
      </c>
      <c r="X974" t="s">
        <v>1034</v>
      </c>
      <c r="Y974">
        <v>9</v>
      </c>
      <c r="Z974" t="str">
        <f>IF(Table1[[#This Row],[Month_No]]&lt;=6, "H1","H2")</f>
        <v>H2</v>
      </c>
    </row>
    <row r="975" spans="1:26" x14ac:dyDescent="0.25">
      <c r="A975" s="2">
        <v>45904</v>
      </c>
      <c r="B975" t="s">
        <v>1056</v>
      </c>
      <c r="C975" t="s">
        <v>63</v>
      </c>
      <c r="D975" t="s">
        <v>44</v>
      </c>
      <c r="E975" t="s">
        <v>45</v>
      </c>
      <c r="F975" t="s">
        <v>39</v>
      </c>
      <c r="G975" t="s">
        <v>71</v>
      </c>
      <c r="H975" t="s">
        <v>41</v>
      </c>
      <c r="I975">
        <v>38.757412293126393</v>
      </c>
      <c r="J975" s="3">
        <v>4645.3900000000003</v>
      </c>
      <c r="K975" s="3">
        <f>Table1[[#This Row],[Quantity]]*Table1[[#This Row],[Unit_Price]]</f>
        <v>180043.29549236642</v>
      </c>
      <c r="L975" s="3">
        <v>8044.63</v>
      </c>
      <c r="M975" s="3">
        <f>Table1[[#This Row],[Gross_Sales]]-Table1[[#This Row],[Discount]]</f>
        <v>171998.66549236642</v>
      </c>
      <c r="N975" s="3">
        <v>115551.59</v>
      </c>
      <c r="O975" s="3">
        <v>5260.42</v>
      </c>
      <c r="P975" s="3">
        <v>10478.66</v>
      </c>
      <c r="Q975" s="3">
        <v>3207.39</v>
      </c>
      <c r="R975" s="3">
        <v>2543.79</v>
      </c>
      <c r="S975" s="3">
        <f>SUM(Table1[[#This Row],[Product_Cost]:[Other_Cost]])</f>
        <v>137041.85</v>
      </c>
      <c r="T975" s="3">
        <f>Table1[[#This Row],[Net_Sales]]-Table1[[#This Row],[Product_Cost]]</f>
        <v>56447.075492366421</v>
      </c>
      <c r="U975" s="3">
        <f>Table1[[#This Row],[Net_Sales]]-Table1[[#This Row],[Total_Cost]]</f>
        <v>34956.815492366411</v>
      </c>
      <c r="V975" s="4">
        <f>Table1[[#This Row],[Net_Profit]]/Table1[[#This Row],[Net_Sales]]</f>
        <v>0.20323887625696638</v>
      </c>
      <c r="W975" t="s">
        <v>33</v>
      </c>
      <c r="X975" t="s">
        <v>1034</v>
      </c>
      <c r="Y975">
        <v>9</v>
      </c>
      <c r="Z975" t="str">
        <f>IF(Table1[[#This Row],[Month_No]]&lt;=6, "H1","H2")</f>
        <v>H2</v>
      </c>
    </row>
    <row r="976" spans="1:26" x14ac:dyDescent="0.25">
      <c r="A976" s="2">
        <v>45904</v>
      </c>
      <c r="B976" t="s">
        <v>1057</v>
      </c>
      <c r="C976" t="s">
        <v>36</v>
      </c>
      <c r="D976" t="s">
        <v>66</v>
      </c>
      <c r="E976" t="s">
        <v>51</v>
      </c>
      <c r="F976" t="s">
        <v>52</v>
      </c>
      <c r="G976" t="s">
        <v>61</v>
      </c>
      <c r="H976" t="s">
        <v>47</v>
      </c>
      <c r="I976">
        <v>43.948567527545258</v>
      </c>
      <c r="J976" s="3">
        <v>1535.05</v>
      </c>
      <c r="K976" s="3">
        <f>Table1[[#This Row],[Quantity]]*Table1[[#This Row],[Unit_Price]]</f>
        <v>67463.248583158347</v>
      </c>
      <c r="L976" s="3">
        <v>3251.25</v>
      </c>
      <c r="M976" s="3">
        <f>Table1[[#This Row],[Gross_Sales]]-Table1[[#This Row],[Discount]]</f>
        <v>64211.998583158347</v>
      </c>
      <c r="N976" s="3">
        <v>33326.980000000003</v>
      </c>
      <c r="O976" s="3">
        <v>999.98</v>
      </c>
      <c r="P976" s="3">
        <v>3509.99</v>
      </c>
      <c r="Q976" s="3">
        <v>1802.41</v>
      </c>
      <c r="R976" s="3">
        <v>1058.1300000000001</v>
      </c>
      <c r="S976" s="3">
        <f>SUM(Table1[[#This Row],[Product_Cost]:[Other_Cost]])</f>
        <v>40697.490000000005</v>
      </c>
      <c r="T976" s="3">
        <f>Table1[[#This Row],[Net_Sales]]-Table1[[#This Row],[Product_Cost]]</f>
        <v>30885.018583158344</v>
      </c>
      <c r="U976" s="3">
        <f>Table1[[#This Row],[Net_Sales]]-Table1[[#This Row],[Total_Cost]]</f>
        <v>23514.508583158342</v>
      </c>
      <c r="V976" s="4">
        <f>Table1[[#This Row],[Net_Profit]]/Table1[[#This Row],[Net_Sales]]</f>
        <v>0.36620116336521841</v>
      </c>
      <c r="W976" t="s">
        <v>33</v>
      </c>
      <c r="X976" t="s">
        <v>1034</v>
      </c>
      <c r="Y976">
        <v>9</v>
      </c>
      <c r="Z976" t="str">
        <f>IF(Table1[[#This Row],[Month_No]]&lt;=6, "H1","H2")</f>
        <v>H2</v>
      </c>
    </row>
    <row r="977" spans="1:26" x14ac:dyDescent="0.25">
      <c r="A977" s="2">
        <v>45904</v>
      </c>
      <c r="B977" t="s">
        <v>1058</v>
      </c>
      <c r="C977" t="s">
        <v>107</v>
      </c>
      <c r="D977" t="s">
        <v>85</v>
      </c>
      <c r="E977" t="s">
        <v>57</v>
      </c>
      <c r="F977" t="s">
        <v>52</v>
      </c>
      <c r="G977" t="s">
        <v>58</v>
      </c>
      <c r="H977" t="s">
        <v>59</v>
      </c>
      <c r="I977">
        <v>56.066182147668258</v>
      </c>
      <c r="J977" s="3">
        <v>2074.59</v>
      </c>
      <c r="K977" s="3">
        <f>Table1[[#This Row],[Quantity]]*Table1[[#This Row],[Unit_Price]]</f>
        <v>116314.34082173109</v>
      </c>
      <c r="L977" s="3">
        <v>4438.3</v>
      </c>
      <c r="M977" s="3">
        <f>Table1[[#This Row],[Gross_Sales]]-Table1[[#This Row],[Discount]]</f>
        <v>111876.04082173109</v>
      </c>
      <c r="N977" s="3">
        <v>74530.58</v>
      </c>
      <c r="O977" s="3">
        <v>2067.7399999999998</v>
      </c>
      <c r="P977" s="3">
        <v>5752.42</v>
      </c>
      <c r="Q977" s="3">
        <v>2563.7800000000002</v>
      </c>
      <c r="R977" s="3">
        <v>1748.28</v>
      </c>
      <c r="S977" s="3">
        <f>SUM(Table1[[#This Row],[Product_Cost]:[Other_Cost]])</f>
        <v>86662.8</v>
      </c>
      <c r="T977" s="3">
        <f>Table1[[#This Row],[Net_Sales]]-Table1[[#This Row],[Product_Cost]]</f>
        <v>37345.460821731089</v>
      </c>
      <c r="U977" s="3">
        <f>Table1[[#This Row],[Net_Sales]]-Table1[[#This Row],[Total_Cost]]</f>
        <v>25213.240821731088</v>
      </c>
      <c r="V977" s="4">
        <f>Table1[[#This Row],[Net_Profit]]/Table1[[#This Row],[Net_Sales]]</f>
        <v>0.22536765366864506</v>
      </c>
      <c r="W977" t="s">
        <v>33</v>
      </c>
      <c r="X977" t="s">
        <v>1034</v>
      </c>
      <c r="Y977">
        <v>9</v>
      </c>
      <c r="Z977" t="str">
        <f>IF(Table1[[#This Row],[Month_No]]&lt;=6, "H1","H2")</f>
        <v>H2</v>
      </c>
    </row>
    <row r="978" spans="1:26" x14ac:dyDescent="0.25">
      <c r="A978" s="2">
        <v>45905</v>
      </c>
      <c r="B978" t="s">
        <v>1059</v>
      </c>
      <c r="C978" t="s">
        <v>78</v>
      </c>
      <c r="D978" t="s">
        <v>100</v>
      </c>
      <c r="E978" t="s">
        <v>75</v>
      </c>
      <c r="F978" t="s">
        <v>52</v>
      </c>
      <c r="G978" t="s">
        <v>61</v>
      </c>
      <c r="H978" t="s">
        <v>41</v>
      </c>
      <c r="I978">
        <v>50.634117726059102</v>
      </c>
      <c r="J978" s="3">
        <v>7445.1</v>
      </c>
      <c r="K978" s="3">
        <f>Table1[[#This Row],[Quantity]]*Table1[[#This Row],[Unit_Price]]</f>
        <v>376976.06988228264</v>
      </c>
      <c r="L978" s="3">
        <v>19275.04</v>
      </c>
      <c r="M978" s="3">
        <f>Table1[[#This Row],[Gross_Sales]]-Table1[[#This Row],[Discount]]</f>
        <v>357701.02988228266</v>
      </c>
      <c r="N978" s="3">
        <v>187079.69</v>
      </c>
      <c r="O978" s="3">
        <v>6965</v>
      </c>
      <c r="P978" s="3">
        <v>19512.63</v>
      </c>
      <c r="Q978" s="3">
        <v>7190.77</v>
      </c>
      <c r="R978" s="3">
        <v>5244.11</v>
      </c>
      <c r="S978" s="3">
        <f>SUM(Table1[[#This Row],[Product_Cost]:[Other_Cost]])</f>
        <v>225992.19999999998</v>
      </c>
      <c r="T978" s="3">
        <f>Table1[[#This Row],[Net_Sales]]-Table1[[#This Row],[Product_Cost]]</f>
        <v>170621.33988228266</v>
      </c>
      <c r="U978" s="3">
        <f>Table1[[#This Row],[Net_Sales]]-Table1[[#This Row],[Total_Cost]]</f>
        <v>131708.82988228268</v>
      </c>
      <c r="V978" s="4">
        <f>Table1[[#This Row],[Net_Profit]]/Table1[[#This Row],[Net_Sales]]</f>
        <v>0.36820925543778077</v>
      </c>
      <c r="W978" t="s">
        <v>33</v>
      </c>
      <c r="X978" t="s">
        <v>1034</v>
      </c>
      <c r="Y978">
        <v>9</v>
      </c>
      <c r="Z978" t="str">
        <f>IF(Table1[[#This Row],[Month_No]]&lt;=6, "H1","H2")</f>
        <v>H2</v>
      </c>
    </row>
    <row r="979" spans="1:26" x14ac:dyDescent="0.25">
      <c r="A979" s="2">
        <v>45905</v>
      </c>
      <c r="B979" t="s">
        <v>1060</v>
      </c>
      <c r="C979" t="s">
        <v>49</v>
      </c>
      <c r="D979" t="s">
        <v>100</v>
      </c>
      <c r="E979" t="s">
        <v>75</v>
      </c>
      <c r="F979" t="s">
        <v>46</v>
      </c>
      <c r="G979" t="s">
        <v>58</v>
      </c>
      <c r="H979" t="s">
        <v>41</v>
      </c>
      <c r="I979">
        <v>43.227064744877708</v>
      </c>
      <c r="J979" s="3">
        <v>7036.07</v>
      </c>
      <c r="K979" s="3">
        <f>Table1[[#This Row],[Quantity]]*Table1[[#This Row],[Unit_Price]]</f>
        <v>304148.6534394917</v>
      </c>
      <c r="L979" s="3">
        <v>14597.9</v>
      </c>
      <c r="M979" s="3">
        <f>Table1[[#This Row],[Gross_Sales]]-Table1[[#This Row],[Discount]]</f>
        <v>289550.75343949167</v>
      </c>
      <c r="N979" s="3">
        <v>166643.38</v>
      </c>
      <c r="O979" s="3">
        <v>6090.24</v>
      </c>
      <c r="P979" s="3">
        <v>15662.24</v>
      </c>
      <c r="Q979" s="3">
        <v>7969.17</v>
      </c>
      <c r="R979" s="3">
        <v>4625.54</v>
      </c>
      <c r="S979" s="3">
        <f>SUM(Table1[[#This Row],[Product_Cost]:[Other_Cost]])</f>
        <v>200990.57</v>
      </c>
      <c r="T979" s="3">
        <f>Table1[[#This Row],[Net_Sales]]-Table1[[#This Row],[Product_Cost]]</f>
        <v>122907.37343949167</v>
      </c>
      <c r="U979" s="3">
        <f>Table1[[#This Row],[Net_Sales]]-Table1[[#This Row],[Total_Cost]]</f>
        <v>88560.183439491666</v>
      </c>
      <c r="V979" s="4">
        <f>Table1[[#This Row],[Net_Profit]]/Table1[[#This Row],[Net_Sales]]</f>
        <v>0.30585374891106393</v>
      </c>
      <c r="W979" t="s">
        <v>33</v>
      </c>
      <c r="X979" t="s">
        <v>1034</v>
      </c>
      <c r="Y979">
        <v>9</v>
      </c>
      <c r="Z979" t="str">
        <f>IF(Table1[[#This Row],[Month_No]]&lt;=6, "H1","H2")</f>
        <v>H2</v>
      </c>
    </row>
    <row r="980" spans="1:26" x14ac:dyDescent="0.25">
      <c r="A980" s="2">
        <v>45905</v>
      </c>
      <c r="B980" t="s">
        <v>1061</v>
      </c>
      <c r="C980" t="s">
        <v>63</v>
      </c>
      <c r="D980" t="s">
        <v>28</v>
      </c>
      <c r="E980" t="s">
        <v>29</v>
      </c>
      <c r="F980" t="s">
        <v>30</v>
      </c>
      <c r="G980" t="s">
        <v>64</v>
      </c>
      <c r="H980" t="s">
        <v>41</v>
      </c>
      <c r="I980">
        <v>112.2657701579093</v>
      </c>
      <c r="J980" s="3">
        <v>1286.05</v>
      </c>
      <c r="K980" s="3">
        <f>Table1[[#This Row],[Quantity]]*Table1[[#This Row],[Unit_Price]]</f>
        <v>144379.39371157927</v>
      </c>
      <c r="L980" s="3">
        <v>6144.25</v>
      </c>
      <c r="M980" s="3">
        <f>Table1[[#This Row],[Gross_Sales]]-Table1[[#This Row],[Discount]]</f>
        <v>138235.14371157927</v>
      </c>
      <c r="N980" s="3">
        <v>74769.78</v>
      </c>
      <c r="O980" s="3">
        <v>2877.16</v>
      </c>
      <c r="P980" s="3">
        <v>7934.38</v>
      </c>
      <c r="Q980" s="3">
        <v>3616.08</v>
      </c>
      <c r="R980" s="3">
        <v>1808.67</v>
      </c>
      <c r="S980" s="3">
        <f>SUM(Table1[[#This Row],[Product_Cost]:[Other_Cost]])</f>
        <v>91006.07</v>
      </c>
      <c r="T980" s="3">
        <f>Table1[[#This Row],[Net_Sales]]-Table1[[#This Row],[Product_Cost]]</f>
        <v>63465.363711579266</v>
      </c>
      <c r="U980" s="3">
        <f>Table1[[#This Row],[Net_Sales]]-Table1[[#This Row],[Total_Cost]]</f>
        <v>47229.073711579258</v>
      </c>
      <c r="V980" s="4">
        <f>Table1[[#This Row],[Net_Profit]]/Table1[[#This Row],[Net_Sales]]</f>
        <v>0.34165750071573958</v>
      </c>
      <c r="W980" t="s">
        <v>33</v>
      </c>
      <c r="X980" t="s">
        <v>1034</v>
      </c>
      <c r="Y980">
        <v>9</v>
      </c>
      <c r="Z980" t="str">
        <f>IF(Table1[[#This Row],[Month_No]]&lt;=6, "H1","H2")</f>
        <v>H2</v>
      </c>
    </row>
    <row r="981" spans="1:26" x14ac:dyDescent="0.25">
      <c r="A981" s="2">
        <v>45905</v>
      </c>
      <c r="B981" t="s">
        <v>1062</v>
      </c>
      <c r="C981" t="s">
        <v>98</v>
      </c>
      <c r="D981" t="s">
        <v>37</v>
      </c>
      <c r="E981" t="s">
        <v>38</v>
      </c>
      <c r="F981" t="s">
        <v>52</v>
      </c>
      <c r="G981" t="s">
        <v>58</v>
      </c>
      <c r="H981" t="s">
        <v>47</v>
      </c>
      <c r="I981">
        <v>51.549980606435867</v>
      </c>
      <c r="J981" s="3">
        <v>4559.7</v>
      </c>
      <c r="K981" s="3">
        <f>Table1[[#This Row],[Quantity]]*Table1[[#This Row],[Unit_Price]]</f>
        <v>235052.44657116561</v>
      </c>
      <c r="L981" s="3">
        <v>11156.94</v>
      </c>
      <c r="M981" s="3">
        <f>Table1[[#This Row],[Gross_Sales]]-Table1[[#This Row],[Discount]]</f>
        <v>223895.50657116561</v>
      </c>
      <c r="N981" s="3">
        <v>155463.97</v>
      </c>
      <c r="O981" s="3">
        <v>4043.12</v>
      </c>
      <c r="P981" s="3">
        <v>13841.04</v>
      </c>
      <c r="Q981" s="3">
        <v>5155.6899999999996</v>
      </c>
      <c r="R981" s="3">
        <v>2817.86</v>
      </c>
      <c r="S981" s="3">
        <f>SUM(Table1[[#This Row],[Product_Cost]:[Other_Cost]])</f>
        <v>181321.68</v>
      </c>
      <c r="T981" s="3">
        <f>Table1[[#This Row],[Net_Sales]]-Table1[[#This Row],[Product_Cost]]</f>
        <v>68431.536571165605</v>
      </c>
      <c r="U981" s="3">
        <f>Table1[[#This Row],[Net_Sales]]-Table1[[#This Row],[Total_Cost]]</f>
        <v>42573.826571165613</v>
      </c>
      <c r="V981" s="4">
        <f>Table1[[#This Row],[Net_Profit]]/Table1[[#This Row],[Net_Sales]]</f>
        <v>0.19015042875652102</v>
      </c>
      <c r="W981" t="s">
        <v>33</v>
      </c>
      <c r="X981" t="s">
        <v>1034</v>
      </c>
      <c r="Y981">
        <v>9</v>
      </c>
      <c r="Z981" t="str">
        <f>IF(Table1[[#This Row],[Month_No]]&lt;=6, "H1","H2")</f>
        <v>H2</v>
      </c>
    </row>
    <row r="982" spans="1:26" x14ac:dyDescent="0.25">
      <c r="A982" s="2">
        <v>45905</v>
      </c>
      <c r="B982" t="s">
        <v>1063</v>
      </c>
      <c r="C982" t="s">
        <v>49</v>
      </c>
      <c r="D982" t="s">
        <v>28</v>
      </c>
      <c r="E982" t="s">
        <v>29</v>
      </c>
      <c r="F982" t="s">
        <v>52</v>
      </c>
      <c r="G982" t="s">
        <v>40</v>
      </c>
      <c r="H982" t="s">
        <v>47</v>
      </c>
      <c r="I982">
        <v>50.24588739637597</v>
      </c>
      <c r="J982" s="3">
        <v>1194.7</v>
      </c>
      <c r="K982" s="3">
        <f>Table1[[#This Row],[Quantity]]*Table1[[#This Row],[Unit_Price]]</f>
        <v>60028.761672450375</v>
      </c>
      <c r="L982" s="3">
        <v>2156.1999999999998</v>
      </c>
      <c r="M982" s="3">
        <f>Table1[[#This Row],[Gross_Sales]]-Table1[[#This Row],[Discount]]</f>
        <v>57872.561672450378</v>
      </c>
      <c r="N982" s="3">
        <v>31854.799999999999</v>
      </c>
      <c r="O982" s="3">
        <v>991.23</v>
      </c>
      <c r="P982" s="3">
        <v>2979.52</v>
      </c>
      <c r="Q982" s="3">
        <v>1604.3</v>
      </c>
      <c r="R982" s="3">
        <v>819.88</v>
      </c>
      <c r="S982" s="3">
        <f>SUM(Table1[[#This Row],[Product_Cost]:[Other_Cost]])</f>
        <v>38249.729999999996</v>
      </c>
      <c r="T982" s="3">
        <f>Table1[[#This Row],[Net_Sales]]-Table1[[#This Row],[Product_Cost]]</f>
        <v>26017.761672450379</v>
      </c>
      <c r="U982" s="3">
        <f>Table1[[#This Row],[Net_Sales]]-Table1[[#This Row],[Total_Cost]]</f>
        <v>19622.831672450382</v>
      </c>
      <c r="V982" s="4">
        <f>Table1[[#This Row],[Net_Profit]]/Table1[[#This Row],[Net_Sales]]</f>
        <v>0.33906969218871857</v>
      </c>
      <c r="W982" t="s">
        <v>72</v>
      </c>
      <c r="X982" t="s">
        <v>1034</v>
      </c>
      <c r="Y982">
        <v>9</v>
      </c>
      <c r="Z982" t="str">
        <f>IF(Table1[[#This Row],[Month_No]]&lt;=6, "H1","H2")</f>
        <v>H2</v>
      </c>
    </row>
    <row r="983" spans="1:26" x14ac:dyDescent="0.25">
      <c r="A983" s="2">
        <v>45906</v>
      </c>
      <c r="B983" t="s">
        <v>1064</v>
      </c>
      <c r="C983" t="s">
        <v>55</v>
      </c>
      <c r="D983" t="s">
        <v>100</v>
      </c>
      <c r="E983" t="s">
        <v>75</v>
      </c>
      <c r="F983" t="s">
        <v>30</v>
      </c>
      <c r="G983" t="s">
        <v>61</v>
      </c>
      <c r="H983" t="s">
        <v>59</v>
      </c>
      <c r="I983">
        <v>46.441588628777758</v>
      </c>
      <c r="J983" s="3">
        <v>7545.95</v>
      </c>
      <c r="K983" s="3">
        <f>Table1[[#This Row],[Quantity]]*Table1[[#This Row],[Unit_Price]]</f>
        <v>350445.90571332554</v>
      </c>
      <c r="L983" s="3">
        <v>13964.44</v>
      </c>
      <c r="M983" s="3">
        <f>Table1[[#This Row],[Gross_Sales]]-Table1[[#This Row],[Discount]]</f>
        <v>336481.46571332554</v>
      </c>
      <c r="N983" s="3">
        <v>185326.69</v>
      </c>
      <c r="O983" s="3">
        <v>8561.6</v>
      </c>
      <c r="P983" s="3">
        <v>17731.71</v>
      </c>
      <c r="Q983" s="3">
        <v>9739.52</v>
      </c>
      <c r="R983" s="3">
        <v>5962.25</v>
      </c>
      <c r="S983" s="3">
        <f>SUM(Table1[[#This Row],[Product_Cost]:[Other_Cost]])</f>
        <v>227321.77</v>
      </c>
      <c r="T983" s="3">
        <f>Table1[[#This Row],[Net_Sales]]-Table1[[#This Row],[Product_Cost]]</f>
        <v>151154.77571332554</v>
      </c>
      <c r="U983" s="3">
        <f>Table1[[#This Row],[Net_Sales]]-Table1[[#This Row],[Total_Cost]]</f>
        <v>109159.69571332555</v>
      </c>
      <c r="V983" s="4">
        <f>Table1[[#This Row],[Net_Profit]]/Table1[[#This Row],[Net_Sales]]</f>
        <v>0.32441518132926556</v>
      </c>
      <c r="W983" t="s">
        <v>33</v>
      </c>
      <c r="X983" t="s">
        <v>1034</v>
      </c>
      <c r="Y983">
        <v>9</v>
      </c>
      <c r="Z983" t="str">
        <f>IF(Table1[[#This Row],[Month_No]]&lt;=6, "H1","H2")</f>
        <v>H2</v>
      </c>
    </row>
    <row r="984" spans="1:26" x14ac:dyDescent="0.25">
      <c r="A984" s="2">
        <v>45906</v>
      </c>
      <c r="B984" t="s">
        <v>1065</v>
      </c>
      <c r="C984" t="s">
        <v>27</v>
      </c>
      <c r="D984" t="s">
        <v>183</v>
      </c>
      <c r="E984" t="s">
        <v>38</v>
      </c>
      <c r="F984" t="s">
        <v>52</v>
      </c>
      <c r="G984" t="s">
        <v>31</v>
      </c>
      <c r="H984" t="s">
        <v>32</v>
      </c>
      <c r="I984">
        <v>43.87369895162329</v>
      </c>
      <c r="J984" s="3">
        <v>7040.23</v>
      </c>
      <c r="K984" s="3">
        <f>Table1[[#This Row],[Quantity]]*Table1[[#This Row],[Unit_Price]]</f>
        <v>308880.9315701868</v>
      </c>
      <c r="L984" s="3">
        <v>17208.490000000002</v>
      </c>
      <c r="M984" s="3">
        <f>Table1[[#This Row],[Gross_Sales]]-Table1[[#This Row],[Discount]]</f>
        <v>291672.44157018681</v>
      </c>
      <c r="N984" s="3">
        <v>155570.01999999999</v>
      </c>
      <c r="O984" s="3">
        <v>5928.22</v>
      </c>
      <c r="P984" s="3">
        <v>15954.47</v>
      </c>
      <c r="Q984" s="3">
        <v>7033.41</v>
      </c>
      <c r="R984" s="3">
        <v>3969.81</v>
      </c>
      <c r="S984" s="3">
        <f>SUM(Table1[[#This Row],[Product_Cost]:[Other_Cost]])</f>
        <v>188455.93</v>
      </c>
      <c r="T984" s="3">
        <f>Table1[[#This Row],[Net_Sales]]-Table1[[#This Row],[Product_Cost]]</f>
        <v>136102.42157018682</v>
      </c>
      <c r="U984" s="3">
        <f>Table1[[#This Row],[Net_Sales]]-Table1[[#This Row],[Total_Cost]]</f>
        <v>103216.51157018682</v>
      </c>
      <c r="V984" s="4">
        <f>Table1[[#This Row],[Net_Profit]]/Table1[[#This Row],[Net_Sales]]</f>
        <v>0.35387817585553155</v>
      </c>
      <c r="W984" t="s">
        <v>72</v>
      </c>
      <c r="X984" t="s">
        <v>1034</v>
      </c>
      <c r="Y984">
        <v>9</v>
      </c>
      <c r="Z984" t="str">
        <f>IF(Table1[[#This Row],[Month_No]]&lt;=6, "H1","H2")</f>
        <v>H2</v>
      </c>
    </row>
    <row r="985" spans="1:26" x14ac:dyDescent="0.25">
      <c r="A985" s="2">
        <v>45907</v>
      </c>
      <c r="B985" t="s">
        <v>1066</v>
      </c>
      <c r="C985" t="s">
        <v>27</v>
      </c>
      <c r="D985" t="s">
        <v>81</v>
      </c>
      <c r="E985" t="s">
        <v>45</v>
      </c>
      <c r="F985" t="s">
        <v>30</v>
      </c>
      <c r="G985" t="s">
        <v>58</v>
      </c>
      <c r="H985" t="s">
        <v>41</v>
      </c>
      <c r="I985">
        <v>31.587465057931411</v>
      </c>
      <c r="J985" s="3">
        <v>6801.64</v>
      </c>
      <c r="K985" s="3">
        <f>Table1[[#This Row],[Quantity]]*Table1[[#This Row],[Unit_Price]]</f>
        <v>214846.56583662861</v>
      </c>
      <c r="L985" s="3">
        <v>8427.8799999999992</v>
      </c>
      <c r="M985" s="3">
        <f>Table1[[#This Row],[Gross_Sales]]-Table1[[#This Row],[Discount]]</f>
        <v>206418.6858366286</v>
      </c>
      <c r="N985" s="3">
        <v>105248.72</v>
      </c>
      <c r="O985" s="3">
        <v>5958.84</v>
      </c>
      <c r="P985" s="3">
        <v>11432.09</v>
      </c>
      <c r="Q985" s="3">
        <v>5820.01</v>
      </c>
      <c r="R985" s="3">
        <v>3204.33</v>
      </c>
      <c r="S985" s="3">
        <f>SUM(Table1[[#This Row],[Product_Cost]:[Other_Cost]])</f>
        <v>131663.99</v>
      </c>
      <c r="T985" s="3">
        <f>Table1[[#This Row],[Net_Sales]]-Table1[[#This Row],[Product_Cost]]</f>
        <v>101169.9658366286</v>
      </c>
      <c r="U985" s="3">
        <f>Table1[[#This Row],[Net_Sales]]-Table1[[#This Row],[Total_Cost]]</f>
        <v>74754.695836628613</v>
      </c>
      <c r="V985" s="4">
        <f>Table1[[#This Row],[Net_Profit]]/Table1[[#This Row],[Net_Sales]]</f>
        <v>0.36215081756597217</v>
      </c>
      <c r="W985" t="s">
        <v>33</v>
      </c>
      <c r="X985" t="s">
        <v>1034</v>
      </c>
      <c r="Y985">
        <v>9</v>
      </c>
      <c r="Z985" t="str">
        <f>IF(Table1[[#This Row],[Month_No]]&lt;=6, "H1","H2")</f>
        <v>H2</v>
      </c>
    </row>
    <row r="986" spans="1:26" x14ac:dyDescent="0.25">
      <c r="A986" s="2">
        <v>45907</v>
      </c>
      <c r="B986" t="s">
        <v>1067</v>
      </c>
      <c r="C986" t="s">
        <v>70</v>
      </c>
      <c r="D986" t="s">
        <v>56</v>
      </c>
      <c r="E986" t="s">
        <v>57</v>
      </c>
      <c r="F986" t="s">
        <v>39</v>
      </c>
      <c r="G986" t="s">
        <v>76</v>
      </c>
      <c r="H986" t="s">
        <v>41</v>
      </c>
      <c r="I986">
        <v>58.424152279033741</v>
      </c>
      <c r="J986" s="3">
        <v>3392.41</v>
      </c>
      <c r="K986" s="3">
        <f>Table1[[#This Row],[Quantity]]*Table1[[#This Row],[Unit_Price]]</f>
        <v>198198.67843291684</v>
      </c>
      <c r="L986" s="3">
        <v>6699.78</v>
      </c>
      <c r="M986" s="3">
        <f>Table1[[#This Row],[Gross_Sales]]-Table1[[#This Row],[Discount]]</f>
        <v>191498.89843291685</v>
      </c>
      <c r="N986" s="3">
        <v>95686.88</v>
      </c>
      <c r="O986" s="3">
        <v>6400.22</v>
      </c>
      <c r="P986" s="3">
        <v>10486.68</v>
      </c>
      <c r="Q986" s="3">
        <v>4134.8599999999997</v>
      </c>
      <c r="R986" s="3">
        <v>3429.16</v>
      </c>
      <c r="S986" s="3">
        <f>SUM(Table1[[#This Row],[Product_Cost]:[Other_Cost]])</f>
        <v>120137.8</v>
      </c>
      <c r="T986" s="3">
        <f>Table1[[#This Row],[Net_Sales]]-Table1[[#This Row],[Product_Cost]]</f>
        <v>95812.018432916841</v>
      </c>
      <c r="U986" s="3">
        <f>Table1[[#This Row],[Net_Sales]]-Table1[[#This Row],[Total_Cost]]</f>
        <v>71361.098432916842</v>
      </c>
      <c r="V986" s="4">
        <f>Table1[[#This Row],[Net_Profit]]/Table1[[#This Row],[Net_Sales]]</f>
        <v>0.37264495522889413</v>
      </c>
      <c r="W986" t="s">
        <v>33</v>
      </c>
      <c r="X986" t="s">
        <v>1034</v>
      </c>
      <c r="Y986">
        <v>9</v>
      </c>
      <c r="Z986" t="str">
        <f>IF(Table1[[#This Row],[Month_No]]&lt;=6, "H1","H2")</f>
        <v>H2</v>
      </c>
    </row>
    <row r="987" spans="1:26" x14ac:dyDescent="0.25">
      <c r="A987" s="2">
        <v>45907</v>
      </c>
      <c r="B987" t="s">
        <v>1068</v>
      </c>
      <c r="C987" t="s">
        <v>36</v>
      </c>
      <c r="D987" t="s">
        <v>74</v>
      </c>
      <c r="E987" t="s">
        <v>75</v>
      </c>
      <c r="F987" t="s">
        <v>52</v>
      </c>
      <c r="G987" t="s">
        <v>40</v>
      </c>
      <c r="H987" t="s">
        <v>59</v>
      </c>
      <c r="I987">
        <v>62.334368084932329</v>
      </c>
      <c r="J987" s="3">
        <v>5885.21</v>
      </c>
      <c r="K987" s="3">
        <f>Table1[[#This Row],[Quantity]]*Table1[[#This Row],[Unit_Price]]</f>
        <v>366850.84639712458</v>
      </c>
      <c r="L987" s="3">
        <v>14484.13</v>
      </c>
      <c r="M987" s="3">
        <f>Table1[[#This Row],[Gross_Sales]]-Table1[[#This Row],[Discount]]</f>
        <v>352366.71639712458</v>
      </c>
      <c r="N987" s="3">
        <v>241815.97</v>
      </c>
      <c r="O987" s="3">
        <v>6398.74</v>
      </c>
      <c r="P987" s="3">
        <v>20027.830000000002</v>
      </c>
      <c r="Q987" s="3">
        <v>10074.59</v>
      </c>
      <c r="R987" s="3">
        <v>7470.64</v>
      </c>
      <c r="S987" s="3">
        <f>SUM(Table1[[#This Row],[Product_Cost]:[Other_Cost]])</f>
        <v>285787.77</v>
      </c>
      <c r="T987" s="3">
        <f>Table1[[#This Row],[Net_Sales]]-Table1[[#This Row],[Product_Cost]]</f>
        <v>110550.74639712457</v>
      </c>
      <c r="U987" s="3">
        <f>Table1[[#This Row],[Net_Sales]]-Table1[[#This Row],[Total_Cost]]</f>
        <v>66578.946397124557</v>
      </c>
      <c r="V987" s="4">
        <f>Table1[[#This Row],[Net_Profit]]/Table1[[#This Row],[Net_Sales]]</f>
        <v>0.18894788667295326</v>
      </c>
      <c r="W987" t="s">
        <v>33</v>
      </c>
      <c r="X987" t="s">
        <v>1034</v>
      </c>
      <c r="Y987">
        <v>9</v>
      </c>
      <c r="Z987" t="str">
        <f>IF(Table1[[#This Row],[Month_No]]&lt;=6, "H1","H2")</f>
        <v>H2</v>
      </c>
    </row>
    <row r="988" spans="1:26" x14ac:dyDescent="0.25">
      <c r="A988" s="2">
        <v>45908</v>
      </c>
      <c r="B988" t="s">
        <v>1069</v>
      </c>
      <c r="C988" t="s">
        <v>83</v>
      </c>
      <c r="D988" t="s">
        <v>68</v>
      </c>
      <c r="E988" t="s">
        <v>29</v>
      </c>
      <c r="F988" t="s">
        <v>52</v>
      </c>
      <c r="G988" t="s">
        <v>40</v>
      </c>
      <c r="H988" t="s">
        <v>32</v>
      </c>
      <c r="I988">
        <v>70.069010100025622</v>
      </c>
      <c r="J988" s="3">
        <v>400.99</v>
      </c>
      <c r="K988" s="3">
        <f>Table1[[#This Row],[Quantity]]*Table1[[#This Row],[Unit_Price]]</f>
        <v>28096.972360009277</v>
      </c>
      <c r="L988" s="3">
        <v>991.46</v>
      </c>
      <c r="M988" s="3">
        <f>Table1[[#This Row],[Gross_Sales]]-Table1[[#This Row],[Discount]]</f>
        <v>27105.512360009277</v>
      </c>
      <c r="N988" s="3">
        <v>19411.45</v>
      </c>
      <c r="O988" s="3">
        <v>475.68</v>
      </c>
      <c r="P988" s="3">
        <v>1470.85</v>
      </c>
      <c r="Q988" s="3">
        <v>581.1</v>
      </c>
      <c r="R988" s="3">
        <v>461.32</v>
      </c>
      <c r="S988" s="3">
        <f>SUM(Table1[[#This Row],[Product_Cost]:[Other_Cost]])</f>
        <v>22400.399999999998</v>
      </c>
      <c r="T988" s="3">
        <f>Table1[[#This Row],[Net_Sales]]-Table1[[#This Row],[Product_Cost]]</f>
        <v>7694.0623600092767</v>
      </c>
      <c r="U988" s="3">
        <f>Table1[[#This Row],[Net_Sales]]-Table1[[#This Row],[Total_Cost]]</f>
        <v>4705.1123600092797</v>
      </c>
      <c r="V988" s="4">
        <f>Table1[[#This Row],[Net_Profit]]/Table1[[#This Row],[Net_Sales]]</f>
        <v>0.17358507367494266</v>
      </c>
      <c r="W988" t="s">
        <v>33</v>
      </c>
      <c r="X988" t="s">
        <v>1034</v>
      </c>
      <c r="Y988">
        <v>9</v>
      </c>
      <c r="Z988" t="str">
        <f>IF(Table1[[#This Row],[Month_No]]&lt;=6, "H1","H2")</f>
        <v>H2</v>
      </c>
    </row>
    <row r="989" spans="1:26" x14ac:dyDescent="0.25">
      <c r="A989" s="2">
        <v>45908</v>
      </c>
      <c r="B989" t="s">
        <v>1070</v>
      </c>
      <c r="C989" t="s">
        <v>55</v>
      </c>
      <c r="D989" t="s">
        <v>44</v>
      </c>
      <c r="E989" t="s">
        <v>45</v>
      </c>
      <c r="F989" t="s">
        <v>52</v>
      </c>
      <c r="G989" t="s">
        <v>64</v>
      </c>
      <c r="H989" t="s">
        <v>47</v>
      </c>
      <c r="I989">
        <v>43.178320804673888</v>
      </c>
      <c r="J989" s="3">
        <v>4555.3</v>
      </c>
      <c r="K989" s="3">
        <f>Table1[[#This Row],[Quantity]]*Table1[[#This Row],[Unit_Price]]</f>
        <v>196690.20476153097</v>
      </c>
      <c r="L989" s="3">
        <v>5364.89</v>
      </c>
      <c r="M989" s="3">
        <f>Table1[[#This Row],[Gross_Sales]]-Table1[[#This Row],[Discount]]</f>
        <v>191325.31476153096</v>
      </c>
      <c r="N989" s="3">
        <v>122276.91</v>
      </c>
      <c r="O989" s="3">
        <v>3859.67</v>
      </c>
      <c r="P989" s="3">
        <v>10024.459999999999</v>
      </c>
      <c r="Q989" s="3">
        <v>4542.58</v>
      </c>
      <c r="R989" s="3">
        <v>3969.49</v>
      </c>
      <c r="S989" s="3">
        <f>SUM(Table1[[#This Row],[Product_Cost]:[Other_Cost]])</f>
        <v>144673.10999999999</v>
      </c>
      <c r="T989" s="3">
        <f>Table1[[#This Row],[Net_Sales]]-Table1[[#This Row],[Product_Cost]]</f>
        <v>69048.404761530954</v>
      </c>
      <c r="U989" s="3">
        <f>Table1[[#This Row],[Net_Sales]]-Table1[[#This Row],[Total_Cost]]</f>
        <v>46652.204761530971</v>
      </c>
      <c r="V989" s="4">
        <f>Table1[[#This Row],[Net_Profit]]/Table1[[#This Row],[Net_Sales]]</f>
        <v>0.24383707310074762</v>
      </c>
      <c r="W989" t="s">
        <v>33</v>
      </c>
      <c r="X989" t="s">
        <v>1034</v>
      </c>
      <c r="Y989">
        <v>9</v>
      </c>
      <c r="Z989" t="str">
        <f>IF(Table1[[#This Row],[Month_No]]&lt;=6, "H1","H2")</f>
        <v>H2</v>
      </c>
    </row>
    <row r="990" spans="1:26" x14ac:dyDescent="0.25">
      <c r="A990" s="2">
        <v>45908</v>
      </c>
      <c r="B990" t="s">
        <v>1071</v>
      </c>
      <c r="C990" t="s">
        <v>43</v>
      </c>
      <c r="D990" t="s">
        <v>28</v>
      </c>
      <c r="E990" t="s">
        <v>29</v>
      </c>
      <c r="F990" t="s">
        <v>52</v>
      </c>
      <c r="G990" t="s">
        <v>40</v>
      </c>
      <c r="H990" t="s">
        <v>59</v>
      </c>
      <c r="I990">
        <v>97.659538309382995</v>
      </c>
      <c r="J990" s="3">
        <v>1185.56</v>
      </c>
      <c r="K990" s="3">
        <f>Table1[[#This Row],[Quantity]]*Table1[[#This Row],[Unit_Price]]</f>
        <v>115781.2422380721</v>
      </c>
      <c r="L990" s="3">
        <v>3515.75</v>
      </c>
      <c r="M990" s="3">
        <f>Table1[[#This Row],[Gross_Sales]]-Table1[[#This Row],[Discount]]</f>
        <v>112265.4922380721</v>
      </c>
      <c r="N990" s="3">
        <v>60505.1</v>
      </c>
      <c r="O990" s="3">
        <v>2226.52</v>
      </c>
      <c r="P990" s="3">
        <v>5764.32</v>
      </c>
      <c r="Q990" s="3">
        <v>3554.6</v>
      </c>
      <c r="R990" s="3">
        <v>1425.61</v>
      </c>
      <c r="S990" s="3">
        <f>SUM(Table1[[#This Row],[Product_Cost]:[Other_Cost]])</f>
        <v>73476.150000000009</v>
      </c>
      <c r="T990" s="3">
        <f>Table1[[#This Row],[Net_Sales]]-Table1[[#This Row],[Product_Cost]]</f>
        <v>51760.392238072098</v>
      </c>
      <c r="U990" s="3">
        <f>Table1[[#This Row],[Net_Sales]]-Table1[[#This Row],[Total_Cost]]</f>
        <v>38789.342238072088</v>
      </c>
      <c r="V990" s="4">
        <f>Table1[[#This Row],[Net_Profit]]/Table1[[#This Row],[Net_Sales]]</f>
        <v>0.34551438260133183</v>
      </c>
      <c r="W990" t="s">
        <v>33</v>
      </c>
      <c r="X990" t="s">
        <v>1034</v>
      </c>
      <c r="Y990">
        <v>9</v>
      </c>
      <c r="Z990" t="str">
        <f>IF(Table1[[#This Row],[Month_No]]&lt;=6, "H1","H2")</f>
        <v>H2</v>
      </c>
    </row>
    <row r="991" spans="1:26" x14ac:dyDescent="0.25">
      <c r="A991" s="2">
        <v>45908</v>
      </c>
      <c r="B991" t="s">
        <v>1072</v>
      </c>
      <c r="C991" t="s">
        <v>27</v>
      </c>
      <c r="D991" t="s">
        <v>50</v>
      </c>
      <c r="E991" t="s">
        <v>51</v>
      </c>
      <c r="F991" t="s">
        <v>52</v>
      </c>
      <c r="G991" t="s">
        <v>86</v>
      </c>
      <c r="H991" t="s">
        <v>41</v>
      </c>
      <c r="I991">
        <v>69.596626713318187</v>
      </c>
      <c r="J991" s="3">
        <v>928.1</v>
      </c>
      <c r="K991" s="3">
        <f>Table1[[#This Row],[Quantity]]*Table1[[#This Row],[Unit_Price]]</f>
        <v>64592.629252630613</v>
      </c>
      <c r="L991" s="3">
        <v>2820.46</v>
      </c>
      <c r="M991" s="3">
        <f>Table1[[#This Row],[Gross_Sales]]-Table1[[#This Row],[Discount]]</f>
        <v>61772.169252630614</v>
      </c>
      <c r="N991" s="3">
        <v>36912.76</v>
      </c>
      <c r="O991" s="3">
        <v>1061.58</v>
      </c>
      <c r="P991" s="3">
        <v>3093.71</v>
      </c>
      <c r="Q991" s="3">
        <v>1216.29</v>
      </c>
      <c r="R991" s="3">
        <v>1266.06</v>
      </c>
      <c r="S991" s="3">
        <f>SUM(Table1[[#This Row],[Product_Cost]:[Other_Cost]])</f>
        <v>43550.400000000001</v>
      </c>
      <c r="T991" s="3">
        <f>Table1[[#This Row],[Net_Sales]]-Table1[[#This Row],[Product_Cost]]</f>
        <v>24859.409252630612</v>
      </c>
      <c r="U991" s="3">
        <f>Table1[[#This Row],[Net_Sales]]-Table1[[#This Row],[Total_Cost]]</f>
        <v>18221.769252630613</v>
      </c>
      <c r="V991" s="4">
        <f>Table1[[#This Row],[Net_Profit]]/Table1[[#This Row],[Net_Sales]]</f>
        <v>0.29498347675162184</v>
      </c>
      <c r="W991" t="s">
        <v>33</v>
      </c>
      <c r="X991" t="s">
        <v>1034</v>
      </c>
      <c r="Y991">
        <v>9</v>
      </c>
      <c r="Z991" t="str">
        <f>IF(Table1[[#This Row],[Month_No]]&lt;=6, "H1","H2")</f>
        <v>H2</v>
      </c>
    </row>
    <row r="992" spans="1:26" x14ac:dyDescent="0.25">
      <c r="A992" s="2">
        <v>45909</v>
      </c>
      <c r="B992" t="s">
        <v>1073</v>
      </c>
      <c r="C992" t="s">
        <v>117</v>
      </c>
      <c r="D992" t="s">
        <v>44</v>
      </c>
      <c r="E992" t="s">
        <v>45</v>
      </c>
      <c r="F992" t="s">
        <v>30</v>
      </c>
      <c r="G992" t="s">
        <v>61</v>
      </c>
      <c r="H992" t="s">
        <v>41</v>
      </c>
      <c r="I992">
        <v>76.339836997371052</v>
      </c>
      <c r="J992" s="3">
        <v>4642.0200000000004</v>
      </c>
      <c r="K992" s="3">
        <f>Table1[[#This Row],[Quantity]]*Table1[[#This Row],[Unit_Price]]</f>
        <v>354371.05013853638</v>
      </c>
      <c r="L992" s="3">
        <v>16033.05</v>
      </c>
      <c r="M992" s="3">
        <f>Table1[[#This Row],[Gross_Sales]]-Table1[[#This Row],[Discount]]</f>
        <v>338338.00013853639</v>
      </c>
      <c r="N992" s="3">
        <v>217522.89</v>
      </c>
      <c r="O992" s="3">
        <v>8604.1299999999992</v>
      </c>
      <c r="P992" s="3">
        <v>18471.86</v>
      </c>
      <c r="Q992" s="3">
        <v>7343.56</v>
      </c>
      <c r="R992" s="3">
        <v>5048.04</v>
      </c>
      <c r="S992" s="3">
        <f>SUM(Table1[[#This Row],[Product_Cost]:[Other_Cost]])</f>
        <v>256990.48</v>
      </c>
      <c r="T992" s="3">
        <f>Table1[[#This Row],[Net_Sales]]-Table1[[#This Row],[Product_Cost]]</f>
        <v>120815.11013853637</v>
      </c>
      <c r="U992" s="3">
        <f>Table1[[#This Row],[Net_Sales]]-Table1[[#This Row],[Total_Cost]]</f>
        <v>81347.520138536376</v>
      </c>
      <c r="V992" s="4">
        <f>Table1[[#This Row],[Net_Profit]]/Table1[[#This Row],[Net_Sales]]</f>
        <v>0.2404327037022968</v>
      </c>
      <c r="W992" t="s">
        <v>33</v>
      </c>
      <c r="X992" t="s">
        <v>1034</v>
      </c>
      <c r="Y992">
        <v>9</v>
      </c>
      <c r="Z992" t="str">
        <f>IF(Table1[[#This Row],[Month_No]]&lt;=6, "H1","H2")</f>
        <v>H2</v>
      </c>
    </row>
    <row r="993" spans="1:26" x14ac:dyDescent="0.25">
      <c r="A993" s="2">
        <v>45910</v>
      </c>
      <c r="B993" t="s">
        <v>1074</v>
      </c>
      <c r="C993" t="s">
        <v>63</v>
      </c>
      <c r="D993" t="s">
        <v>56</v>
      </c>
      <c r="E993" t="s">
        <v>57</v>
      </c>
      <c r="F993" t="s">
        <v>39</v>
      </c>
      <c r="G993" t="s">
        <v>61</v>
      </c>
      <c r="H993" t="s">
        <v>41</v>
      </c>
      <c r="I993">
        <v>62.540037841253223</v>
      </c>
      <c r="J993" s="3">
        <v>3520.44</v>
      </c>
      <c r="K993" s="3">
        <f>Table1[[#This Row],[Quantity]]*Table1[[#This Row],[Unit_Price]]</f>
        <v>220168.45081786151</v>
      </c>
      <c r="L993" s="3">
        <v>8414.23</v>
      </c>
      <c r="M993" s="3">
        <f>Table1[[#This Row],[Gross_Sales]]-Table1[[#This Row],[Discount]]</f>
        <v>211754.2208178615</v>
      </c>
      <c r="N993" s="3">
        <v>106163.8</v>
      </c>
      <c r="O993" s="3">
        <v>5781.35</v>
      </c>
      <c r="P993" s="3">
        <v>11574.7</v>
      </c>
      <c r="Q993" s="3">
        <v>6348.16</v>
      </c>
      <c r="R993" s="3">
        <v>3796.19</v>
      </c>
      <c r="S993" s="3">
        <f>SUM(Table1[[#This Row],[Product_Cost]:[Other_Cost]])</f>
        <v>133664.20000000001</v>
      </c>
      <c r="T993" s="3">
        <f>Table1[[#This Row],[Net_Sales]]-Table1[[#This Row],[Product_Cost]]</f>
        <v>105590.42081786149</v>
      </c>
      <c r="U993" s="3">
        <f>Table1[[#This Row],[Net_Sales]]-Table1[[#This Row],[Total_Cost]]</f>
        <v>78090.020817861485</v>
      </c>
      <c r="V993" s="4">
        <f>Table1[[#This Row],[Net_Profit]]/Table1[[#This Row],[Net_Sales]]</f>
        <v>0.36877669080811343</v>
      </c>
      <c r="W993" t="s">
        <v>33</v>
      </c>
      <c r="X993" t="s">
        <v>1034</v>
      </c>
      <c r="Y993">
        <v>9</v>
      </c>
      <c r="Z993" t="str">
        <f>IF(Table1[[#This Row],[Month_No]]&lt;=6, "H1","H2")</f>
        <v>H2</v>
      </c>
    </row>
    <row r="994" spans="1:26" x14ac:dyDescent="0.25">
      <c r="A994" s="2">
        <v>45910</v>
      </c>
      <c r="B994" t="s">
        <v>1075</v>
      </c>
      <c r="C994" t="s">
        <v>83</v>
      </c>
      <c r="D994" t="s">
        <v>44</v>
      </c>
      <c r="E994" t="s">
        <v>45</v>
      </c>
      <c r="F994" t="s">
        <v>39</v>
      </c>
      <c r="G994" t="s">
        <v>58</v>
      </c>
      <c r="H994" t="s">
        <v>47</v>
      </c>
      <c r="I994">
        <v>43.651959453568423</v>
      </c>
      <c r="J994" s="3">
        <v>4894.3599999999997</v>
      </c>
      <c r="K994" s="3">
        <f>Table1[[#This Row],[Quantity]]*Table1[[#This Row],[Unit_Price]]</f>
        <v>213648.40427116712</v>
      </c>
      <c r="L994" s="3">
        <v>6278.04</v>
      </c>
      <c r="M994" s="3">
        <f>Table1[[#This Row],[Gross_Sales]]-Table1[[#This Row],[Discount]]</f>
        <v>207370.36427116711</v>
      </c>
      <c r="N994" s="3">
        <v>139078.46</v>
      </c>
      <c r="O994" s="3">
        <v>7243.89</v>
      </c>
      <c r="P994" s="3">
        <v>10869.96</v>
      </c>
      <c r="Q994" s="3">
        <v>6451.02</v>
      </c>
      <c r="R994" s="3">
        <v>3768.83</v>
      </c>
      <c r="S994" s="3">
        <f>SUM(Table1[[#This Row],[Product_Cost]:[Other_Cost]])</f>
        <v>167412.15999999997</v>
      </c>
      <c r="T994" s="3">
        <f>Table1[[#This Row],[Net_Sales]]-Table1[[#This Row],[Product_Cost]]</f>
        <v>68291.904271167121</v>
      </c>
      <c r="U994" s="3">
        <f>Table1[[#This Row],[Net_Sales]]-Table1[[#This Row],[Total_Cost]]</f>
        <v>39958.204271167138</v>
      </c>
      <c r="V994" s="4">
        <f>Table1[[#This Row],[Net_Profit]]/Table1[[#This Row],[Net_Sales]]</f>
        <v>0.19269004233852788</v>
      </c>
      <c r="W994" t="s">
        <v>33</v>
      </c>
      <c r="X994" t="s">
        <v>1034</v>
      </c>
      <c r="Y994">
        <v>9</v>
      </c>
      <c r="Z994" t="str">
        <f>IF(Table1[[#This Row],[Month_No]]&lt;=6, "H1","H2")</f>
        <v>H2</v>
      </c>
    </row>
    <row r="995" spans="1:26" x14ac:dyDescent="0.25">
      <c r="A995" s="2">
        <v>45910</v>
      </c>
      <c r="B995" t="s">
        <v>1076</v>
      </c>
      <c r="C995" t="s">
        <v>117</v>
      </c>
      <c r="D995" t="s">
        <v>100</v>
      </c>
      <c r="E995" t="s">
        <v>75</v>
      </c>
      <c r="F995" t="s">
        <v>52</v>
      </c>
      <c r="G995" t="s">
        <v>31</v>
      </c>
      <c r="H995" t="s">
        <v>59</v>
      </c>
      <c r="I995">
        <v>21.834414632488379</v>
      </c>
      <c r="J995" s="3">
        <v>7452.24</v>
      </c>
      <c r="K995" s="3">
        <f>Table1[[#This Row],[Quantity]]*Table1[[#This Row],[Unit_Price]]</f>
        <v>162715.29810081518</v>
      </c>
      <c r="L995" s="3">
        <v>5343.25</v>
      </c>
      <c r="M995" s="3">
        <f>Table1[[#This Row],[Gross_Sales]]-Table1[[#This Row],[Discount]]</f>
        <v>157372.04810081518</v>
      </c>
      <c r="N995" s="3">
        <v>88099.04</v>
      </c>
      <c r="O995" s="3">
        <v>3301.26</v>
      </c>
      <c r="P995" s="3">
        <v>8011.76</v>
      </c>
      <c r="Q995" s="3">
        <v>4593.7</v>
      </c>
      <c r="R995" s="3">
        <v>2293.16</v>
      </c>
      <c r="S995" s="3">
        <f>SUM(Table1[[#This Row],[Product_Cost]:[Other_Cost]])</f>
        <v>106298.91999999998</v>
      </c>
      <c r="T995" s="3">
        <f>Table1[[#This Row],[Net_Sales]]-Table1[[#This Row],[Product_Cost]]</f>
        <v>69273.00810081519</v>
      </c>
      <c r="U995" s="3">
        <f>Table1[[#This Row],[Net_Sales]]-Table1[[#This Row],[Total_Cost]]</f>
        <v>51073.1281008152</v>
      </c>
      <c r="V995" s="4">
        <f>Table1[[#This Row],[Net_Profit]]/Table1[[#This Row],[Net_Sales]]</f>
        <v>0.3245374811929555</v>
      </c>
      <c r="W995" t="s">
        <v>33</v>
      </c>
      <c r="X995" t="s">
        <v>1034</v>
      </c>
      <c r="Y995">
        <v>9</v>
      </c>
      <c r="Z995" t="str">
        <f>IF(Table1[[#This Row],[Month_No]]&lt;=6, "H1","H2")</f>
        <v>H2</v>
      </c>
    </row>
    <row r="996" spans="1:26" x14ac:dyDescent="0.25">
      <c r="A996" s="2">
        <v>45911</v>
      </c>
      <c r="B996" t="s">
        <v>1077</v>
      </c>
      <c r="C996" t="s">
        <v>117</v>
      </c>
      <c r="D996" t="s">
        <v>28</v>
      </c>
      <c r="E996" t="s">
        <v>29</v>
      </c>
      <c r="F996" t="s">
        <v>52</v>
      </c>
      <c r="G996" t="s">
        <v>86</v>
      </c>
      <c r="H996" t="s">
        <v>47</v>
      </c>
      <c r="I996">
        <v>83.944301750885771</v>
      </c>
      <c r="J996" s="3">
        <v>1225.0899999999999</v>
      </c>
      <c r="K996" s="3">
        <f>Table1[[#This Row],[Quantity]]*Table1[[#This Row],[Unit_Price]]</f>
        <v>102839.32463199264</v>
      </c>
      <c r="L996" s="3">
        <v>2605.52</v>
      </c>
      <c r="M996" s="3">
        <f>Table1[[#This Row],[Gross_Sales]]-Table1[[#This Row],[Discount]]</f>
        <v>100233.80463199264</v>
      </c>
      <c r="N996" s="3">
        <v>53585.68</v>
      </c>
      <c r="O996" s="3">
        <v>1684.08</v>
      </c>
      <c r="P996" s="3">
        <v>5688.09</v>
      </c>
      <c r="Q996" s="3">
        <v>2374.17</v>
      </c>
      <c r="R996" s="3">
        <v>1363.28</v>
      </c>
      <c r="S996" s="3">
        <f>SUM(Table1[[#This Row],[Product_Cost]:[Other_Cost]])</f>
        <v>64695.3</v>
      </c>
      <c r="T996" s="3">
        <f>Table1[[#This Row],[Net_Sales]]-Table1[[#This Row],[Product_Cost]]</f>
        <v>46648.124631992636</v>
      </c>
      <c r="U996" s="3">
        <f>Table1[[#This Row],[Net_Sales]]-Table1[[#This Row],[Total_Cost]]</f>
        <v>35538.504631992633</v>
      </c>
      <c r="V996" s="4">
        <f>Table1[[#This Row],[Net_Profit]]/Table1[[#This Row],[Net_Sales]]</f>
        <v>0.35455607778704878</v>
      </c>
      <c r="W996" t="s">
        <v>33</v>
      </c>
      <c r="X996" t="s">
        <v>1034</v>
      </c>
      <c r="Y996">
        <v>9</v>
      </c>
      <c r="Z996" t="str">
        <f>IF(Table1[[#This Row],[Month_No]]&lt;=6, "H1","H2")</f>
        <v>H2</v>
      </c>
    </row>
    <row r="997" spans="1:26" x14ac:dyDescent="0.25">
      <c r="A997" s="2">
        <v>45911</v>
      </c>
      <c r="B997" t="s">
        <v>1078</v>
      </c>
      <c r="C997" t="s">
        <v>36</v>
      </c>
      <c r="D997" t="s">
        <v>50</v>
      </c>
      <c r="E997" t="s">
        <v>51</v>
      </c>
      <c r="F997" t="s">
        <v>52</v>
      </c>
      <c r="G997" t="s">
        <v>31</v>
      </c>
      <c r="H997" t="s">
        <v>47</v>
      </c>
      <c r="I997">
        <v>55.996476349920187</v>
      </c>
      <c r="J997" s="3">
        <v>908.33</v>
      </c>
      <c r="K997" s="3">
        <f>Table1[[#This Row],[Quantity]]*Table1[[#This Row],[Unit_Price]]</f>
        <v>50863.279362923007</v>
      </c>
      <c r="L997" s="3">
        <v>2256.8000000000002</v>
      </c>
      <c r="M997" s="3">
        <f>Table1[[#This Row],[Gross_Sales]]-Table1[[#This Row],[Discount]]</f>
        <v>48606.479362923004</v>
      </c>
      <c r="N997" s="3">
        <v>30524.81</v>
      </c>
      <c r="O997" s="3">
        <v>757.88</v>
      </c>
      <c r="P997" s="3">
        <v>2660.68</v>
      </c>
      <c r="Q997" s="3">
        <v>1358.61</v>
      </c>
      <c r="R997" s="3">
        <v>854.54</v>
      </c>
      <c r="S997" s="3">
        <f>SUM(Table1[[#This Row],[Product_Cost]:[Other_Cost]])</f>
        <v>36156.520000000004</v>
      </c>
      <c r="T997" s="3">
        <f>Table1[[#This Row],[Net_Sales]]-Table1[[#This Row],[Product_Cost]]</f>
        <v>18081.669362923003</v>
      </c>
      <c r="U997" s="3">
        <f>Table1[[#This Row],[Net_Sales]]-Table1[[#This Row],[Total_Cost]]</f>
        <v>12449.959362923</v>
      </c>
      <c r="V997" s="4">
        <f>Table1[[#This Row],[Net_Profit]]/Table1[[#This Row],[Net_Sales]]</f>
        <v>0.25613785499592928</v>
      </c>
      <c r="W997" t="s">
        <v>33</v>
      </c>
      <c r="X997" t="s">
        <v>1034</v>
      </c>
      <c r="Y997">
        <v>9</v>
      </c>
      <c r="Z997" t="str">
        <f>IF(Table1[[#This Row],[Month_No]]&lt;=6, "H1","H2")</f>
        <v>H2</v>
      </c>
    </row>
    <row r="998" spans="1:26" x14ac:dyDescent="0.25">
      <c r="A998" s="2">
        <v>45911</v>
      </c>
      <c r="B998" t="s">
        <v>1079</v>
      </c>
      <c r="C998" t="s">
        <v>63</v>
      </c>
      <c r="D998" t="s">
        <v>100</v>
      </c>
      <c r="E998" t="s">
        <v>75</v>
      </c>
      <c r="F998" t="s">
        <v>39</v>
      </c>
      <c r="G998" t="s">
        <v>76</v>
      </c>
      <c r="H998" t="s">
        <v>41</v>
      </c>
      <c r="I998">
        <v>55.429738162747647</v>
      </c>
      <c r="J998" s="3">
        <v>7273.12</v>
      </c>
      <c r="K998" s="3">
        <f>Table1[[#This Row],[Quantity]]*Table1[[#This Row],[Unit_Price]]</f>
        <v>403147.13722624315</v>
      </c>
      <c r="L998" s="3">
        <v>17424.63</v>
      </c>
      <c r="M998" s="3">
        <f>Table1[[#This Row],[Gross_Sales]]-Table1[[#This Row],[Discount]]</f>
        <v>385722.50722624315</v>
      </c>
      <c r="N998" s="3">
        <v>207702.99</v>
      </c>
      <c r="O998" s="3">
        <v>10196.379999999999</v>
      </c>
      <c r="P998" s="3">
        <v>22569.66</v>
      </c>
      <c r="Q998" s="3">
        <v>9621.41</v>
      </c>
      <c r="R998" s="3">
        <v>6140.18</v>
      </c>
      <c r="S998" s="3">
        <f>SUM(Table1[[#This Row],[Product_Cost]:[Other_Cost]])</f>
        <v>256230.62</v>
      </c>
      <c r="T998" s="3">
        <f>Table1[[#This Row],[Net_Sales]]-Table1[[#This Row],[Product_Cost]]</f>
        <v>178019.51722624316</v>
      </c>
      <c r="U998" s="3">
        <f>Table1[[#This Row],[Net_Sales]]-Table1[[#This Row],[Total_Cost]]</f>
        <v>129491.88722624315</v>
      </c>
      <c r="V998" s="4">
        <f>Table1[[#This Row],[Net_Profit]]/Table1[[#This Row],[Net_Sales]]</f>
        <v>0.33571255190014226</v>
      </c>
      <c r="W998" t="s">
        <v>33</v>
      </c>
      <c r="X998" t="s">
        <v>1034</v>
      </c>
      <c r="Y998">
        <v>9</v>
      </c>
      <c r="Z998" t="str">
        <f>IF(Table1[[#This Row],[Month_No]]&lt;=6, "H1","H2")</f>
        <v>H2</v>
      </c>
    </row>
    <row r="999" spans="1:26" x14ac:dyDescent="0.25">
      <c r="A999" s="2">
        <v>45912</v>
      </c>
      <c r="B999" t="s">
        <v>1080</v>
      </c>
      <c r="C999" t="s">
        <v>27</v>
      </c>
      <c r="D999" t="s">
        <v>66</v>
      </c>
      <c r="E999" t="s">
        <v>51</v>
      </c>
      <c r="F999" t="s">
        <v>52</v>
      </c>
      <c r="G999" t="s">
        <v>64</v>
      </c>
      <c r="H999" t="s">
        <v>59</v>
      </c>
      <c r="I999">
        <v>74.538031751600016</v>
      </c>
      <c r="J999" s="3">
        <v>1570.09</v>
      </c>
      <c r="K999" s="3">
        <f>Table1[[#This Row],[Quantity]]*Table1[[#This Row],[Unit_Price]]</f>
        <v>117031.41827286966</v>
      </c>
      <c r="L999" s="3">
        <v>4761.6000000000004</v>
      </c>
      <c r="M999" s="3">
        <f>Table1[[#This Row],[Gross_Sales]]-Table1[[#This Row],[Discount]]</f>
        <v>112269.81827286966</v>
      </c>
      <c r="N999" s="3">
        <v>52763.67</v>
      </c>
      <c r="O999" s="3">
        <v>2161.5700000000002</v>
      </c>
      <c r="P999" s="3">
        <v>5977.09</v>
      </c>
      <c r="Q999" s="3">
        <v>3450.24</v>
      </c>
      <c r="R999" s="3">
        <v>1849.12</v>
      </c>
      <c r="S999" s="3">
        <f>SUM(Table1[[#This Row],[Product_Cost]:[Other_Cost]])</f>
        <v>66201.69</v>
      </c>
      <c r="T999" s="3">
        <f>Table1[[#This Row],[Net_Sales]]-Table1[[#This Row],[Product_Cost]]</f>
        <v>59506.148272869657</v>
      </c>
      <c r="U999" s="3">
        <f>Table1[[#This Row],[Net_Sales]]-Table1[[#This Row],[Total_Cost]]</f>
        <v>46068.128272869653</v>
      </c>
      <c r="V999" s="4">
        <f>Table1[[#This Row],[Net_Profit]]/Table1[[#This Row],[Net_Sales]]</f>
        <v>0.41033404152220099</v>
      </c>
      <c r="W999" t="s">
        <v>72</v>
      </c>
      <c r="X999" t="s">
        <v>1034</v>
      </c>
      <c r="Y999">
        <v>9</v>
      </c>
      <c r="Z999" t="str">
        <f>IF(Table1[[#This Row],[Month_No]]&lt;=6, "H1","H2")</f>
        <v>H2</v>
      </c>
    </row>
    <row r="1000" spans="1:26" x14ac:dyDescent="0.25">
      <c r="A1000" s="2">
        <v>45912</v>
      </c>
      <c r="B1000" t="s">
        <v>1081</v>
      </c>
      <c r="C1000" t="s">
        <v>78</v>
      </c>
      <c r="D1000" t="s">
        <v>74</v>
      </c>
      <c r="E1000" t="s">
        <v>75</v>
      </c>
      <c r="F1000" t="s">
        <v>46</v>
      </c>
      <c r="G1000" t="s">
        <v>58</v>
      </c>
      <c r="H1000" t="s">
        <v>41</v>
      </c>
      <c r="I1000">
        <v>42.106278857074003</v>
      </c>
      <c r="J1000" s="3">
        <v>5932.44</v>
      </c>
      <c r="K1000" s="3">
        <f>Table1[[#This Row],[Quantity]]*Table1[[#This Row],[Unit_Price]]</f>
        <v>249792.97294286007</v>
      </c>
      <c r="L1000" s="3">
        <v>8279.34</v>
      </c>
      <c r="M1000" s="3">
        <f>Table1[[#This Row],[Gross_Sales]]-Table1[[#This Row],[Discount]]</f>
        <v>241513.63294286007</v>
      </c>
      <c r="N1000" s="3">
        <v>170548.44</v>
      </c>
      <c r="O1000" s="3">
        <v>4756.3999999999996</v>
      </c>
      <c r="P1000" s="3">
        <v>14576.67</v>
      </c>
      <c r="Q1000" s="3">
        <v>5805.17</v>
      </c>
      <c r="R1000" s="3">
        <v>4308.67</v>
      </c>
      <c r="S1000" s="3">
        <f>SUM(Table1[[#This Row],[Product_Cost]:[Other_Cost]])</f>
        <v>199995.35000000003</v>
      </c>
      <c r="T1000" s="3">
        <f>Table1[[#This Row],[Net_Sales]]-Table1[[#This Row],[Product_Cost]]</f>
        <v>70965.192942860071</v>
      </c>
      <c r="U1000" s="3">
        <f>Table1[[#This Row],[Net_Sales]]-Table1[[#This Row],[Total_Cost]]</f>
        <v>41518.282942860038</v>
      </c>
      <c r="V1000" s="4">
        <f>Table1[[#This Row],[Net_Profit]]/Table1[[#This Row],[Net_Sales]]</f>
        <v>0.1719086514370097</v>
      </c>
      <c r="W1000" t="s">
        <v>72</v>
      </c>
      <c r="X1000" t="s">
        <v>1034</v>
      </c>
      <c r="Y1000">
        <v>9</v>
      </c>
      <c r="Z1000" t="str">
        <f>IF(Table1[[#This Row],[Month_No]]&lt;=6, "H1","H2")</f>
        <v>H2</v>
      </c>
    </row>
    <row r="1001" spans="1:26" x14ac:dyDescent="0.25">
      <c r="A1001" s="2">
        <v>45913</v>
      </c>
      <c r="B1001" t="s">
        <v>1082</v>
      </c>
      <c r="C1001" t="s">
        <v>98</v>
      </c>
      <c r="D1001" t="s">
        <v>66</v>
      </c>
      <c r="E1001" t="s">
        <v>51</v>
      </c>
      <c r="F1001" t="s">
        <v>52</v>
      </c>
      <c r="G1001" t="s">
        <v>86</v>
      </c>
      <c r="H1001" t="s">
        <v>47</v>
      </c>
      <c r="I1001">
        <v>35.167015720664928</v>
      </c>
      <c r="J1001" s="3">
        <v>1595.08</v>
      </c>
      <c r="K1001" s="3">
        <f>Table1[[#This Row],[Quantity]]*Table1[[#This Row],[Unit_Price]]</f>
        <v>56094.203435718213</v>
      </c>
      <c r="L1001" s="3">
        <v>1850.17</v>
      </c>
      <c r="M1001" s="3">
        <f>Table1[[#This Row],[Gross_Sales]]-Table1[[#This Row],[Discount]]</f>
        <v>54244.033435718215</v>
      </c>
      <c r="N1001" s="3">
        <v>25390.29</v>
      </c>
      <c r="O1001" s="3">
        <v>844.53</v>
      </c>
      <c r="P1001" s="3">
        <v>2795.65</v>
      </c>
      <c r="Q1001" s="3">
        <v>1201.6500000000001</v>
      </c>
      <c r="R1001" s="3">
        <v>901.34</v>
      </c>
      <c r="S1001" s="3">
        <f>SUM(Table1[[#This Row],[Product_Cost]:[Other_Cost]])</f>
        <v>31133.460000000003</v>
      </c>
      <c r="T1001" s="3">
        <f>Table1[[#This Row],[Net_Sales]]-Table1[[#This Row],[Product_Cost]]</f>
        <v>28853.743435718214</v>
      </c>
      <c r="U1001" s="3">
        <f>Table1[[#This Row],[Net_Sales]]-Table1[[#This Row],[Total_Cost]]</f>
        <v>23110.573435718212</v>
      </c>
      <c r="V1001" s="4">
        <f>Table1[[#This Row],[Net_Profit]]/Table1[[#This Row],[Net_Sales]]</f>
        <v>0.42604821160847767</v>
      </c>
      <c r="W1001" t="s">
        <v>33</v>
      </c>
      <c r="X1001" t="s">
        <v>1034</v>
      </c>
      <c r="Y1001">
        <v>9</v>
      </c>
      <c r="Z1001" t="str">
        <f>IF(Table1[[#This Row],[Month_No]]&lt;=6, "H1","H2")</f>
        <v>H2</v>
      </c>
    </row>
    <row r="1002" spans="1:26" x14ac:dyDescent="0.25">
      <c r="A1002" s="2">
        <v>45913</v>
      </c>
      <c r="B1002" t="s">
        <v>1083</v>
      </c>
      <c r="C1002" t="s">
        <v>55</v>
      </c>
      <c r="D1002" t="s">
        <v>74</v>
      </c>
      <c r="E1002" t="s">
        <v>75</v>
      </c>
      <c r="F1002" t="s">
        <v>30</v>
      </c>
      <c r="G1002" t="s">
        <v>86</v>
      </c>
      <c r="H1002" t="s">
        <v>47</v>
      </c>
      <c r="I1002">
        <v>63.046088568155163</v>
      </c>
      <c r="J1002" s="3">
        <v>6078.41</v>
      </c>
      <c r="K1002" s="3">
        <f>Table1[[#This Row],[Quantity]]*Table1[[#This Row],[Unit_Price]]</f>
        <v>383219.97521356004</v>
      </c>
      <c r="L1002" s="3">
        <v>15150.02</v>
      </c>
      <c r="M1002" s="3">
        <f>Table1[[#This Row],[Gross_Sales]]-Table1[[#This Row],[Discount]]</f>
        <v>368069.95521356002</v>
      </c>
      <c r="N1002" s="3">
        <v>251608.69</v>
      </c>
      <c r="O1002" s="3">
        <v>8664.51</v>
      </c>
      <c r="P1002" s="3">
        <v>21610.46</v>
      </c>
      <c r="Q1002" s="3">
        <v>8621.91</v>
      </c>
      <c r="R1002" s="3">
        <v>7881.45</v>
      </c>
      <c r="S1002" s="3">
        <f>SUM(Table1[[#This Row],[Product_Cost]:[Other_Cost]])</f>
        <v>298387.02</v>
      </c>
      <c r="T1002" s="3">
        <f>Table1[[#This Row],[Net_Sales]]-Table1[[#This Row],[Product_Cost]]</f>
        <v>116461.26521356002</v>
      </c>
      <c r="U1002" s="3">
        <f>Table1[[#This Row],[Net_Sales]]-Table1[[#This Row],[Total_Cost]]</f>
        <v>69682.935213560006</v>
      </c>
      <c r="V1002" s="4">
        <f>Table1[[#This Row],[Net_Profit]]/Table1[[#This Row],[Net_Sales]]</f>
        <v>0.18931981333040035</v>
      </c>
      <c r="W1002" t="s">
        <v>33</v>
      </c>
      <c r="X1002" t="s">
        <v>1034</v>
      </c>
      <c r="Y1002">
        <v>9</v>
      </c>
      <c r="Z1002" t="str">
        <f>IF(Table1[[#This Row],[Month_No]]&lt;=6, "H1","H2")</f>
        <v>H2</v>
      </c>
    </row>
    <row r="1003" spans="1:26" x14ac:dyDescent="0.25">
      <c r="A1003" s="2">
        <v>45913</v>
      </c>
      <c r="B1003" t="s">
        <v>1084</v>
      </c>
      <c r="C1003" t="s">
        <v>70</v>
      </c>
      <c r="D1003" t="s">
        <v>56</v>
      </c>
      <c r="E1003" t="s">
        <v>57</v>
      </c>
      <c r="F1003" t="s">
        <v>52</v>
      </c>
      <c r="G1003" t="s">
        <v>71</v>
      </c>
      <c r="H1003" t="s">
        <v>41</v>
      </c>
      <c r="I1003">
        <v>50.36039862729104</v>
      </c>
      <c r="J1003" s="3">
        <v>3446.23</v>
      </c>
      <c r="K1003" s="3">
        <f>Table1[[#This Row],[Quantity]]*Table1[[#This Row],[Unit_Price]]</f>
        <v>173553.51656132919</v>
      </c>
      <c r="L1003" s="3">
        <v>8790.7900000000009</v>
      </c>
      <c r="M1003" s="3">
        <f>Table1[[#This Row],[Gross_Sales]]-Table1[[#This Row],[Discount]]</f>
        <v>164762.72656132918</v>
      </c>
      <c r="N1003" s="3">
        <v>79879.48</v>
      </c>
      <c r="O1003" s="3">
        <v>3182.27</v>
      </c>
      <c r="P1003" s="3">
        <v>8854.1200000000008</v>
      </c>
      <c r="Q1003" s="3">
        <v>5228.2</v>
      </c>
      <c r="R1003" s="3">
        <v>3365.9</v>
      </c>
      <c r="S1003" s="3">
        <f>SUM(Table1[[#This Row],[Product_Cost]:[Other_Cost]])</f>
        <v>100509.96999999999</v>
      </c>
      <c r="T1003" s="3">
        <f>Table1[[#This Row],[Net_Sales]]-Table1[[#This Row],[Product_Cost]]</f>
        <v>84883.246561329186</v>
      </c>
      <c r="U1003" s="3">
        <f>Table1[[#This Row],[Net_Sales]]-Table1[[#This Row],[Total_Cost]]</f>
        <v>64252.756561329195</v>
      </c>
      <c r="V1003" s="4">
        <f>Table1[[#This Row],[Net_Profit]]/Table1[[#This Row],[Net_Sales]]</f>
        <v>0.38997143287388225</v>
      </c>
      <c r="W1003" t="s">
        <v>72</v>
      </c>
      <c r="X1003" t="s">
        <v>1034</v>
      </c>
      <c r="Y1003">
        <v>9</v>
      </c>
      <c r="Z1003" t="str">
        <f>IF(Table1[[#This Row],[Month_No]]&lt;=6, "H1","H2")</f>
        <v>H2</v>
      </c>
    </row>
    <row r="1004" spans="1:26" x14ac:dyDescent="0.25">
      <c r="A1004" s="2">
        <v>45914</v>
      </c>
      <c r="B1004" t="s">
        <v>1085</v>
      </c>
      <c r="C1004" t="s">
        <v>78</v>
      </c>
      <c r="D1004" t="s">
        <v>100</v>
      </c>
      <c r="E1004" t="s">
        <v>75</v>
      </c>
      <c r="F1004" t="s">
        <v>39</v>
      </c>
      <c r="G1004" t="s">
        <v>31</v>
      </c>
      <c r="H1004" t="s">
        <v>59</v>
      </c>
      <c r="I1004">
        <v>34.479980513567916</v>
      </c>
      <c r="J1004" s="3">
        <v>7462.86</v>
      </c>
      <c r="K1004" s="3">
        <f>Table1[[#This Row],[Quantity]]*Table1[[#This Row],[Unit_Price]]</f>
        <v>257319.26737548545</v>
      </c>
      <c r="L1004" s="3">
        <v>9386.7900000000009</v>
      </c>
      <c r="M1004" s="3">
        <f>Table1[[#This Row],[Gross_Sales]]-Table1[[#This Row],[Discount]]</f>
        <v>247932.47737548544</v>
      </c>
      <c r="N1004" s="3">
        <v>136437.26999999999</v>
      </c>
      <c r="O1004" s="3">
        <v>7941.35</v>
      </c>
      <c r="P1004" s="3">
        <v>13437.56</v>
      </c>
      <c r="Q1004" s="3">
        <v>6915.73</v>
      </c>
      <c r="R1004" s="3">
        <v>3604.01</v>
      </c>
      <c r="S1004" s="3">
        <f>SUM(Table1[[#This Row],[Product_Cost]:[Other_Cost]])</f>
        <v>168335.92</v>
      </c>
      <c r="T1004" s="3">
        <f>Table1[[#This Row],[Net_Sales]]-Table1[[#This Row],[Product_Cost]]</f>
        <v>111495.20737548545</v>
      </c>
      <c r="U1004" s="3">
        <f>Table1[[#This Row],[Net_Sales]]-Table1[[#This Row],[Total_Cost]]</f>
        <v>79596.557375485427</v>
      </c>
      <c r="V1004" s="4">
        <f>Table1[[#This Row],[Net_Profit]]/Table1[[#This Row],[Net_Sales]]</f>
        <v>0.32104126985727288</v>
      </c>
      <c r="W1004" t="s">
        <v>33</v>
      </c>
      <c r="X1004" t="s">
        <v>1034</v>
      </c>
      <c r="Y1004">
        <v>9</v>
      </c>
      <c r="Z1004" t="str">
        <f>IF(Table1[[#This Row],[Month_No]]&lt;=6, "H1","H2")</f>
        <v>H2</v>
      </c>
    </row>
    <row r="1005" spans="1:26" x14ac:dyDescent="0.25">
      <c r="A1005" s="2">
        <v>45914</v>
      </c>
      <c r="B1005" t="s">
        <v>1086</v>
      </c>
      <c r="C1005" t="s">
        <v>49</v>
      </c>
      <c r="D1005" t="s">
        <v>68</v>
      </c>
      <c r="E1005" t="s">
        <v>29</v>
      </c>
      <c r="F1005" t="s">
        <v>52</v>
      </c>
      <c r="G1005" t="s">
        <v>40</v>
      </c>
      <c r="H1005" t="s">
        <v>32</v>
      </c>
      <c r="I1005">
        <v>62.173726735464712</v>
      </c>
      <c r="J1005" s="3">
        <v>383.4</v>
      </c>
      <c r="K1005" s="3">
        <f>Table1[[#This Row],[Quantity]]*Table1[[#This Row],[Unit_Price]]</f>
        <v>23837.406830377167</v>
      </c>
      <c r="L1005" s="3">
        <v>1226.8</v>
      </c>
      <c r="M1005" s="3">
        <f>Table1[[#This Row],[Gross_Sales]]-Table1[[#This Row],[Discount]]</f>
        <v>22610.606830377168</v>
      </c>
      <c r="N1005" s="3">
        <v>15835.23</v>
      </c>
      <c r="O1005" s="3">
        <v>392.22</v>
      </c>
      <c r="P1005" s="3">
        <v>1148.83</v>
      </c>
      <c r="Q1005" s="3">
        <v>629.27</v>
      </c>
      <c r="R1005" s="3">
        <v>389.02</v>
      </c>
      <c r="S1005" s="3">
        <f>SUM(Table1[[#This Row],[Product_Cost]:[Other_Cost]])</f>
        <v>18394.57</v>
      </c>
      <c r="T1005" s="3">
        <f>Table1[[#This Row],[Net_Sales]]-Table1[[#This Row],[Product_Cost]]</f>
        <v>6775.3768303771685</v>
      </c>
      <c r="U1005" s="3">
        <f>Table1[[#This Row],[Net_Sales]]-Table1[[#This Row],[Total_Cost]]</f>
        <v>4216.0368303771684</v>
      </c>
      <c r="V1005" s="4">
        <f>Table1[[#This Row],[Net_Profit]]/Table1[[#This Row],[Net_Sales]]</f>
        <v>0.18646278987580983</v>
      </c>
      <c r="W1005" t="s">
        <v>72</v>
      </c>
      <c r="X1005" t="s">
        <v>1034</v>
      </c>
      <c r="Y1005">
        <v>9</v>
      </c>
      <c r="Z1005" t="str">
        <f>IF(Table1[[#This Row],[Month_No]]&lt;=6, "H1","H2")</f>
        <v>H2</v>
      </c>
    </row>
    <row r="1006" spans="1:26" x14ac:dyDescent="0.25">
      <c r="A1006" s="2">
        <v>45915</v>
      </c>
      <c r="B1006" t="s">
        <v>1087</v>
      </c>
      <c r="C1006" t="s">
        <v>98</v>
      </c>
      <c r="D1006" t="s">
        <v>85</v>
      </c>
      <c r="E1006" t="s">
        <v>57</v>
      </c>
      <c r="F1006" t="s">
        <v>30</v>
      </c>
      <c r="G1006" t="s">
        <v>61</v>
      </c>
      <c r="H1006" t="s">
        <v>41</v>
      </c>
      <c r="I1006">
        <v>78.167624354838836</v>
      </c>
      <c r="J1006" s="3">
        <v>1937.78</v>
      </c>
      <c r="K1006" s="3">
        <f>Table1[[#This Row],[Quantity]]*Table1[[#This Row],[Unit_Price]]</f>
        <v>151471.6591223196</v>
      </c>
      <c r="L1006" s="3">
        <v>5235.1499999999996</v>
      </c>
      <c r="M1006" s="3">
        <f>Table1[[#This Row],[Gross_Sales]]-Table1[[#This Row],[Discount]]</f>
        <v>146236.50912231961</v>
      </c>
      <c r="N1006" s="3">
        <v>91749.64</v>
      </c>
      <c r="O1006" s="3">
        <v>4118.84</v>
      </c>
      <c r="P1006" s="3">
        <v>8653.39</v>
      </c>
      <c r="Q1006" s="3">
        <v>2827.97</v>
      </c>
      <c r="R1006" s="3">
        <v>2956.77</v>
      </c>
      <c r="S1006" s="3">
        <f>SUM(Table1[[#This Row],[Product_Cost]:[Other_Cost]])</f>
        <v>110306.61</v>
      </c>
      <c r="T1006" s="3">
        <f>Table1[[#This Row],[Net_Sales]]-Table1[[#This Row],[Product_Cost]]</f>
        <v>54486.869122319607</v>
      </c>
      <c r="U1006" s="3">
        <f>Table1[[#This Row],[Net_Sales]]-Table1[[#This Row],[Total_Cost]]</f>
        <v>35929.899122319606</v>
      </c>
      <c r="V1006" s="4">
        <f>Table1[[#This Row],[Net_Profit]]/Table1[[#This Row],[Net_Sales]]</f>
        <v>0.24569718832843598</v>
      </c>
      <c r="W1006" t="s">
        <v>33</v>
      </c>
      <c r="X1006" t="s">
        <v>1034</v>
      </c>
      <c r="Y1006">
        <v>9</v>
      </c>
      <c r="Z1006" t="str">
        <f>IF(Table1[[#This Row],[Month_No]]&lt;=6, "H1","H2")</f>
        <v>H2</v>
      </c>
    </row>
    <row r="1007" spans="1:26" x14ac:dyDescent="0.25">
      <c r="A1007" s="2">
        <v>45915</v>
      </c>
      <c r="B1007" t="s">
        <v>1088</v>
      </c>
      <c r="C1007" t="s">
        <v>98</v>
      </c>
      <c r="D1007" t="s">
        <v>81</v>
      </c>
      <c r="E1007" t="s">
        <v>45</v>
      </c>
      <c r="F1007" t="s">
        <v>30</v>
      </c>
      <c r="G1007" t="s">
        <v>86</v>
      </c>
      <c r="H1007" t="s">
        <v>41</v>
      </c>
      <c r="I1007">
        <v>45.642485330122177</v>
      </c>
      <c r="J1007" s="3">
        <v>6735.21</v>
      </c>
      <c r="K1007" s="3">
        <f>Table1[[#This Row],[Quantity]]*Table1[[#This Row],[Unit_Price]]</f>
        <v>307411.72362029221</v>
      </c>
      <c r="L1007" s="3">
        <v>11902.74</v>
      </c>
      <c r="M1007" s="3">
        <f>Table1[[#This Row],[Gross_Sales]]-Table1[[#This Row],[Discount]]</f>
        <v>295508.98362029222</v>
      </c>
      <c r="N1007" s="3">
        <v>155317.41</v>
      </c>
      <c r="O1007" s="3">
        <v>6968.34</v>
      </c>
      <c r="P1007" s="3">
        <v>16751.47</v>
      </c>
      <c r="Q1007" s="3">
        <v>6092.27</v>
      </c>
      <c r="R1007" s="3">
        <v>5064.62</v>
      </c>
      <c r="S1007" s="3">
        <f>SUM(Table1[[#This Row],[Product_Cost]:[Other_Cost]])</f>
        <v>190194.11</v>
      </c>
      <c r="T1007" s="3">
        <f>Table1[[#This Row],[Net_Sales]]-Table1[[#This Row],[Product_Cost]]</f>
        <v>140191.57362029221</v>
      </c>
      <c r="U1007" s="3">
        <f>Table1[[#This Row],[Net_Sales]]-Table1[[#This Row],[Total_Cost]]</f>
        <v>105314.87362029223</v>
      </c>
      <c r="V1007" s="4">
        <f>Table1[[#This Row],[Net_Profit]]/Table1[[#This Row],[Net_Sales]]</f>
        <v>0.3563846768043244</v>
      </c>
      <c r="W1007" t="s">
        <v>33</v>
      </c>
      <c r="X1007" t="s">
        <v>1034</v>
      </c>
      <c r="Y1007">
        <v>9</v>
      </c>
      <c r="Z1007" t="str">
        <f>IF(Table1[[#This Row],[Month_No]]&lt;=6, "H1","H2")</f>
        <v>H2</v>
      </c>
    </row>
    <row r="1008" spans="1:26" x14ac:dyDescent="0.25">
      <c r="A1008" s="2">
        <v>45915</v>
      </c>
      <c r="B1008" t="s">
        <v>1089</v>
      </c>
      <c r="C1008" t="s">
        <v>27</v>
      </c>
      <c r="D1008" t="s">
        <v>50</v>
      </c>
      <c r="E1008" t="s">
        <v>51</v>
      </c>
      <c r="F1008" t="s">
        <v>52</v>
      </c>
      <c r="G1008" t="s">
        <v>61</v>
      </c>
      <c r="H1008" t="s">
        <v>59</v>
      </c>
      <c r="I1008">
        <v>48.373583547494917</v>
      </c>
      <c r="J1008" s="3">
        <v>896.76</v>
      </c>
      <c r="K1008" s="3">
        <f>Table1[[#This Row],[Quantity]]*Table1[[#This Row],[Unit_Price]]</f>
        <v>43379.494782051544</v>
      </c>
      <c r="L1008" s="3">
        <v>1921.26</v>
      </c>
      <c r="M1008" s="3">
        <f>Table1[[#This Row],[Gross_Sales]]-Table1[[#This Row],[Discount]]</f>
        <v>41458.234782051542</v>
      </c>
      <c r="N1008" s="3">
        <v>26456.02</v>
      </c>
      <c r="O1008" s="3">
        <v>812.43</v>
      </c>
      <c r="P1008" s="3">
        <v>2234.2600000000002</v>
      </c>
      <c r="Q1008" s="3">
        <v>773.44</v>
      </c>
      <c r="R1008" s="3">
        <v>672.57</v>
      </c>
      <c r="S1008" s="3">
        <f>SUM(Table1[[#This Row],[Product_Cost]:[Other_Cost]])</f>
        <v>30948.719999999998</v>
      </c>
      <c r="T1008" s="3">
        <f>Table1[[#This Row],[Net_Sales]]-Table1[[#This Row],[Product_Cost]]</f>
        <v>15002.214782051542</v>
      </c>
      <c r="U1008" s="3">
        <f>Table1[[#This Row],[Net_Sales]]-Table1[[#This Row],[Total_Cost]]</f>
        <v>10509.514782051545</v>
      </c>
      <c r="V1008" s="4">
        <f>Table1[[#This Row],[Net_Profit]]/Table1[[#This Row],[Net_Sales]]</f>
        <v>0.25349643652945436</v>
      </c>
      <c r="W1008" t="s">
        <v>72</v>
      </c>
      <c r="X1008" t="s">
        <v>1034</v>
      </c>
      <c r="Y1008">
        <v>9</v>
      </c>
      <c r="Z1008" t="str">
        <f>IF(Table1[[#This Row],[Month_No]]&lt;=6, "H1","H2")</f>
        <v>H2</v>
      </c>
    </row>
    <row r="1009" spans="1:26" x14ac:dyDescent="0.25">
      <c r="A1009" s="2">
        <v>45915</v>
      </c>
      <c r="B1009" t="s">
        <v>1090</v>
      </c>
      <c r="C1009" t="s">
        <v>63</v>
      </c>
      <c r="D1009" t="s">
        <v>183</v>
      </c>
      <c r="E1009" t="s">
        <v>38</v>
      </c>
      <c r="F1009" t="s">
        <v>52</v>
      </c>
      <c r="G1009" t="s">
        <v>76</v>
      </c>
      <c r="H1009" t="s">
        <v>47</v>
      </c>
      <c r="I1009">
        <v>9.9092225636207534</v>
      </c>
      <c r="J1009" s="3">
        <v>7247.83</v>
      </c>
      <c r="K1009" s="3">
        <f>Table1[[#This Row],[Quantity]]*Table1[[#This Row],[Unit_Price]]</f>
        <v>71820.360573287398</v>
      </c>
      <c r="L1009" s="3">
        <v>1966.35</v>
      </c>
      <c r="M1009" s="3">
        <f>Table1[[#This Row],[Gross_Sales]]-Table1[[#This Row],[Discount]]</f>
        <v>69854.010573287393</v>
      </c>
      <c r="N1009" s="3">
        <v>36016.660000000003</v>
      </c>
      <c r="O1009" s="3">
        <v>1193.48</v>
      </c>
      <c r="P1009" s="3">
        <v>3697.85</v>
      </c>
      <c r="Q1009" s="3">
        <v>1490.61</v>
      </c>
      <c r="R1009" s="3">
        <v>1051.28</v>
      </c>
      <c r="S1009" s="3">
        <f>SUM(Table1[[#This Row],[Product_Cost]:[Other_Cost]])</f>
        <v>43449.880000000005</v>
      </c>
      <c r="T1009" s="3">
        <f>Table1[[#This Row],[Net_Sales]]-Table1[[#This Row],[Product_Cost]]</f>
        <v>33837.350573287389</v>
      </c>
      <c r="U1009" s="3">
        <f>Table1[[#This Row],[Net_Sales]]-Table1[[#This Row],[Total_Cost]]</f>
        <v>26404.130573287388</v>
      </c>
      <c r="V1009" s="4">
        <f>Table1[[#This Row],[Net_Profit]]/Table1[[#This Row],[Net_Sales]]</f>
        <v>0.37799018777290494</v>
      </c>
      <c r="W1009" t="s">
        <v>33</v>
      </c>
      <c r="X1009" t="s">
        <v>1034</v>
      </c>
      <c r="Y1009">
        <v>9</v>
      </c>
      <c r="Z1009" t="str">
        <f>IF(Table1[[#This Row],[Month_No]]&lt;=6, "H1","H2")</f>
        <v>H2</v>
      </c>
    </row>
    <row r="1010" spans="1:26" x14ac:dyDescent="0.25">
      <c r="A1010" s="2">
        <v>45915</v>
      </c>
      <c r="B1010" t="s">
        <v>1091</v>
      </c>
      <c r="C1010" t="s">
        <v>78</v>
      </c>
      <c r="D1010" t="s">
        <v>100</v>
      </c>
      <c r="E1010" t="s">
        <v>75</v>
      </c>
      <c r="F1010" t="s">
        <v>52</v>
      </c>
      <c r="G1010" t="s">
        <v>71</v>
      </c>
      <c r="H1010" t="s">
        <v>47</v>
      </c>
      <c r="I1010">
        <v>12.017103479414221</v>
      </c>
      <c r="J1010" s="3">
        <v>7207.92</v>
      </c>
      <c r="K1010" s="3">
        <f>Table1[[#This Row],[Quantity]]*Table1[[#This Row],[Unit_Price]]</f>
        <v>86618.320511339349</v>
      </c>
      <c r="L1010" s="3">
        <v>3313.69</v>
      </c>
      <c r="M1010" s="3">
        <f>Table1[[#This Row],[Gross_Sales]]-Table1[[#This Row],[Discount]]</f>
        <v>83304.630511339346</v>
      </c>
      <c r="N1010" s="3">
        <v>46346.54</v>
      </c>
      <c r="O1010" s="3">
        <v>1688.95</v>
      </c>
      <c r="P1010" s="3">
        <v>4477.26</v>
      </c>
      <c r="Q1010" s="3">
        <v>2430.0500000000002</v>
      </c>
      <c r="R1010" s="3">
        <v>1034.2</v>
      </c>
      <c r="S1010" s="3">
        <f>SUM(Table1[[#This Row],[Product_Cost]:[Other_Cost]])</f>
        <v>55977</v>
      </c>
      <c r="T1010" s="3">
        <f>Table1[[#This Row],[Net_Sales]]-Table1[[#This Row],[Product_Cost]]</f>
        <v>36958.090511339346</v>
      </c>
      <c r="U1010" s="3">
        <f>Table1[[#This Row],[Net_Sales]]-Table1[[#This Row],[Total_Cost]]</f>
        <v>27327.630511339346</v>
      </c>
      <c r="V1010" s="4">
        <f>Table1[[#This Row],[Net_Profit]]/Table1[[#This Row],[Net_Sales]]</f>
        <v>0.32804455578996339</v>
      </c>
      <c r="W1010" t="s">
        <v>33</v>
      </c>
      <c r="X1010" t="s">
        <v>1034</v>
      </c>
      <c r="Y1010">
        <v>9</v>
      </c>
      <c r="Z1010" t="str">
        <f>IF(Table1[[#This Row],[Month_No]]&lt;=6, "H1","H2")</f>
        <v>H2</v>
      </c>
    </row>
    <row r="1011" spans="1:26" x14ac:dyDescent="0.25">
      <c r="A1011" s="2">
        <v>45916</v>
      </c>
      <c r="B1011" t="s">
        <v>1092</v>
      </c>
      <c r="C1011" t="s">
        <v>27</v>
      </c>
      <c r="D1011" t="s">
        <v>44</v>
      </c>
      <c r="E1011" t="s">
        <v>45</v>
      </c>
      <c r="F1011" t="s">
        <v>39</v>
      </c>
      <c r="G1011" t="s">
        <v>31</v>
      </c>
      <c r="H1011" t="s">
        <v>41</v>
      </c>
      <c r="I1011">
        <v>80.959699663255194</v>
      </c>
      <c r="J1011" s="3">
        <v>4649.68</v>
      </c>
      <c r="K1011" s="3">
        <f>Table1[[#This Row],[Quantity]]*Table1[[#This Row],[Unit_Price]]</f>
        <v>376436.69633024442</v>
      </c>
      <c r="L1011" s="3">
        <v>16997.080000000002</v>
      </c>
      <c r="M1011" s="3">
        <f>Table1[[#This Row],[Gross_Sales]]-Table1[[#This Row],[Discount]]</f>
        <v>359439.6163302444</v>
      </c>
      <c r="N1011" s="3">
        <v>229414.99</v>
      </c>
      <c r="O1011" s="3">
        <v>10457.91</v>
      </c>
      <c r="P1011" s="3">
        <v>20555.87</v>
      </c>
      <c r="Q1011" s="3">
        <v>8460.7999999999993</v>
      </c>
      <c r="R1011" s="3">
        <v>5591.23</v>
      </c>
      <c r="S1011" s="3">
        <f>SUM(Table1[[#This Row],[Product_Cost]:[Other_Cost]])</f>
        <v>274480.8</v>
      </c>
      <c r="T1011" s="3">
        <f>Table1[[#This Row],[Net_Sales]]-Table1[[#This Row],[Product_Cost]]</f>
        <v>130024.62633024441</v>
      </c>
      <c r="U1011" s="3">
        <f>Table1[[#This Row],[Net_Sales]]-Table1[[#This Row],[Total_Cost]]</f>
        <v>84958.816330244415</v>
      </c>
      <c r="V1011" s="4">
        <f>Table1[[#This Row],[Net_Profit]]/Table1[[#This Row],[Net_Sales]]</f>
        <v>0.23636464226632803</v>
      </c>
      <c r="W1011" t="s">
        <v>33</v>
      </c>
      <c r="X1011" t="s">
        <v>1034</v>
      </c>
      <c r="Y1011">
        <v>9</v>
      </c>
      <c r="Z1011" t="str">
        <f>IF(Table1[[#This Row],[Month_No]]&lt;=6, "H1","H2")</f>
        <v>H2</v>
      </c>
    </row>
    <row r="1012" spans="1:26" x14ac:dyDescent="0.25">
      <c r="A1012" s="2">
        <v>45916</v>
      </c>
      <c r="B1012" t="s">
        <v>1093</v>
      </c>
      <c r="C1012" t="s">
        <v>36</v>
      </c>
      <c r="D1012" t="s">
        <v>85</v>
      </c>
      <c r="E1012" t="s">
        <v>57</v>
      </c>
      <c r="F1012" t="s">
        <v>39</v>
      </c>
      <c r="G1012" t="s">
        <v>31</v>
      </c>
      <c r="H1012" t="s">
        <v>59</v>
      </c>
      <c r="I1012">
        <v>46.9755474929107</v>
      </c>
      <c r="J1012" s="3">
        <v>2099.46</v>
      </c>
      <c r="K1012" s="3">
        <f>Table1[[#This Row],[Quantity]]*Table1[[#This Row],[Unit_Price]]</f>
        <v>98623.282939466299</v>
      </c>
      <c r="L1012" s="3">
        <v>4428.17</v>
      </c>
      <c r="M1012" s="3">
        <f>Table1[[#This Row],[Gross_Sales]]-Table1[[#This Row],[Discount]]</f>
        <v>94195.1129394663</v>
      </c>
      <c r="N1012" s="3">
        <v>60561.83</v>
      </c>
      <c r="O1012" s="3">
        <v>2586.31</v>
      </c>
      <c r="P1012" s="3">
        <v>4528.63</v>
      </c>
      <c r="Q1012" s="3">
        <v>2055.4299999999998</v>
      </c>
      <c r="R1012" s="3">
        <v>2039.56</v>
      </c>
      <c r="S1012" s="3">
        <f>SUM(Table1[[#This Row],[Product_Cost]:[Other_Cost]])</f>
        <v>71771.759999999995</v>
      </c>
      <c r="T1012" s="3">
        <f>Table1[[#This Row],[Net_Sales]]-Table1[[#This Row],[Product_Cost]]</f>
        <v>33633.282939466299</v>
      </c>
      <c r="U1012" s="3">
        <f>Table1[[#This Row],[Net_Sales]]-Table1[[#This Row],[Total_Cost]]</f>
        <v>22423.352939466306</v>
      </c>
      <c r="V1012" s="4">
        <f>Table1[[#This Row],[Net_Profit]]/Table1[[#This Row],[Net_Sales]]</f>
        <v>0.23805219017972287</v>
      </c>
      <c r="W1012" t="s">
        <v>33</v>
      </c>
      <c r="X1012" t="s">
        <v>1034</v>
      </c>
      <c r="Y1012">
        <v>9</v>
      </c>
      <c r="Z1012" t="str">
        <f>IF(Table1[[#This Row],[Month_No]]&lt;=6, "H1","H2")</f>
        <v>H2</v>
      </c>
    </row>
    <row r="1013" spans="1:26" x14ac:dyDescent="0.25">
      <c r="A1013" s="2">
        <v>45916</v>
      </c>
      <c r="B1013" t="s">
        <v>1094</v>
      </c>
      <c r="C1013" t="s">
        <v>49</v>
      </c>
      <c r="D1013" t="s">
        <v>68</v>
      </c>
      <c r="E1013" t="s">
        <v>29</v>
      </c>
      <c r="F1013" t="s">
        <v>30</v>
      </c>
      <c r="G1013" t="s">
        <v>76</v>
      </c>
      <c r="H1013" t="s">
        <v>47</v>
      </c>
      <c r="I1013">
        <v>83.274783427011897</v>
      </c>
      <c r="J1013" s="3">
        <v>381.84</v>
      </c>
      <c r="K1013" s="3">
        <f>Table1[[#This Row],[Quantity]]*Table1[[#This Row],[Unit_Price]]</f>
        <v>31797.643303770219</v>
      </c>
      <c r="L1013" s="3">
        <v>1428.31</v>
      </c>
      <c r="M1013" s="3">
        <f>Table1[[#This Row],[Gross_Sales]]-Table1[[#This Row],[Discount]]</f>
        <v>30369.333303770218</v>
      </c>
      <c r="N1013" s="3">
        <v>22176.44</v>
      </c>
      <c r="O1013" s="3">
        <v>735.41</v>
      </c>
      <c r="P1013" s="3">
        <v>1694.32</v>
      </c>
      <c r="Q1013" s="3">
        <v>942.46</v>
      </c>
      <c r="R1013" s="3">
        <v>399.14</v>
      </c>
      <c r="S1013" s="3">
        <f>SUM(Table1[[#This Row],[Product_Cost]:[Other_Cost]])</f>
        <v>25947.769999999997</v>
      </c>
      <c r="T1013" s="3">
        <f>Table1[[#This Row],[Net_Sales]]-Table1[[#This Row],[Product_Cost]]</f>
        <v>8192.8933037702191</v>
      </c>
      <c r="U1013" s="3">
        <f>Table1[[#This Row],[Net_Sales]]-Table1[[#This Row],[Total_Cost]]</f>
        <v>4421.563303770221</v>
      </c>
      <c r="V1013" s="4">
        <f>Table1[[#This Row],[Net_Profit]]/Table1[[#This Row],[Net_Sales]]</f>
        <v>0.14559303161328549</v>
      </c>
      <c r="W1013" t="s">
        <v>33</v>
      </c>
      <c r="X1013" t="s">
        <v>1034</v>
      </c>
      <c r="Y1013">
        <v>9</v>
      </c>
      <c r="Z1013" t="str">
        <f>IF(Table1[[#This Row],[Month_No]]&lt;=6, "H1","H2")</f>
        <v>H2</v>
      </c>
    </row>
    <row r="1014" spans="1:26" x14ac:dyDescent="0.25">
      <c r="A1014" s="2">
        <v>45916</v>
      </c>
      <c r="B1014" t="s">
        <v>1095</v>
      </c>
      <c r="C1014" t="s">
        <v>36</v>
      </c>
      <c r="D1014" t="s">
        <v>37</v>
      </c>
      <c r="E1014" t="s">
        <v>38</v>
      </c>
      <c r="F1014" t="s">
        <v>52</v>
      </c>
      <c r="G1014" t="s">
        <v>58</v>
      </c>
      <c r="H1014" t="s">
        <v>32</v>
      </c>
      <c r="I1014">
        <v>44.514222462147679</v>
      </c>
      <c r="J1014" s="3">
        <v>4933.96</v>
      </c>
      <c r="K1014" s="3">
        <f>Table1[[#This Row],[Quantity]]*Table1[[#This Row],[Unit_Price]]</f>
        <v>219631.39305933815</v>
      </c>
      <c r="L1014" s="3">
        <v>12634.03</v>
      </c>
      <c r="M1014" s="3">
        <f>Table1[[#This Row],[Gross_Sales]]-Table1[[#This Row],[Discount]]</f>
        <v>206997.36305933815</v>
      </c>
      <c r="N1014" s="3">
        <v>135634.03</v>
      </c>
      <c r="O1014" s="3">
        <v>3780.22</v>
      </c>
      <c r="P1014" s="3">
        <v>11811.69</v>
      </c>
      <c r="Q1014" s="3">
        <v>5269.75</v>
      </c>
      <c r="R1014" s="3">
        <v>3803.65</v>
      </c>
      <c r="S1014" s="3">
        <f>SUM(Table1[[#This Row],[Product_Cost]:[Other_Cost]])</f>
        <v>160299.34</v>
      </c>
      <c r="T1014" s="3">
        <f>Table1[[#This Row],[Net_Sales]]-Table1[[#This Row],[Product_Cost]]</f>
        <v>71363.333059338154</v>
      </c>
      <c r="U1014" s="3">
        <f>Table1[[#This Row],[Net_Sales]]-Table1[[#This Row],[Total_Cost]]</f>
        <v>46698.023059338157</v>
      </c>
      <c r="V1014" s="4">
        <f>Table1[[#This Row],[Net_Profit]]/Table1[[#This Row],[Net_Sales]]</f>
        <v>0.2255971881436559</v>
      </c>
      <c r="W1014" t="s">
        <v>72</v>
      </c>
      <c r="X1014" t="s">
        <v>1034</v>
      </c>
      <c r="Y1014">
        <v>9</v>
      </c>
      <c r="Z1014" t="str">
        <f>IF(Table1[[#This Row],[Month_No]]&lt;=6, "H1","H2")</f>
        <v>H2</v>
      </c>
    </row>
    <row r="1015" spans="1:26" x14ac:dyDescent="0.25">
      <c r="A1015" s="2">
        <v>45917</v>
      </c>
      <c r="B1015" t="s">
        <v>1096</v>
      </c>
      <c r="C1015" t="s">
        <v>117</v>
      </c>
      <c r="D1015" t="s">
        <v>28</v>
      </c>
      <c r="E1015" t="s">
        <v>29</v>
      </c>
      <c r="F1015" t="s">
        <v>52</v>
      </c>
      <c r="G1015" t="s">
        <v>40</v>
      </c>
      <c r="H1015" t="s">
        <v>32</v>
      </c>
      <c r="I1015">
        <v>53.015116808671713</v>
      </c>
      <c r="J1015" s="3">
        <v>1287.01</v>
      </c>
      <c r="K1015" s="3">
        <f>Table1[[#This Row],[Quantity]]*Table1[[#This Row],[Unit_Price]]</f>
        <v>68230.985483928584</v>
      </c>
      <c r="L1015" s="3">
        <v>2498.9299999999998</v>
      </c>
      <c r="M1015" s="3">
        <f>Table1[[#This Row],[Gross_Sales]]-Table1[[#This Row],[Discount]]</f>
        <v>65732.055483928591</v>
      </c>
      <c r="N1015" s="3">
        <v>34367.51</v>
      </c>
      <c r="O1015" s="3">
        <v>1017.98</v>
      </c>
      <c r="P1015" s="3">
        <v>3640.19</v>
      </c>
      <c r="Q1015" s="3">
        <v>1613.4</v>
      </c>
      <c r="R1015" s="3">
        <v>1391.18</v>
      </c>
      <c r="S1015" s="3">
        <f>SUM(Table1[[#This Row],[Product_Cost]:[Other_Cost]])</f>
        <v>42030.260000000009</v>
      </c>
      <c r="T1015" s="3">
        <f>Table1[[#This Row],[Net_Sales]]-Table1[[#This Row],[Product_Cost]]</f>
        <v>31364.545483928589</v>
      </c>
      <c r="U1015" s="3">
        <f>Table1[[#This Row],[Net_Sales]]-Table1[[#This Row],[Total_Cost]]</f>
        <v>23701.795483928581</v>
      </c>
      <c r="V1015" s="4">
        <f>Table1[[#This Row],[Net_Profit]]/Table1[[#This Row],[Net_Sales]]</f>
        <v>0.36058199168476701</v>
      </c>
      <c r="W1015" t="s">
        <v>72</v>
      </c>
      <c r="X1015" t="s">
        <v>1034</v>
      </c>
      <c r="Y1015">
        <v>9</v>
      </c>
      <c r="Z1015" t="str">
        <f>IF(Table1[[#This Row],[Month_No]]&lt;=6, "H1","H2")</f>
        <v>H2</v>
      </c>
    </row>
    <row r="1016" spans="1:26" x14ac:dyDescent="0.25">
      <c r="A1016" s="2">
        <v>45917</v>
      </c>
      <c r="B1016" t="s">
        <v>1097</v>
      </c>
      <c r="C1016" t="s">
        <v>70</v>
      </c>
      <c r="D1016" t="s">
        <v>81</v>
      </c>
      <c r="E1016" t="s">
        <v>45</v>
      </c>
      <c r="F1016" t="s">
        <v>52</v>
      </c>
      <c r="G1016" t="s">
        <v>64</v>
      </c>
      <c r="H1016" t="s">
        <v>41</v>
      </c>
      <c r="I1016">
        <v>38.617809443709987</v>
      </c>
      <c r="J1016" s="3">
        <v>7152.17</v>
      </c>
      <c r="K1016" s="3">
        <f>Table1[[#This Row],[Quantity]]*Table1[[#This Row],[Unit_Price]]</f>
        <v>276201.13816901925</v>
      </c>
      <c r="L1016" s="3">
        <v>13575.3</v>
      </c>
      <c r="M1016" s="3">
        <f>Table1[[#This Row],[Gross_Sales]]-Table1[[#This Row],[Discount]]</f>
        <v>262625.83816901926</v>
      </c>
      <c r="N1016" s="3">
        <v>133375.46</v>
      </c>
      <c r="O1016" s="3">
        <v>5127.33</v>
      </c>
      <c r="P1016" s="3">
        <v>16203.92</v>
      </c>
      <c r="Q1016" s="3">
        <v>7063.26</v>
      </c>
      <c r="R1016" s="3">
        <v>4937.6099999999997</v>
      </c>
      <c r="S1016" s="3">
        <f>SUM(Table1[[#This Row],[Product_Cost]:[Other_Cost]])</f>
        <v>166707.57999999999</v>
      </c>
      <c r="T1016" s="3">
        <f>Table1[[#This Row],[Net_Sales]]-Table1[[#This Row],[Product_Cost]]</f>
        <v>129250.37816901927</v>
      </c>
      <c r="U1016" s="3">
        <f>Table1[[#This Row],[Net_Sales]]-Table1[[#This Row],[Total_Cost]]</f>
        <v>95918.258169019275</v>
      </c>
      <c r="V1016" s="4">
        <f>Table1[[#This Row],[Net_Profit]]/Table1[[#This Row],[Net_Sales]]</f>
        <v>0.36522780407953898</v>
      </c>
      <c r="W1016" t="s">
        <v>72</v>
      </c>
      <c r="X1016" t="s">
        <v>1034</v>
      </c>
      <c r="Y1016">
        <v>9</v>
      </c>
      <c r="Z1016" t="str">
        <f>IF(Table1[[#This Row],[Month_No]]&lt;=6, "H1","H2")</f>
        <v>H2</v>
      </c>
    </row>
    <row r="1017" spans="1:26" x14ac:dyDescent="0.25">
      <c r="A1017" s="2">
        <v>45917</v>
      </c>
      <c r="B1017" t="s">
        <v>1098</v>
      </c>
      <c r="C1017" t="s">
        <v>107</v>
      </c>
      <c r="D1017" t="s">
        <v>85</v>
      </c>
      <c r="E1017" t="s">
        <v>57</v>
      </c>
      <c r="F1017" t="s">
        <v>52</v>
      </c>
      <c r="G1017" t="s">
        <v>40</v>
      </c>
      <c r="H1017" t="s">
        <v>41</v>
      </c>
      <c r="I1017">
        <v>48.876494656600222</v>
      </c>
      <c r="J1017" s="3">
        <v>2044.8</v>
      </c>
      <c r="K1017" s="3">
        <f>Table1[[#This Row],[Quantity]]*Table1[[#This Row],[Unit_Price]]</f>
        <v>99942.65627381613</v>
      </c>
      <c r="L1017" s="3">
        <v>3294.91</v>
      </c>
      <c r="M1017" s="3">
        <f>Table1[[#This Row],[Gross_Sales]]-Table1[[#This Row],[Discount]]</f>
        <v>96647.746273816127</v>
      </c>
      <c r="N1017" s="3">
        <v>62332.52</v>
      </c>
      <c r="O1017" s="3">
        <v>1920.58</v>
      </c>
      <c r="P1017" s="3">
        <v>4986.28</v>
      </c>
      <c r="Q1017" s="3">
        <v>2675.97</v>
      </c>
      <c r="R1017" s="3">
        <v>1593.83</v>
      </c>
      <c r="S1017" s="3">
        <f>SUM(Table1[[#This Row],[Product_Cost]:[Other_Cost]])</f>
        <v>73509.180000000008</v>
      </c>
      <c r="T1017" s="3">
        <f>Table1[[#This Row],[Net_Sales]]-Table1[[#This Row],[Product_Cost]]</f>
        <v>34315.22627381613</v>
      </c>
      <c r="U1017" s="3">
        <f>Table1[[#This Row],[Net_Sales]]-Table1[[#This Row],[Total_Cost]]</f>
        <v>23138.566273816119</v>
      </c>
      <c r="V1017" s="4">
        <f>Table1[[#This Row],[Net_Profit]]/Table1[[#This Row],[Net_Sales]]</f>
        <v>0.23941133824539926</v>
      </c>
      <c r="W1017" t="s">
        <v>33</v>
      </c>
      <c r="X1017" t="s">
        <v>1034</v>
      </c>
      <c r="Y1017">
        <v>9</v>
      </c>
      <c r="Z1017" t="str">
        <f>IF(Table1[[#This Row],[Month_No]]&lt;=6, "H1","H2")</f>
        <v>H2</v>
      </c>
    </row>
    <row r="1018" spans="1:26" x14ac:dyDescent="0.25">
      <c r="A1018" s="2">
        <v>45917</v>
      </c>
      <c r="B1018" t="s">
        <v>1099</v>
      </c>
      <c r="C1018" t="s">
        <v>117</v>
      </c>
      <c r="D1018" t="s">
        <v>183</v>
      </c>
      <c r="E1018" t="s">
        <v>38</v>
      </c>
      <c r="F1018" t="s">
        <v>52</v>
      </c>
      <c r="G1018" t="s">
        <v>71</v>
      </c>
      <c r="H1018" t="s">
        <v>59</v>
      </c>
      <c r="I1018">
        <v>55.073718488640019</v>
      </c>
      <c r="J1018" s="3">
        <v>6681.8</v>
      </c>
      <c r="K1018" s="3">
        <f>Table1[[#This Row],[Quantity]]*Table1[[#This Row],[Unit_Price]]</f>
        <v>367991.57219739491</v>
      </c>
      <c r="L1018" s="3">
        <v>12143.84</v>
      </c>
      <c r="M1018" s="3">
        <f>Table1[[#This Row],[Gross_Sales]]-Table1[[#This Row],[Discount]]</f>
        <v>355847.73219739489</v>
      </c>
      <c r="N1018" s="3">
        <v>176185.99</v>
      </c>
      <c r="O1018" s="3">
        <v>6457.45</v>
      </c>
      <c r="P1018" s="3">
        <v>18270.400000000001</v>
      </c>
      <c r="Q1018" s="3">
        <v>7718.44</v>
      </c>
      <c r="R1018" s="3">
        <v>5358.93</v>
      </c>
      <c r="S1018" s="3">
        <f>SUM(Table1[[#This Row],[Product_Cost]:[Other_Cost]])</f>
        <v>213991.21</v>
      </c>
      <c r="T1018" s="3">
        <f>Table1[[#This Row],[Net_Sales]]-Table1[[#This Row],[Product_Cost]]</f>
        <v>179661.74219739489</v>
      </c>
      <c r="U1018" s="3">
        <f>Table1[[#This Row],[Net_Sales]]-Table1[[#This Row],[Total_Cost]]</f>
        <v>141856.52219739489</v>
      </c>
      <c r="V1018" s="4">
        <f>Table1[[#This Row],[Net_Profit]]/Table1[[#This Row],[Net_Sales]]</f>
        <v>0.39864388434181347</v>
      </c>
      <c r="W1018" t="s">
        <v>72</v>
      </c>
      <c r="X1018" t="s">
        <v>1034</v>
      </c>
      <c r="Y1018">
        <v>9</v>
      </c>
      <c r="Z1018" t="str">
        <f>IF(Table1[[#This Row],[Month_No]]&lt;=6, "H1","H2")</f>
        <v>H2</v>
      </c>
    </row>
    <row r="1019" spans="1:26" x14ac:dyDescent="0.25">
      <c r="A1019" s="2">
        <v>45918</v>
      </c>
      <c r="B1019" t="s">
        <v>1100</v>
      </c>
      <c r="C1019" t="s">
        <v>43</v>
      </c>
      <c r="D1019" t="s">
        <v>100</v>
      </c>
      <c r="E1019" t="s">
        <v>75</v>
      </c>
      <c r="F1019" t="s">
        <v>52</v>
      </c>
      <c r="G1019" t="s">
        <v>61</v>
      </c>
      <c r="H1019" t="s">
        <v>47</v>
      </c>
      <c r="I1019">
        <v>36.663666534451238</v>
      </c>
      <c r="J1019" s="3">
        <v>7435.61</v>
      </c>
      <c r="K1019" s="3">
        <f>Table1[[#This Row],[Quantity]]*Table1[[#This Row],[Unit_Price]]</f>
        <v>272616.72552023095</v>
      </c>
      <c r="L1019" s="3">
        <v>12610.79</v>
      </c>
      <c r="M1019" s="3">
        <f>Table1[[#This Row],[Gross_Sales]]-Table1[[#This Row],[Discount]]</f>
        <v>260005.93552023094</v>
      </c>
      <c r="N1019" s="3">
        <v>144661.38</v>
      </c>
      <c r="O1019" s="3">
        <v>5581.82</v>
      </c>
      <c r="P1019" s="3">
        <v>16113.53</v>
      </c>
      <c r="Q1019" s="3">
        <v>7117.54</v>
      </c>
      <c r="R1019" s="3">
        <v>5439.85</v>
      </c>
      <c r="S1019" s="3">
        <f>SUM(Table1[[#This Row],[Product_Cost]:[Other_Cost]])</f>
        <v>178914.12000000002</v>
      </c>
      <c r="T1019" s="3">
        <f>Table1[[#This Row],[Net_Sales]]-Table1[[#This Row],[Product_Cost]]</f>
        <v>115344.55552023093</v>
      </c>
      <c r="U1019" s="3">
        <f>Table1[[#This Row],[Net_Sales]]-Table1[[#This Row],[Total_Cost]]</f>
        <v>81091.815520230914</v>
      </c>
      <c r="V1019" s="4">
        <f>Table1[[#This Row],[Net_Profit]]/Table1[[#This Row],[Net_Sales]]</f>
        <v>0.31188447816769627</v>
      </c>
      <c r="W1019" t="s">
        <v>72</v>
      </c>
      <c r="X1019" t="s">
        <v>1034</v>
      </c>
      <c r="Y1019">
        <v>9</v>
      </c>
      <c r="Z1019" t="str">
        <f>IF(Table1[[#This Row],[Month_No]]&lt;=6, "H1","H2")</f>
        <v>H2</v>
      </c>
    </row>
    <row r="1020" spans="1:26" x14ac:dyDescent="0.25">
      <c r="A1020" s="2">
        <v>45918</v>
      </c>
      <c r="B1020" t="s">
        <v>1101</v>
      </c>
      <c r="C1020" t="s">
        <v>36</v>
      </c>
      <c r="D1020" t="s">
        <v>183</v>
      </c>
      <c r="E1020" t="s">
        <v>38</v>
      </c>
      <c r="F1020" t="s">
        <v>39</v>
      </c>
      <c r="G1020" t="s">
        <v>71</v>
      </c>
      <c r="H1020" t="s">
        <v>59</v>
      </c>
      <c r="I1020">
        <v>60.256363248402053</v>
      </c>
      <c r="J1020" s="3">
        <v>6951.03</v>
      </c>
      <c r="K1020" s="3">
        <f>Table1[[#This Row],[Quantity]]*Table1[[#This Row],[Unit_Price]]</f>
        <v>418843.78863054013</v>
      </c>
      <c r="L1020" s="3">
        <v>11030.26</v>
      </c>
      <c r="M1020" s="3">
        <f>Table1[[#This Row],[Gross_Sales]]-Table1[[#This Row],[Discount]]</f>
        <v>407813.52863054012</v>
      </c>
      <c r="N1020" s="3">
        <v>205011.98</v>
      </c>
      <c r="O1020" s="3">
        <v>10678.74</v>
      </c>
      <c r="P1020" s="3">
        <v>21670.01</v>
      </c>
      <c r="Q1020" s="3">
        <v>9904.44</v>
      </c>
      <c r="R1020" s="3">
        <v>5726.63</v>
      </c>
      <c r="S1020" s="3">
        <f>SUM(Table1[[#This Row],[Product_Cost]:[Other_Cost]])</f>
        <v>252991.80000000002</v>
      </c>
      <c r="T1020" s="3">
        <f>Table1[[#This Row],[Net_Sales]]-Table1[[#This Row],[Product_Cost]]</f>
        <v>202801.54863054011</v>
      </c>
      <c r="U1020" s="3">
        <f>Table1[[#This Row],[Net_Sales]]-Table1[[#This Row],[Total_Cost]]</f>
        <v>154821.72863054011</v>
      </c>
      <c r="V1020" s="4">
        <f>Table1[[#This Row],[Net_Profit]]/Table1[[#This Row],[Net_Sales]]</f>
        <v>0.37963853026269101</v>
      </c>
      <c r="W1020" t="s">
        <v>33</v>
      </c>
      <c r="X1020" t="s">
        <v>1034</v>
      </c>
      <c r="Y1020">
        <v>9</v>
      </c>
      <c r="Z1020" t="str">
        <f>IF(Table1[[#This Row],[Month_No]]&lt;=6, "H1","H2")</f>
        <v>H2</v>
      </c>
    </row>
    <row r="1021" spans="1:26" x14ac:dyDescent="0.25">
      <c r="A1021" s="2">
        <v>45918</v>
      </c>
      <c r="B1021" t="s">
        <v>1102</v>
      </c>
      <c r="C1021" t="s">
        <v>83</v>
      </c>
      <c r="D1021" t="s">
        <v>44</v>
      </c>
      <c r="E1021" t="s">
        <v>45</v>
      </c>
      <c r="F1021" t="s">
        <v>39</v>
      </c>
      <c r="G1021" t="s">
        <v>64</v>
      </c>
      <c r="H1021" t="s">
        <v>59</v>
      </c>
      <c r="I1021">
        <v>63.736044859809859</v>
      </c>
      <c r="J1021" s="3">
        <v>4621.18</v>
      </c>
      <c r="K1021" s="3">
        <f>Table1[[#This Row],[Quantity]]*Table1[[#This Row],[Unit_Price]]</f>
        <v>294535.73578525614</v>
      </c>
      <c r="L1021" s="3">
        <v>11768.27</v>
      </c>
      <c r="M1021" s="3">
        <f>Table1[[#This Row],[Gross_Sales]]-Table1[[#This Row],[Discount]]</f>
        <v>282767.46578525612</v>
      </c>
      <c r="N1021" s="3">
        <v>179883.95</v>
      </c>
      <c r="O1021" s="3">
        <v>7844.59</v>
      </c>
      <c r="P1021" s="3">
        <v>17400.23</v>
      </c>
      <c r="Q1021" s="3">
        <v>7559.79</v>
      </c>
      <c r="R1021" s="3">
        <v>5774.95</v>
      </c>
      <c r="S1021" s="3">
        <f>SUM(Table1[[#This Row],[Product_Cost]:[Other_Cost]])</f>
        <v>218463.51000000004</v>
      </c>
      <c r="T1021" s="3">
        <f>Table1[[#This Row],[Net_Sales]]-Table1[[#This Row],[Product_Cost]]</f>
        <v>102883.51578525611</v>
      </c>
      <c r="U1021" s="3">
        <f>Table1[[#This Row],[Net_Sales]]-Table1[[#This Row],[Total_Cost]]</f>
        <v>64303.955785256083</v>
      </c>
      <c r="V1021" s="4">
        <f>Table1[[#This Row],[Net_Profit]]/Table1[[#This Row],[Net_Sales]]</f>
        <v>0.22740931530677169</v>
      </c>
      <c r="W1021" t="s">
        <v>33</v>
      </c>
      <c r="X1021" t="s">
        <v>1034</v>
      </c>
      <c r="Y1021">
        <v>9</v>
      </c>
      <c r="Z1021" t="str">
        <f>IF(Table1[[#This Row],[Month_No]]&lt;=6, "H1","H2")</f>
        <v>H2</v>
      </c>
    </row>
    <row r="1022" spans="1:26" x14ac:dyDescent="0.25">
      <c r="A1022" s="2">
        <v>45918</v>
      </c>
      <c r="B1022" t="s">
        <v>1103</v>
      </c>
      <c r="C1022" t="s">
        <v>27</v>
      </c>
      <c r="D1022" t="s">
        <v>66</v>
      </c>
      <c r="E1022" t="s">
        <v>51</v>
      </c>
      <c r="F1022" t="s">
        <v>52</v>
      </c>
      <c r="G1022" t="s">
        <v>58</v>
      </c>
      <c r="H1022" t="s">
        <v>41</v>
      </c>
      <c r="I1022">
        <v>58.182866837864353</v>
      </c>
      <c r="J1022" s="3">
        <v>1551.76</v>
      </c>
      <c r="K1022" s="3">
        <f>Table1[[#This Row],[Quantity]]*Table1[[#This Row],[Unit_Price]]</f>
        <v>90285.845444324383</v>
      </c>
      <c r="L1022" s="3">
        <v>4165.29</v>
      </c>
      <c r="M1022" s="3">
        <f>Table1[[#This Row],[Gross_Sales]]-Table1[[#This Row],[Discount]]</f>
        <v>86120.555444324389</v>
      </c>
      <c r="N1022" s="3">
        <v>39585.72</v>
      </c>
      <c r="O1022" s="3">
        <v>1588.06</v>
      </c>
      <c r="P1022" s="3">
        <v>4714.3900000000003</v>
      </c>
      <c r="Q1022" s="3">
        <v>2231.84</v>
      </c>
      <c r="R1022" s="3">
        <v>1400.21</v>
      </c>
      <c r="S1022" s="3">
        <f>SUM(Table1[[#This Row],[Product_Cost]:[Other_Cost]])</f>
        <v>49520.219999999994</v>
      </c>
      <c r="T1022" s="3">
        <f>Table1[[#This Row],[Net_Sales]]-Table1[[#This Row],[Product_Cost]]</f>
        <v>46534.835444324388</v>
      </c>
      <c r="U1022" s="3">
        <f>Table1[[#This Row],[Net_Sales]]-Table1[[#This Row],[Total_Cost]]</f>
        <v>36600.335444324395</v>
      </c>
      <c r="V1022" s="4">
        <f>Table1[[#This Row],[Net_Profit]]/Table1[[#This Row],[Net_Sales]]</f>
        <v>0.42498954233970249</v>
      </c>
      <c r="W1022" t="s">
        <v>72</v>
      </c>
      <c r="X1022" t="s">
        <v>1034</v>
      </c>
      <c r="Y1022">
        <v>9</v>
      </c>
      <c r="Z1022" t="str">
        <f>IF(Table1[[#This Row],[Month_No]]&lt;=6, "H1","H2")</f>
        <v>H2</v>
      </c>
    </row>
    <row r="1023" spans="1:26" x14ac:dyDescent="0.25">
      <c r="A1023" s="2">
        <v>45919</v>
      </c>
      <c r="B1023" t="s">
        <v>1104</v>
      </c>
      <c r="C1023" t="s">
        <v>98</v>
      </c>
      <c r="D1023" t="s">
        <v>85</v>
      </c>
      <c r="E1023" t="s">
        <v>57</v>
      </c>
      <c r="F1023" t="s">
        <v>52</v>
      </c>
      <c r="G1023" t="s">
        <v>71</v>
      </c>
      <c r="H1023" t="s">
        <v>47</v>
      </c>
      <c r="I1023">
        <v>44.702718556654382</v>
      </c>
      <c r="J1023" s="3">
        <v>2093.14</v>
      </c>
      <c r="K1023" s="3">
        <f>Table1[[#This Row],[Quantity]]*Table1[[#This Row],[Unit_Price]]</f>
        <v>93569.048319675552</v>
      </c>
      <c r="L1023" s="3">
        <v>3119.04</v>
      </c>
      <c r="M1023" s="3">
        <f>Table1[[#This Row],[Gross_Sales]]-Table1[[#This Row],[Discount]]</f>
        <v>90450.008319675559</v>
      </c>
      <c r="N1023" s="3">
        <v>57864.959999999999</v>
      </c>
      <c r="O1023" s="3">
        <v>1472</v>
      </c>
      <c r="P1023" s="3">
        <v>5600.06</v>
      </c>
      <c r="Q1023" s="3">
        <v>1953.5</v>
      </c>
      <c r="R1023" s="3">
        <v>1127.6199999999999</v>
      </c>
      <c r="S1023" s="3">
        <f>SUM(Table1[[#This Row],[Product_Cost]:[Other_Cost]])</f>
        <v>68018.139999999985</v>
      </c>
      <c r="T1023" s="3">
        <f>Table1[[#This Row],[Net_Sales]]-Table1[[#This Row],[Product_Cost]]</f>
        <v>32585.048319675559</v>
      </c>
      <c r="U1023" s="3">
        <f>Table1[[#This Row],[Net_Sales]]-Table1[[#This Row],[Total_Cost]]</f>
        <v>22431.868319675574</v>
      </c>
      <c r="V1023" s="4">
        <f>Table1[[#This Row],[Net_Profit]]/Table1[[#This Row],[Net_Sales]]</f>
        <v>0.24800294368569978</v>
      </c>
      <c r="W1023" t="s">
        <v>33</v>
      </c>
      <c r="X1023" t="s">
        <v>1034</v>
      </c>
      <c r="Y1023">
        <v>9</v>
      </c>
      <c r="Z1023" t="str">
        <f>IF(Table1[[#This Row],[Month_No]]&lt;=6, "H1","H2")</f>
        <v>H2</v>
      </c>
    </row>
    <row r="1024" spans="1:26" x14ac:dyDescent="0.25">
      <c r="A1024" s="2">
        <v>45919</v>
      </c>
      <c r="B1024" t="s">
        <v>1105</v>
      </c>
      <c r="C1024" t="s">
        <v>43</v>
      </c>
      <c r="D1024" t="s">
        <v>68</v>
      </c>
      <c r="E1024" t="s">
        <v>29</v>
      </c>
      <c r="F1024" t="s">
        <v>46</v>
      </c>
      <c r="G1024" t="s">
        <v>76</v>
      </c>
      <c r="H1024" t="s">
        <v>32</v>
      </c>
      <c r="I1024">
        <v>101.57140492200649</v>
      </c>
      <c r="J1024" s="3">
        <v>407.26</v>
      </c>
      <c r="K1024" s="3">
        <f>Table1[[#This Row],[Quantity]]*Table1[[#This Row],[Unit_Price]]</f>
        <v>41365.970368536364</v>
      </c>
      <c r="L1024" s="3">
        <v>2266.29</v>
      </c>
      <c r="M1024" s="3">
        <f>Table1[[#This Row],[Gross_Sales]]-Table1[[#This Row],[Discount]]</f>
        <v>39099.680368536363</v>
      </c>
      <c r="N1024" s="3">
        <v>26649.119999999999</v>
      </c>
      <c r="O1024" s="3">
        <v>811.48</v>
      </c>
      <c r="P1024" s="3">
        <v>1883.44</v>
      </c>
      <c r="Q1024" s="3">
        <v>967.1</v>
      </c>
      <c r="R1024" s="3">
        <v>702.07</v>
      </c>
      <c r="S1024" s="3">
        <f>SUM(Table1[[#This Row],[Product_Cost]:[Other_Cost]])</f>
        <v>31013.209999999995</v>
      </c>
      <c r="T1024" s="3">
        <f>Table1[[#This Row],[Net_Sales]]-Table1[[#This Row],[Product_Cost]]</f>
        <v>12450.560368536364</v>
      </c>
      <c r="U1024" s="3">
        <f>Table1[[#This Row],[Net_Sales]]-Table1[[#This Row],[Total_Cost]]</f>
        <v>8086.4703685363675</v>
      </c>
      <c r="V1024" s="4">
        <f>Table1[[#This Row],[Net_Profit]]/Table1[[#This Row],[Net_Sales]]</f>
        <v>0.206816789608428</v>
      </c>
      <c r="W1024" t="s">
        <v>33</v>
      </c>
      <c r="X1024" t="s">
        <v>1034</v>
      </c>
      <c r="Y1024">
        <v>9</v>
      </c>
      <c r="Z1024" t="str">
        <f>IF(Table1[[#This Row],[Month_No]]&lt;=6, "H1","H2")</f>
        <v>H2</v>
      </c>
    </row>
    <row r="1025" spans="1:26" x14ac:dyDescent="0.25">
      <c r="A1025" s="2">
        <v>45919</v>
      </c>
      <c r="B1025" t="s">
        <v>1106</v>
      </c>
      <c r="C1025" t="s">
        <v>55</v>
      </c>
      <c r="D1025" t="s">
        <v>28</v>
      </c>
      <c r="E1025" t="s">
        <v>29</v>
      </c>
      <c r="F1025" t="s">
        <v>46</v>
      </c>
      <c r="G1025" t="s">
        <v>86</v>
      </c>
      <c r="H1025" t="s">
        <v>59</v>
      </c>
      <c r="I1025">
        <v>48.083085051853423</v>
      </c>
      <c r="J1025" s="3">
        <v>1292.47</v>
      </c>
      <c r="K1025" s="3">
        <f>Table1[[#This Row],[Quantity]]*Table1[[#This Row],[Unit_Price]]</f>
        <v>62145.944936968997</v>
      </c>
      <c r="L1025" s="3">
        <v>1954.73</v>
      </c>
      <c r="M1025" s="3">
        <f>Table1[[#This Row],[Gross_Sales]]-Table1[[#This Row],[Discount]]</f>
        <v>60191.214936968994</v>
      </c>
      <c r="N1025" s="3">
        <v>32883.65</v>
      </c>
      <c r="O1025" s="3">
        <v>1338.11</v>
      </c>
      <c r="P1025" s="3">
        <v>3541.05</v>
      </c>
      <c r="Q1025" s="3">
        <v>1183.54</v>
      </c>
      <c r="R1025" s="3">
        <v>903.44</v>
      </c>
      <c r="S1025" s="3">
        <f>SUM(Table1[[#This Row],[Product_Cost]:[Other_Cost]])</f>
        <v>39849.790000000008</v>
      </c>
      <c r="T1025" s="3">
        <f>Table1[[#This Row],[Net_Sales]]-Table1[[#This Row],[Product_Cost]]</f>
        <v>27307.564936968993</v>
      </c>
      <c r="U1025" s="3">
        <f>Table1[[#This Row],[Net_Sales]]-Table1[[#This Row],[Total_Cost]]</f>
        <v>20341.424936968986</v>
      </c>
      <c r="V1025" s="4">
        <f>Table1[[#This Row],[Net_Profit]]/Table1[[#This Row],[Net_Sales]]</f>
        <v>0.33794674120251783</v>
      </c>
      <c r="W1025" t="s">
        <v>33</v>
      </c>
      <c r="X1025" t="s">
        <v>1034</v>
      </c>
      <c r="Y1025">
        <v>9</v>
      </c>
      <c r="Z1025" t="str">
        <f>IF(Table1[[#This Row],[Month_No]]&lt;=6, "H1","H2")</f>
        <v>H2</v>
      </c>
    </row>
    <row r="1026" spans="1:26" x14ac:dyDescent="0.25">
      <c r="A1026" s="2">
        <v>45920</v>
      </c>
      <c r="B1026" t="s">
        <v>1107</v>
      </c>
      <c r="C1026" t="s">
        <v>83</v>
      </c>
      <c r="D1026" t="s">
        <v>74</v>
      </c>
      <c r="E1026" t="s">
        <v>75</v>
      </c>
      <c r="F1026" t="s">
        <v>30</v>
      </c>
      <c r="G1026" t="s">
        <v>58</v>
      </c>
      <c r="H1026" t="s">
        <v>41</v>
      </c>
      <c r="I1026">
        <v>53.317865088608031</v>
      </c>
      <c r="J1026" s="3">
        <v>5897.1</v>
      </c>
      <c r="K1026" s="3">
        <f>Table1[[#This Row],[Quantity]]*Table1[[#This Row],[Unit_Price]]</f>
        <v>314420.78221403045</v>
      </c>
      <c r="L1026" s="3">
        <v>10266.65</v>
      </c>
      <c r="M1026" s="3">
        <f>Table1[[#This Row],[Gross_Sales]]-Table1[[#This Row],[Discount]]</f>
        <v>304154.13221403043</v>
      </c>
      <c r="N1026" s="3">
        <v>197734.49</v>
      </c>
      <c r="O1026" s="3">
        <v>6033.31</v>
      </c>
      <c r="P1026" s="3">
        <v>15411.58</v>
      </c>
      <c r="Q1026" s="3">
        <v>8905.3700000000008</v>
      </c>
      <c r="R1026" s="3">
        <v>4432.88</v>
      </c>
      <c r="S1026" s="3">
        <f>SUM(Table1[[#This Row],[Product_Cost]:[Other_Cost]])</f>
        <v>232517.62999999998</v>
      </c>
      <c r="T1026" s="3">
        <f>Table1[[#This Row],[Net_Sales]]-Table1[[#This Row],[Product_Cost]]</f>
        <v>106419.64221403043</v>
      </c>
      <c r="U1026" s="3">
        <f>Table1[[#This Row],[Net_Sales]]-Table1[[#This Row],[Total_Cost]]</f>
        <v>71636.50221403045</v>
      </c>
      <c r="V1026" s="4">
        <f>Table1[[#This Row],[Net_Profit]]/Table1[[#This Row],[Net_Sales]]</f>
        <v>0.23552697342155626</v>
      </c>
      <c r="W1026" t="s">
        <v>33</v>
      </c>
      <c r="X1026" t="s">
        <v>1034</v>
      </c>
      <c r="Y1026">
        <v>9</v>
      </c>
      <c r="Z1026" t="str">
        <f>IF(Table1[[#This Row],[Month_No]]&lt;=6, "H1","H2")</f>
        <v>H2</v>
      </c>
    </row>
    <row r="1027" spans="1:26" x14ac:dyDescent="0.25">
      <c r="A1027" s="2">
        <v>45920</v>
      </c>
      <c r="B1027" t="s">
        <v>1108</v>
      </c>
      <c r="C1027" t="s">
        <v>70</v>
      </c>
      <c r="D1027" t="s">
        <v>37</v>
      </c>
      <c r="E1027" t="s">
        <v>38</v>
      </c>
      <c r="F1027" t="s">
        <v>52</v>
      </c>
      <c r="G1027" t="s">
        <v>61</v>
      </c>
      <c r="H1027" t="s">
        <v>41</v>
      </c>
      <c r="I1027">
        <v>75.51503812652571</v>
      </c>
      <c r="J1027" s="3">
        <v>4912.62</v>
      </c>
      <c r="K1027" s="3">
        <f>Table1[[#This Row],[Quantity]]*Table1[[#This Row],[Unit_Price]]</f>
        <v>370976.68660113274</v>
      </c>
      <c r="L1027" s="3">
        <v>19754.09</v>
      </c>
      <c r="M1027" s="3">
        <f>Table1[[#This Row],[Gross_Sales]]-Table1[[#This Row],[Discount]]</f>
        <v>351222.59660113271</v>
      </c>
      <c r="N1027" s="3">
        <v>229565.92</v>
      </c>
      <c r="O1027" s="3">
        <v>6072.38</v>
      </c>
      <c r="P1027" s="3">
        <v>17564.490000000002</v>
      </c>
      <c r="Q1027" s="3">
        <v>9920.51</v>
      </c>
      <c r="R1027" s="3">
        <v>7432.48</v>
      </c>
      <c r="S1027" s="3">
        <f>SUM(Table1[[#This Row],[Product_Cost]:[Other_Cost]])</f>
        <v>270555.77999999997</v>
      </c>
      <c r="T1027" s="3">
        <f>Table1[[#This Row],[Net_Sales]]-Table1[[#This Row],[Product_Cost]]</f>
        <v>121656.6766011327</v>
      </c>
      <c r="U1027" s="3">
        <f>Table1[[#This Row],[Net_Sales]]-Table1[[#This Row],[Total_Cost]]</f>
        <v>80666.816601132741</v>
      </c>
      <c r="V1027" s="4">
        <f>Table1[[#This Row],[Net_Profit]]/Table1[[#This Row],[Net_Sales]]</f>
        <v>0.22967433582510161</v>
      </c>
      <c r="W1027" t="s">
        <v>33</v>
      </c>
      <c r="X1027" t="s">
        <v>1034</v>
      </c>
      <c r="Y1027">
        <v>9</v>
      </c>
      <c r="Z1027" t="str">
        <f>IF(Table1[[#This Row],[Month_No]]&lt;=6, "H1","H2")</f>
        <v>H2</v>
      </c>
    </row>
    <row r="1028" spans="1:26" x14ac:dyDescent="0.25">
      <c r="A1028" s="2">
        <v>45920</v>
      </c>
      <c r="B1028" t="s">
        <v>1109</v>
      </c>
      <c r="C1028" t="s">
        <v>27</v>
      </c>
      <c r="D1028" t="s">
        <v>50</v>
      </c>
      <c r="E1028" t="s">
        <v>51</v>
      </c>
      <c r="F1028" t="s">
        <v>52</v>
      </c>
      <c r="G1028" t="s">
        <v>58</v>
      </c>
      <c r="H1028" t="s">
        <v>32</v>
      </c>
      <c r="I1028">
        <v>97.088860150472513</v>
      </c>
      <c r="J1028" s="3">
        <v>931.5</v>
      </c>
      <c r="K1028" s="3">
        <f>Table1[[#This Row],[Quantity]]*Table1[[#This Row],[Unit_Price]]</f>
        <v>90438.273230165141</v>
      </c>
      <c r="L1028" s="3">
        <v>3198.54</v>
      </c>
      <c r="M1028" s="3">
        <f>Table1[[#This Row],[Gross_Sales]]-Table1[[#This Row],[Discount]]</f>
        <v>87239.733230165148</v>
      </c>
      <c r="N1028" s="3">
        <v>53620.74</v>
      </c>
      <c r="O1028" s="3">
        <v>1915.07</v>
      </c>
      <c r="P1028" s="3">
        <v>4469.4399999999996</v>
      </c>
      <c r="Q1028" s="3">
        <v>2660.63</v>
      </c>
      <c r="R1028" s="3">
        <v>1559.44</v>
      </c>
      <c r="S1028" s="3">
        <f>SUM(Table1[[#This Row],[Product_Cost]:[Other_Cost]])</f>
        <v>64225.32</v>
      </c>
      <c r="T1028" s="3">
        <f>Table1[[#This Row],[Net_Sales]]-Table1[[#This Row],[Product_Cost]]</f>
        <v>33618.99323016515</v>
      </c>
      <c r="U1028" s="3">
        <f>Table1[[#This Row],[Net_Sales]]-Table1[[#This Row],[Total_Cost]]</f>
        <v>23014.413230165148</v>
      </c>
      <c r="V1028" s="4">
        <f>Table1[[#This Row],[Net_Profit]]/Table1[[#This Row],[Net_Sales]]</f>
        <v>0.26380655210678</v>
      </c>
      <c r="W1028" t="s">
        <v>72</v>
      </c>
      <c r="X1028" t="s">
        <v>1034</v>
      </c>
      <c r="Y1028">
        <v>9</v>
      </c>
      <c r="Z1028" t="str">
        <f>IF(Table1[[#This Row],[Month_No]]&lt;=6, "H1","H2")</f>
        <v>H2</v>
      </c>
    </row>
    <row r="1029" spans="1:26" x14ac:dyDescent="0.25">
      <c r="A1029" s="2">
        <v>45920</v>
      </c>
      <c r="B1029" t="s">
        <v>1110</v>
      </c>
      <c r="C1029" t="s">
        <v>43</v>
      </c>
      <c r="D1029" t="s">
        <v>74</v>
      </c>
      <c r="E1029" t="s">
        <v>75</v>
      </c>
      <c r="F1029" t="s">
        <v>46</v>
      </c>
      <c r="G1029" t="s">
        <v>71</v>
      </c>
      <c r="H1029" t="s">
        <v>41</v>
      </c>
      <c r="I1029">
        <v>34.789923747562092</v>
      </c>
      <c r="J1029" s="3">
        <v>5711.68</v>
      </c>
      <c r="K1029" s="3">
        <f>Table1[[#This Row],[Quantity]]*Table1[[#This Row],[Unit_Price]]</f>
        <v>198708.91167047547</v>
      </c>
      <c r="L1029" s="3">
        <v>8041.61</v>
      </c>
      <c r="M1029" s="3">
        <f>Table1[[#This Row],[Gross_Sales]]-Table1[[#This Row],[Discount]]</f>
        <v>190667.30167047548</v>
      </c>
      <c r="N1029" s="3">
        <v>126899.7</v>
      </c>
      <c r="O1029" s="3">
        <v>4328.38</v>
      </c>
      <c r="P1029" s="3">
        <v>10472.66</v>
      </c>
      <c r="Q1029" s="3">
        <v>5488.11</v>
      </c>
      <c r="R1029" s="3">
        <v>3021.48</v>
      </c>
      <c r="S1029" s="3">
        <f>SUM(Table1[[#This Row],[Product_Cost]:[Other_Cost]])</f>
        <v>150210.32999999999</v>
      </c>
      <c r="T1029" s="3">
        <f>Table1[[#This Row],[Net_Sales]]-Table1[[#This Row],[Product_Cost]]</f>
        <v>63767.601670475487</v>
      </c>
      <c r="U1029" s="3">
        <f>Table1[[#This Row],[Net_Sales]]-Table1[[#This Row],[Total_Cost]]</f>
        <v>40456.971670475497</v>
      </c>
      <c r="V1029" s="4">
        <f>Table1[[#This Row],[Net_Profit]]/Table1[[#This Row],[Net_Sales]]</f>
        <v>0.21218620768230126</v>
      </c>
      <c r="W1029" t="s">
        <v>33</v>
      </c>
      <c r="X1029" t="s">
        <v>1034</v>
      </c>
      <c r="Y1029">
        <v>9</v>
      </c>
      <c r="Z1029" t="str">
        <f>IF(Table1[[#This Row],[Month_No]]&lt;=6, "H1","H2")</f>
        <v>H2</v>
      </c>
    </row>
    <row r="1030" spans="1:26" x14ac:dyDescent="0.25">
      <c r="A1030" s="2">
        <v>45921</v>
      </c>
      <c r="B1030" t="s">
        <v>1111</v>
      </c>
      <c r="C1030" t="s">
        <v>83</v>
      </c>
      <c r="D1030" t="s">
        <v>81</v>
      </c>
      <c r="E1030" t="s">
        <v>45</v>
      </c>
      <c r="F1030" t="s">
        <v>52</v>
      </c>
      <c r="G1030" t="s">
        <v>76</v>
      </c>
      <c r="H1030" t="s">
        <v>59</v>
      </c>
      <c r="I1030">
        <v>43.418748137606933</v>
      </c>
      <c r="J1030" s="3">
        <v>7035.35</v>
      </c>
      <c r="K1030" s="3">
        <f>Table1[[#This Row],[Quantity]]*Table1[[#This Row],[Unit_Price]]</f>
        <v>305466.08970991295</v>
      </c>
      <c r="L1030" s="3">
        <v>9620.9</v>
      </c>
      <c r="M1030" s="3">
        <f>Table1[[#This Row],[Gross_Sales]]-Table1[[#This Row],[Discount]]</f>
        <v>295845.18970991293</v>
      </c>
      <c r="N1030" s="3">
        <v>149511.23000000001</v>
      </c>
      <c r="O1030" s="3">
        <v>5940.29</v>
      </c>
      <c r="P1030" s="3">
        <v>16943.62</v>
      </c>
      <c r="Q1030" s="3">
        <v>6771.18</v>
      </c>
      <c r="R1030" s="3">
        <v>4882.8100000000004</v>
      </c>
      <c r="S1030" s="3">
        <f>SUM(Table1[[#This Row],[Product_Cost]:[Other_Cost]])</f>
        <v>184049.13</v>
      </c>
      <c r="T1030" s="3">
        <f>Table1[[#This Row],[Net_Sales]]-Table1[[#This Row],[Product_Cost]]</f>
        <v>146333.95970991292</v>
      </c>
      <c r="U1030" s="3">
        <f>Table1[[#This Row],[Net_Sales]]-Table1[[#This Row],[Total_Cost]]</f>
        <v>111796.05970991292</v>
      </c>
      <c r="V1030" s="4">
        <f>Table1[[#This Row],[Net_Profit]]/Table1[[#This Row],[Net_Sales]]</f>
        <v>0.37788702875153407</v>
      </c>
      <c r="W1030" t="s">
        <v>33</v>
      </c>
      <c r="X1030" t="s">
        <v>1034</v>
      </c>
      <c r="Y1030">
        <v>9</v>
      </c>
      <c r="Z1030" t="str">
        <f>IF(Table1[[#This Row],[Month_No]]&lt;=6, "H1","H2")</f>
        <v>H2</v>
      </c>
    </row>
    <row r="1031" spans="1:26" x14ac:dyDescent="0.25">
      <c r="A1031" s="2">
        <v>45921</v>
      </c>
      <c r="B1031" t="s">
        <v>1112</v>
      </c>
      <c r="C1031" t="s">
        <v>83</v>
      </c>
      <c r="D1031" t="s">
        <v>44</v>
      </c>
      <c r="E1031" t="s">
        <v>45</v>
      </c>
      <c r="F1031" t="s">
        <v>30</v>
      </c>
      <c r="G1031" t="s">
        <v>71</v>
      </c>
      <c r="H1031" t="s">
        <v>59</v>
      </c>
      <c r="I1031">
        <v>48.445258860502072</v>
      </c>
      <c r="J1031" s="3">
        <v>4516.3100000000004</v>
      </c>
      <c r="K1031" s="3">
        <f>Table1[[#This Row],[Quantity]]*Table1[[#This Row],[Unit_Price]]</f>
        <v>218793.80704427414</v>
      </c>
      <c r="L1031" s="3">
        <v>8151.07</v>
      </c>
      <c r="M1031" s="3">
        <f>Table1[[#This Row],[Gross_Sales]]-Table1[[#This Row],[Discount]]</f>
        <v>210642.73704427414</v>
      </c>
      <c r="N1031" s="3">
        <v>144266.74</v>
      </c>
      <c r="O1031" s="3">
        <v>4910.18</v>
      </c>
      <c r="P1031" s="3">
        <v>12790.86</v>
      </c>
      <c r="Q1031" s="3">
        <v>4407.47</v>
      </c>
      <c r="R1031" s="3">
        <v>3191.66</v>
      </c>
      <c r="S1031" s="3">
        <f>SUM(Table1[[#This Row],[Product_Cost]:[Other_Cost]])</f>
        <v>169566.90999999997</v>
      </c>
      <c r="T1031" s="3">
        <f>Table1[[#This Row],[Net_Sales]]-Table1[[#This Row],[Product_Cost]]</f>
        <v>66375.997044274147</v>
      </c>
      <c r="U1031" s="3">
        <f>Table1[[#This Row],[Net_Sales]]-Table1[[#This Row],[Total_Cost]]</f>
        <v>41075.827044274163</v>
      </c>
      <c r="V1031" s="4">
        <f>Table1[[#This Row],[Net_Profit]]/Table1[[#This Row],[Net_Sales]]</f>
        <v>0.19500234197792732</v>
      </c>
      <c r="W1031" t="s">
        <v>33</v>
      </c>
      <c r="X1031" t="s">
        <v>1034</v>
      </c>
      <c r="Y1031">
        <v>9</v>
      </c>
      <c r="Z1031" t="str">
        <f>IF(Table1[[#This Row],[Month_No]]&lt;=6, "H1","H2")</f>
        <v>H2</v>
      </c>
    </row>
    <row r="1032" spans="1:26" x14ac:dyDescent="0.25">
      <c r="A1032" s="2">
        <v>45921</v>
      </c>
      <c r="B1032" t="s">
        <v>1113</v>
      </c>
      <c r="C1032" t="s">
        <v>117</v>
      </c>
      <c r="D1032" t="s">
        <v>56</v>
      </c>
      <c r="E1032" t="s">
        <v>57</v>
      </c>
      <c r="F1032" t="s">
        <v>46</v>
      </c>
      <c r="G1032" t="s">
        <v>71</v>
      </c>
      <c r="H1032" t="s">
        <v>47</v>
      </c>
      <c r="I1032">
        <v>60.360158666920782</v>
      </c>
      <c r="J1032" s="3">
        <v>3414.4</v>
      </c>
      <c r="K1032" s="3">
        <f>Table1[[#This Row],[Quantity]]*Table1[[#This Row],[Unit_Price]]</f>
        <v>206093.72575233431</v>
      </c>
      <c r="L1032" s="3">
        <v>8029.31</v>
      </c>
      <c r="M1032" s="3">
        <f>Table1[[#This Row],[Gross_Sales]]-Table1[[#This Row],[Discount]]</f>
        <v>198064.41575233432</v>
      </c>
      <c r="N1032" s="3">
        <v>100522.31</v>
      </c>
      <c r="O1032" s="3">
        <v>3868.41</v>
      </c>
      <c r="P1032" s="3">
        <v>10351.65</v>
      </c>
      <c r="Q1032" s="3">
        <v>6321.38</v>
      </c>
      <c r="R1032" s="3">
        <v>2746.98</v>
      </c>
      <c r="S1032" s="3">
        <f>SUM(Table1[[#This Row],[Product_Cost]:[Other_Cost]])</f>
        <v>123810.73</v>
      </c>
      <c r="T1032" s="3">
        <f>Table1[[#This Row],[Net_Sales]]-Table1[[#This Row],[Product_Cost]]</f>
        <v>97542.105752334319</v>
      </c>
      <c r="U1032" s="3">
        <f>Table1[[#This Row],[Net_Sales]]-Table1[[#This Row],[Total_Cost]]</f>
        <v>74253.685752334321</v>
      </c>
      <c r="V1032" s="4">
        <f>Table1[[#This Row],[Net_Profit]]/Table1[[#This Row],[Net_Sales]]</f>
        <v>0.37489664900323821</v>
      </c>
      <c r="W1032" t="s">
        <v>33</v>
      </c>
      <c r="X1032" t="s">
        <v>1034</v>
      </c>
      <c r="Y1032">
        <v>9</v>
      </c>
      <c r="Z1032" t="str">
        <f>IF(Table1[[#This Row],[Month_No]]&lt;=6, "H1","H2")</f>
        <v>H2</v>
      </c>
    </row>
    <row r="1033" spans="1:26" x14ac:dyDescent="0.25">
      <c r="A1033" s="2">
        <v>45921</v>
      </c>
      <c r="B1033" t="s">
        <v>1114</v>
      </c>
      <c r="C1033" t="s">
        <v>49</v>
      </c>
      <c r="D1033" t="s">
        <v>56</v>
      </c>
      <c r="E1033" t="s">
        <v>57</v>
      </c>
      <c r="F1033" t="s">
        <v>52</v>
      </c>
      <c r="G1033" t="s">
        <v>40</v>
      </c>
      <c r="H1033" t="s">
        <v>41</v>
      </c>
      <c r="I1033">
        <v>29.820751172693999</v>
      </c>
      <c r="J1033" s="3">
        <v>3419.26</v>
      </c>
      <c r="K1033" s="3">
        <f>Table1[[#This Row],[Quantity]]*Table1[[#This Row],[Unit_Price]]</f>
        <v>101964.90165474568</v>
      </c>
      <c r="L1033" s="3">
        <v>5329.94</v>
      </c>
      <c r="M1033" s="3">
        <f>Table1[[#This Row],[Gross_Sales]]-Table1[[#This Row],[Discount]]</f>
        <v>96634.961654745683</v>
      </c>
      <c r="N1033" s="3">
        <v>49342.39</v>
      </c>
      <c r="O1033" s="3">
        <v>2008.03</v>
      </c>
      <c r="P1033" s="3">
        <v>5131.83</v>
      </c>
      <c r="Q1033" s="3">
        <v>2987.66</v>
      </c>
      <c r="R1033" s="3">
        <v>1754.52</v>
      </c>
      <c r="S1033" s="3">
        <f>SUM(Table1[[#This Row],[Product_Cost]:[Other_Cost]])</f>
        <v>61224.43</v>
      </c>
      <c r="T1033" s="3">
        <f>Table1[[#This Row],[Net_Sales]]-Table1[[#This Row],[Product_Cost]]</f>
        <v>47292.571654745683</v>
      </c>
      <c r="U1033" s="3">
        <f>Table1[[#This Row],[Net_Sales]]-Table1[[#This Row],[Total_Cost]]</f>
        <v>35410.531654745682</v>
      </c>
      <c r="V1033" s="4">
        <f>Table1[[#This Row],[Net_Profit]]/Table1[[#This Row],[Net_Sales]]</f>
        <v>0.36643602944925152</v>
      </c>
      <c r="W1033" t="s">
        <v>33</v>
      </c>
      <c r="X1033" t="s">
        <v>1034</v>
      </c>
      <c r="Y1033">
        <v>9</v>
      </c>
      <c r="Z1033" t="str">
        <f>IF(Table1[[#This Row],[Month_No]]&lt;=6, "H1","H2")</f>
        <v>H2</v>
      </c>
    </row>
    <row r="1034" spans="1:26" x14ac:dyDescent="0.25">
      <c r="A1034" s="2">
        <v>45922</v>
      </c>
      <c r="B1034" t="s">
        <v>1115</v>
      </c>
      <c r="C1034" t="s">
        <v>43</v>
      </c>
      <c r="D1034" t="s">
        <v>44</v>
      </c>
      <c r="E1034" t="s">
        <v>45</v>
      </c>
      <c r="F1034" t="s">
        <v>46</v>
      </c>
      <c r="G1034" t="s">
        <v>71</v>
      </c>
      <c r="H1034" t="s">
        <v>47</v>
      </c>
      <c r="I1034">
        <v>60.857309130040633</v>
      </c>
      <c r="J1034" s="3">
        <v>4869.3</v>
      </c>
      <c r="K1034" s="3">
        <f>Table1[[#This Row],[Quantity]]*Table1[[#This Row],[Unit_Price]]</f>
        <v>296332.49534690689</v>
      </c>
      <c r="L1034" s="3">
        <v>8189.33</v>
      </c>
      <c r="M1034" s="3">
        <f>Table1[[#This Row],[Gross_Sales]]-Table1[[#This Row],[Discount]]</f>
        <v>288143.16534690687</v>
      </c>
      <c r="N1034" s="3">
        <v>192590.9</v>
      </c>
      <c r="O1034" s="3">
        <v>4898.84</v>
      </c>
      <c r="P1034" s="3">
        <v>15502.79</v>
      </c>
      <c r="Q1034" s="3">
        <v>8434.86</v>
      </c>
      <c r="R1034" s="3">
        <v>4186.16</v>
      </c>
      <c r="S1034" s="3">
        <f>SUM(Table1[[#This Row],[Product_Cost]:[Other_Cost]])</f>
        <v>225613.55000000002</v>
      </c>
      <c r="T1034" s="3">
        <f>Table1[[#This Row],[Net_Sales]]-Table1[[#This Row],[Product_Cost]]</f>
        <v>95552.265346906875</v>
      </c>
      <c r="U1034" s="3">
        <f>Table1[[#This Row],[Net_Sales]]-Table1[[#This Row],[Total_Cost]]</f>
        <v>62529.615346906852</v>
      </c>
      <c r="V1034" s="4">
        <f>Table1[[#This Row],[Net_Profit]]/Table1[[#This Row],[Net_Sales]]</f>
        <v>0.21700884444586771</v>
      </c>
      <c r="W1034" t="s">
        <v>33</v>
      </c>
      <c r="X1034" t="s">
        <v>1034</v>
      </c>
      <c r="Y1034">
        <v>9</v>
      </c>
      <c r="Z1034" t="str">
        <f>IF(Table1[[#This Row],[Month_No]]&lt;=6, "H1","H2")</f>
        <v>H2</v>
      </c>
    </row>
    <row r="1035" spans="1:26" x14ac:dyDescent="0.25">
      <c r="A1035" s="2">
        <v>45922</v>
      </c>
      <c r="B1035" t="s">
        <v>1116</v>
      </c>
      <c r="C1035" t="s">
        <v>98</v>
      </c>
      <c r="D1035" t="s">
        <v>50</v>
      </c>
      <c r="E1035" t="s">
        <v>51</v>
      </c>
      <c r="F1035" t="s">
        <v>46</v>
      </c>
      <c r="G1035" t="s">
        <v>64</v>
      </c>
      <c r="H1035" t="s">
        <v>41</v>
      </c>
      <c r="I1035">
        <v>62.086294319455916</v>
      </c>
      <c r="J1035" s="3">
        <v>919.03</v>
      </c>
      <c r="K1035" s="3">
        <f>Table1[[#This Row],[Quantity]]*Table1[[#This Row],[Unit_Price]]</f>
        <v>57059.167068409566</v>
      </c>
      <c r="L1035" s="3">
        <v>1866.58</v>
      </c>
      <c r="M1035" s="3">
        <f>Table1[[#This Row],[Gross_Sales]]-Table1[[#This Row],[Discount]]</f>
        <v>55192.587068409564</v>
      </c>
      <c r="N1035" s="3">
        <v>33821.129999999997</v>
      </c>
      <c r="O1035" s="3">
        <v>1073.04</v>
      </c>
      <c r="P1035" s="3">
        <v>3214.97</v>
      </c>
      <c r="Q1035" s="3">
        <v>1310.47</v>
      </c>
      <c r="R1035" s="3">
        <v>911.09</v>
      </c>
      <c r="S1035" s="3">
        <f>SUM(Table1[[#This Row],[Product_Cost]:[Other_Cost]])</f>
        <v>40330.699999999997</v>
      </c>
      <c r="T1035" s="3">
        <f>Table1[[#This Row],[Net_Sales]]-Table1[[#This Row],[Product_Cost]]</f>
        <v>21371.457068409567</v>
      </c>
      <c r="U1035" s="3">
        <f>Table1[[#This Row],[Net_Sales]]-Table1[[#This Row],[Total_Cost]]</f>
        <v>14861.887068409567</v>
      </c>
      <c r="V1035" s="4">
        <f>Table1[[#This Row],[Net_Profit]]/Table1[[#This Row],[Net_Sales]]</f>
        <v>0.26927324587971752</v>
      </c>
      <c r="W1035" t="s">
        <v>33</v>
      </c>
      <c r="X1035" t="s">
        <v>1034</v>
      </c>
      <c r="Y1035">
        <v>9</v>
      </c>
      <c r="Z1035" t="str">
        <f>IF(Table1[[#This Row],[Month_No]]&lt;=6, "H1","H2")</f>
        <v>H2</v>
      </c>
    </row>
    <row r="1036" spans="1:26" x14ac:dyDescent="0.25">
      <c r="A1036" s="2">
        <v>45922</v>
      </c>
      <c r="B1036" t="s">
        <v>1117</v>
      </c>
      <c r="C1036" t="s">
        <v>70</v>
      </c>
      <c r="D1036" t="s">
        <v>56</v>
      </c>
      <c r="E1036" t="s">
        <v>57</v>
      </c>
      <c r="F1036" t="s">
        <v>52</v>
      </c>
      <c r="G1036" t="s">
        <v>31</v>
      </c>
      <c r="H1036" t="s">
        <v>41</v>
      </c>
      <c r="I1036">
        <v>50.138988444258459</v>
      </c>
      <c r="J1036" s="3">
        <v>3416.32</v>
      </c>
      <c r="K1036" s="3">
        <f>Table1[[#This Row],[Quantity]]*Table1[[#This Row],[Unit_Price]]</f>
        <v>171290.82900188907</v>
      </c>
      <c r="L1036" s="3">
        <v>7675.37</v>
      </c>
      <c r="M1036" s="3">
        <f>Table1[[#This Row],[Gross_Sales]]-Table1[[#This Row],[Discount]]</f>
        <v>163615.45900188907</v>
      </c>
      <c r="N1036" s="3">
        <v>83472.679999999993</v>
      </c>
      <c r="O1036" s="3">
        <v>2747</v>
      </c>
      <c r="P1036" s="3">
        <v>8890</v>
      </c>
      <c r="Q1036" s="3">
        <v>4960.17</v>
      </c>
      <c r="R1036" s="3">
        <v>2278.67</v>
      </c>
      <c r="S1036" s="3">
        <f>SUM(Table1[[#This Row],[Product_Cost]:[Other_Cost]])</f>
        <v>102348.51999999999</v>
      </c>
      <c r="T1036" s="3">
        <f>Table1[[#This Row],[Net_Sales]]-Table1[[#This Row],[Product_Cost]]</f>
        <v>80142.779001889081</v>
      </c>
      <c r="U1036" s="3">
        <f>Table1[[#This Row],[Net_Sales]]-Table1[[#This Row],[Total_Cost]]</f>
        <v>61266.939001889084</v>
      </c>
      <c r="V1036" s="4">
        <f>Table1[[#This Row],[Net_Profit]]/Table1[[#This Row],[Net_Sales]]</f>
        <v>0.37445690875201287</v>
      </c>
      <c r="W1036" t="s">
        <v>33</v>
      </c>
      <c r="X1036" t="s">
        <v>1034</v>
      </c>
      <c r="Y1036">
        <v>9</v>
      </c>
      <c r="Z1036" t="str">
        <f>IF(Table1[[#This Row],[Month_No]]&lt;=6, "H1","H2")</f>
        <v>H2</v>
      </c>
    </row>
    <row r="1037" spans="1:26" x14ac:dyDescent="0.25">
      <c r="A1037" s="2">
        <v>45922</v>
      </c>
      <c r="B1037" t="s">
        <v>1118</v>
      </c>
      <c r="C1037" t="s">
        <v>70</v>
      </c>
      <c r="D1037" t="s">
        <v>44</v>
      </c>
      <c r="E1037" t="s">
        <v>45</v>
      </c>
      <c r="F1037" t="s">
        <v>52</v>
      </c>
      <c r="G1037" t="s">
        <v>61</v>
      </c>
      <c r="H1037" t="s">
        <v>41</v>
      </c>
      <c r="I1037">
        <v>69.21520421070224</v>
      </c>
      <c r="J1037" s="3">
        <v>4933.37</v>
      </c>
      <c r="K1037" s="3">
        <f>Table1[[#This Row],[Quantity]]*Table1[[#This Row],[Unit_Price]]</f>
        <v>341464.21199695207</v>
      </c>
      <c r="L1037" s="3">
        <v>12371.87</v>
      </c>
      <c r="M1037" s="3">
        <f>Table1[[#This Row],[Gross_Sales]]-Table1[[#This Row],[Discount]]</f>
        <v>329092.34199695208</v>
      </c>
      <c r="N1037" s="3">
        <v>216529.61</v>
      </c>
      <c r="O1037" s="3">
        <v>5605.59</v>
      </c>
      <c r="P1037" s="3">
        <v>19932.88</v>
      </c>
      <c r="Q1037" s="3">
        <v>7301.44</v>
      </c>
      <c r="R1037" s="3">
        <v>6830.49</v>
      </c>
      <c r="S1037" s="3">
        <f>SUM(Table1[[#This Row],[Product_Cost]:[Other_Cost]])</f>
        <v>256200.00999999998</v>
      </c>
      <c r="T1037" s="3">
        <f>Table1[[#This Row],[Net_Sales]]-Table1[[#This Row],[Product_Cost]]</f>
        <v>112562.73199695209</v>
      </c>
      <c r="U1037" s="3">
        <f>Table1[[#This Row],[Net_Sales]]-Table1[[#This Row],[Total_Cost]]</f>
        <v>72892.331996952096</v>
      </c>
      <c r="V1037" s="4">
        <f>Table1[[#This Row],[Net_Profit]]/Table1[[#This Row],[Net_Sales]]</f>
        <v>0.2214950720355176</v>
      </c>
      <c r="W1037" t="s">
        <v>33</v>
      </c>
      <c r="X1037" t="s">
        <v>1034</v>
      </c>
      <c r="Y1037">
        <v>9</v>
      </c>
      <c r="Z1037" t="str">
        <f>IF(Table1[[#This Row],[Month_No]]&lt;=6, "H1","H2")</f>
        <v>H2</v>
      </c>
    </row>
    <row r="1038" spans="1:26" x14ac:dyDescent="0.25">
      <c r="A1038" s="2">
        <v>45922</v>
      </c>
      <c r="B1038" t="s">
        <v>1119</v>
      </c>
      <c r="C1038" t="s">
        <v>107</v>
      </c>
      <c r="D1038" t="s">
        <v>74</v>
      </c>
      <c r="E1038" t="s">
        <v>75</v>
      </c>
      <c r="F1038" t="s">
        <v>30</v>
      </c>
      <c r="G1038" t="s">
        <v>64</v>
      </c>
      <c r="H1038" t="s">
        <v>41</v>
      </c>
      <c r="I1038">
        <v>52.475240666068608</v>
      </c>
      <c r="J1038" s="3">
        <v>5887.12</v>
      </c>
      <c r="K1038" s="3">
        <f>Table1[[#This Row],[Quantity]]*Table1[[#This Row],[Unit_Price]]</f>
        <v>308928.03883002582</v>
      </c>
      <c r="L1038" s="3">
        <v>15576.61</v>
      </c>
      <c r="M1038" s="3">
        <f>Table1[[#This Row],[Gross_Sales]]-Table1[[#This Row],[Discount]]</f>
        <v>293351.42883002583</v>
      </c>
      <c r="N1038" s="3">
        <v>199368.37</v>
      </c>
      <c r="O1038" s="3">
        <v>8519.31</v>
      </c>
      <c r="P1038" s="3">
        <v>16384.61</v>
      </c>
      <c r="Q1038" s="3">
        <v>8657.41</v>
      </c>
      <c r="R1038" s="3">
        <v>5957.57</v>
      </c>
      <c r="S1038" s="3">
        <f>SUM(Table1[[#This Row],[Product_Cost]:[Other_Cost]])</f>
        <v>238887.27</v>
      </c>
      <c r="T1038" s="3">
        <f>Table1[[#This Row],[Net_Sales]]-Table1[[#This Row],[Product_Cost]]</f>
        <v>93983.058830025839</v>
      </c>
      <c r="U1038" s="3">
        <f>Table1[[#This Row],[Net_Sales]]-Table1[[#This Row],[Total_Cost]]</f>
        <v>54464.158830025845</v>
      </c>
      <c r="V1038" s="4">
        <f>Table1[[#This Row],[Net_Profit]]/Table1[[#This Row],[Net_Sales]]</f>
        <v>0.18566181541111074</v>
      </c>
      <c r="W1038" t="s">
        <v>33</v>
      </c>
      <c r="X1038" t="s">
        <v>1034</v>
      </c>
      <c r="Y1038">
        <v>9</v>
      </c>
      <c r="Z1038" t="str">
        <f>IF(Table1[[#This Row],[Month_No]]&lt;=6, "H1","H2")</f>
        <v>H2</v>
      </c>
    </row>
    <row r="1039" spans="1:26" x14ac:dyDescent="0.25">
      <c r="A1039" s="2">
        <v>45923</v>
      </c>
      <c r="B1039" t="s">
        <v>1120</v>
      </c>
      <c r="C1039" t="s">
        <v>36</v>
      </c>
      <c r="D1039" t="s">
        <v>85</v>
      </c>
      <c r="E1039" t="s">
        <v>57</v>
      </c>
      <c r="F1039" t="s">
        <v>30</v>
      </c>
      <c r="G1039" t="s">
        <v>40</v>
      </c>
      <c r="H1039" t="s">
        <v>41</v>
      </c>
      <c r="I1039">
        <v>53.489048344762701</v>
      </c>
      <c r="J1039" s="3">
        <v>1972.47</v>
      </c>
      <c r="K1039" s="3">
        <f>Table1[[#This Row],[Quantity]]*Table1[[#This Row],[Unit_Price]]</f>
        <v>105505.54318859409</v>
      </c>
      <c r="L1039" s="3">
        <v>4611.2299999999996</v>
      </c>
      <c r="M1039" s="3">
        <f>Table1[[#This Row],[Gross_Sales]]-Table1[[#This Row],[Discount]]</f>
        <v>100894.3131885941</v>
      </c>
      <c r="N1039" s="3">
        <v>63680.78</v>
      </c>
      <c r="O1039" s="3">
        <v>2656.6</v>
      </c>
      <c r="P1039" s="3">
        <v>5957.99</v>
      </c>
      <c r="Q1039" s="3">
        <v>2931.93</v>
      </c>
      <c r="R1039" s="3">
        <v>2082.66</v>
      </c>
      <c r="S1039" s="3">
        <f>SUM(Table1[[#This Row],[Product_Cost]:[Other_Cost]])</f>
        <v>77309.960000000006</v>
      </c>
      <c r="T1039" s="3">
        <f>Table1[[#This Row],[Net_Sales]]-Table1[[#This Row],[Product_Cost]]</f>
        <v>37213.533188594098</v>
      </c>
      <c r="U1039" s="3">
        <f>Table1[[#This Row],[Net_Sales]]-Table1[[#This Row],[Total_Cost]]</f>
        <v>23584.35318859409</v>
      </c>
      <c r="V1039" s="4">
        <f>Table1[[#This Row],[Net_Profit]]/Table1[[#This Row],[Net_Sales]]</f>
        <v>0.23375304755293438</v>
      </c>
      <c r="W1039" t="s">
        <v>33</v>
      </c>
      <c r="X1039" t="s">
        <v>1034</v>
      </c>
      <c r="Y1039">
        <v>9</v>
      </c>
      <c r="Z1039" t="str">
        <f>IF(Table1[[#This Row],[Month_No]]&lt;=6, "H1","H2")</f>
        <v>H2</v>
      </c>
    </row>
    <row r="1040" spans="1:26" x14ac:dyDescent="0.25">
      <c r="A1040" s="2">
        <v>45923</v>
      </c>
      <c r="B1040" t="s">
        <v>1121</v>
      </c>
      <c r="C1040" t="s">
        <v>117</v>
      </c>
      <c r="D1040" t="s">
        <v>85</v>
      </c>
      <c r="E1040" t="s">
        <v>57</v>
      </c>
      <c r="F1040" t="s">
        <v>52</v>
      </c>
      <c r="G1040" t="s">
        <v>76</v>
      </c>
      <c r="H1040" t="s">
        <v>47</v>
      </c>
      <c r="I1040">
        <v>34.399673310309304</v>
      </c>
      <c r="J1040" s="3">
        <v>2027.45</v>
      </c>
      <c r="K1040" s="3">
        <f>Table1[[#This Row],[Quantity]]*Table1[[#This Row],[Unit_Price]]</f>
        <v>69743.617652986606</v>
      </c>
      <c r="L1040" s="3">
        <v>3283.08</v>
      </c>
      <c r="M1040" s="3">
        <f>Table1[[#This Row],[Gross_Sales]]-Table1[[#This Row],[Discount]]</f>
        <v>66460.537652986604</v>
      </c>
      <c r="N1040" s="3">
        <v>44380.25</v>
      </c>
      <c r="O1040" s="3">
        <v>1110.5899999999999</v>
      </c>
      <c r="P1040" s="3">
        <v>3304.67</v>
      </c>
      <c r="Q1040" s="3">
        <v>1302.56</v>
      </c>
      <c r="R1040" s="3">
        <v>1285.8599999999999</v>
      </c>
      <c r="S1040" s="3">
        <f>SUM(Table1[[#This Row],[Product_Cost]:[Other_Cost]])</f>
        <v>51383.929999999993</v>
      </c>
      <c r="T1040" s="3">
        <f>Table1[[#This Row],[Net_Sales]]-Table1[[#This Row],[Product_Cost]]</f>
        <v>22080.287652986604</v>
      </c>
      <c r="U1040" s="3">
        <f>Table1[[#This Row],[Net_Sales]]-Table1[[#This Row],[Total_Cost]]</f>
        <v>15076.607652986611</v>
      </c>
      <c r="V1040" s="4">
        <f>Table1[[#This Row],[Net_Profit]]/Table1[[#This Row],[Net_Sales]]</f>
        <v>0.22685052190981031</v>
      </c>
      <c r="W1040" t="s">
        <v>33</v>
      </c>
      <c r="X1040" t="s">
        <v>1034</v>
      </c>
      <c r="Y1040">
        <v>9</v>
      </c>
      <c r="Z1040" t="str">
        <f>IF(Table1[[#This Row],[Month_No]]&lt;=6, "H1","H2")</f>
        <v>H2</v>
      </c>
    </row>
    <row r="1041" spans="1:26" x14ac:dyDescent="0.25">
      <c r="A1041" s="2">
        <v>45923</v>
      </c>
      <c r="B1041" t="s">
        <v>1122</v>
      </c>
      <c r="C1041" t="s">
        <v>70</v>
      </c>
      <c r="D1041" t="s">
        <v>44</v>
      </c>
      <c r="E1041" t="s">
        <v>45</v>
      </c>
      <c r="F1041" t="s">
        <v>46</v>
      </c>
      <c r="G1041" t="s">
        <v>61</v>
      </c>
      <c r="H1041" t="s">
        <v>47</v>
      </c>
      <c r="I1041">
        <v>71.573087271856068</v>
      </c>
      <c r="J1041" s="3">
        <v>4582.8</v>
      </c>
      <c r="K1041" s="3">
        <f>Table1[[#This Row],[Quantity]]*Table1[[#This Row],[Unit_Price]]</f>
        <v>328005.144349462</v>
      </c>
      <c r="L1041" s="3">
        <v>12693.61</v>
      </c>
      <c r="M1041" s="3">
        <f>Table1[[#This Row],[Gross_Sales]]-Table1[[#This Row],[Discount]]</f>
        <v>315311.53434946202</v>
      </c>
      <c r="N1041" s="3">
        <v>204866.56</v>
      </c>
      <c r="O1041" s="3">
        <v>7065.33</v>
      </c>
      <c r="P1041" s="3">
        <v>16761.43</v>
      </c>
      <c r="Q1041" s="3">
        <v>7918.67</v>
      </c>
      <c r="R1041" s="3">
        <v>6878.17</v>
      </c>
      <c r="S1041" s="3">
        <f>SUM(Table1[[#This Row],[Product_Cost]:[Other_Cost]])</f>
        <v>243490.16</v>
      </c>
      <c r="T1041" s="3">
        <f>Table1[[#This Row],[Net_Sales]]-Table1[[#This Row],[Product_Cost]]</f>
        <v>110444.97434946202</v>
      </c>
      <c r="U1041" s="3">
        <f>Table1[[#This Row],[Net_Sales]]-Table1[[#This Row],[Total_Cost]]</f>
        <v>71821.374349462014</v>
      </c>
      <c r="V1041" s="4">
        <f>Table1[[#This Row],[Net_Profit]]/Table1[[#This Row],[Net_Sales]]</f>
        <v>0.2277790899645995</v>
      </c>
      <c r="W1041" t="s">
        <v>33</v>
      </c>
      <c r="X1041" t="s">
        <v>1034</v>
      </c>
      <c r="Y1041">
        <v>9</v>
      </c>
      <c r="Z1041" t="str">
        <f>IF(Table1[[#This Row],[Month_No]]&lt;=6, "H1","H2")</f>
        <v>H2</v>
      </c>
    </row>
    <row r="1042" spans="1:26" x14ac:dyDescent="0.25">
      <c r="A1042" s="2">
        <v>45923</v>
      </c>
      <c r="B1042" t="s">
        <v>1123</v>
      </c>
      <c r="C1042" t="s">
        <v>117</v>
      </c>
      <c r="D1042" t="s">
        <v>100</v>
      </c>
      <c r="E1042" t="s">
        <v>75</v>
      </c>
      <c r="F1042" t="s">
        <v>52</v>
      </c>
      <c r="G1042" t="s">
        <v>86</v>
      </c>
      <c r="H1042" t="s">
        <v>59</v>
      </c>
      <c r="I1042">
        <v>37.814587901561659</v>
      </c>
      <c r="J1042" s="3">
        <v>7045.33</v>
      </c>
      <c r="K1042" s="3">
        <f>Table1[[#This Row],[Quantity]]*Table1[[#This Row],[Unit_Price]]</f>
        <v>266416.25058050943</v>
      </c>
      <c r="L1042" s="3">
        <v>9024.91</v>
      </c>
      <c r="M1042" s="3">
        <f>Table1[[#This Row],[Gross_Sales]]-Table1[[#This Row],[Discount]]</f>
        <v>257391.34058050942</v>
      </c>
      <c r="N1042" s="3">
        <v>144292.79</v>
      </c>
      <c r="O1042" s="3">
        <v>5303.5</v>
      </c>
      <c r="P1042" s="3">
        <v>14821.99</v>
      </c>
      <c r="Q1042" s="3">
        <v>6487.79</v>
      </c>
      <c r="R1042" s="3">
        <v>5162.13</v>
      </c>
      <c r="S1042" s="3">
        <f>SUM(Table1[[#This Row],[Product_Cost]:[Other_Cost]])</f>
        <v>176068.2</v>
      </c>
      <c r="T1042" s="3">
        <f>Table1[[#This Row],[Net_Sales]]-Table1[[#This Row],[Product_Cost]]</f>
        <v>113098.55058050941</v>
      </c>
      <c r="U1042" s="3">
        <f>Table1[[#This Row],[Net_Sales]]-Table1[[#This Row],[Total_Cost]]</f>
        <v>81323.140580509411</v>
      </c>
      <c r="V1042" s="4">
        <f>Table1[[#This Row],[Net_Profit]]/Table1[[#This Row],[Net_Sales]]</f>
        <v>0.31595134629275667</v>
      </c>
      <c r="W1042" t="s">
        <v>33</v>
      </c>
      <c r="X1042" t="s">
        <v>1034</v>
      </c>
      <c r="Y1042">
        <v>9</v>
      </c>
      <c r="Z1042" t="str">
        <f>IF(Table1[[#This Row],[Month_No]]&lt;=6, "H1","H2")</f>
        <v>H2</v>
      </c>
    </row>
    <row r="1043" spans="1:26" x14ac:dyDescent="0.25">
      <c r="A1043" s="2">
        <v>45923</v>
      </c>
      <c r="B1043" t="s">
        <v>1124</v>
      </c>
      <c r="C1043" t="s">
        <v>78</v>
      </c>
      <c r="D1043" t="s">
        <v>85</v>
      </c>
      <c r="E1043" t="s">
        <v>57</v>
      </c>
      <c r="F1043" t="s">
        <v>52</v>
      </c>
      <c r="G1043" t="s">
        <v>76</v>
      </c>
      <c r="H1043" t="s">
        <v>59</v>
      </c>
      <c r="I1043">
        <v>29.56427166176401</v>
      </c>
      <c r="J1043" s="3">
        <v>1999.47</v>
      </c>
      <c r="K1043" s="3">
        <f>Table1[[#This Row],[Quantity]]*Table1[[#This Row],[Unit_Price]]</f>
        <v>59112.874259547287</v>
      </c>
      <c r="L1043" s="3">
        <v>2519.38</v>
      </c>
      <c r="M1043" s="3">
        <f>Table1[[#This Row],[Gross_Sales]]-Table1[[#This Row],[Discount]]</f>
        <v>56593.494259547289</v>
      </c>
      <c r="N1043" s="3">
        <v>35011.03</v>
      </c>
      <c r="O1043" s="3">
        <v>983.57</v>
      </c>
      <c r="P1043" s="3">
        <v>2955.51</v>
      </c>
      <c r="Q1043" s="3">
        <v>1364.48</v>
      </c>
      <c r="R1043" s="3">
        <v>942.94</v>
      </c>
      <c r="S1043" s="3">
        <f>SUM(Table1[[#This Row],[Product_Cost]:[Other_Cost]])</f>
        <v>41257.530000000006</v>
      </c>
      <c r="T1043" s="3">
        <f>Table1[[#This Row],[Net_Sales]]-Table1[[#This Row],[Product_Cost]]</f>
        <v>21582.464259547291</v>
      </c>
      <c r="U1043" s="3">
        <f>Table1[[#This Row],[Net_Sales]]-Table1[[#This Row],[Total_Cost]]</f>
        <v>15335.964259547283</v>
      </c>
      <c r="V1043" s="4">
        <f>Table1[[#This Row],[Net_Profit]]/Table1[[#This Row],[Net_Sales]]</f>
        <v>0.27098457976837353</v>
      </c>
      <c r="W1043" t="s">
        <v>72</v>
      </c>
      <c r="X1043" t="s">
        <v>1034</v>
      </c>
      <c r="Y1043">
        <v>9</v>
      </c>
      <c r="Z1043" t="str">
        <f>IF(Table1[[#This Row],[Month_No]]&lt;=6, "H1","H2")</f>
        <v>H2</v>
      </c>
    </row>
    <row r="1044" spans="1:26" x14ac:dyDescent="0.25">
      <c r="A1044" s="2">
        <v>45923</v>
      </c>
      <c r="B1044" t="s">
        <v>1125</v>
      </c>
      <c r="C1044" t="s">
        <v>36</v>
      </c>
      <c r="D1044" t="s">
        <v>100</v>
      </c>
      <c r="E1044" t="s">
        <v>75</v>
      </c>
      <c r="F1044" t="s">
        <v>39</v>
      </c>
      <c r="G1044" t="s">
        <v>86</v>
      </c>
      <c r="H1044" t="s">
        <v>41</v>
      </c>
      <c r="I1044">
        <v>45.105231262571444</v>
      </c>
      <c r="J1044" s="3">
        <v>7029.89</v>
      </c>
      <c r="K1044" s="3">
        <f>Table1[[#This Row],[Quantity]]*Table1[[#This Row],[Unit_Price]]</f>
        <v>317084.81420043838</v>
      </c>
      <c r="L1044" s="3">
        <v>16527.38</v>
      </c>
      <c r="M1044" s="3">
        <f>Table1[[#This Row],[Gross_Sales]]-Table1[[#This Row],[Discount]]</f>
        <v>300557.43420043838</v>
      </c>
      <c r="N1044" s="3">
        <v>162436.76999999999</v>
      </c>
      <c r="O1044" s="3">
        <v>8856.77</v>
      </c>
      <c r="P1044" s="3">
        <v>17210.740000000002</v>
      </c>
      <c r="Q1044" s="3">
        <v>6612.33</v>
      </c>
      <c r="R1044" s="3">
        <v>4109.2</v>
      </c>
      <c r="S1044" s="3">
        <f>SUM(Table1[[#This Row],[Product_Cost]:[Other_Cost]])</f>
        <v>199225.80999999997</v>
      </c>
      <c r="T1044" s="3">
        <f>Table1[[#This Row],[Net_Sales]]-Table1[[#This Row],[Product_Cost]]</f>
        <v>138120.66420043839</v>
      </c>
      <c r="U1044" s="3">
        <f>Table1[[#This Row],[Net_Sales]]-Table1[[#This Row],[Total_Cost]]</f>
        <v>101331.62420043841</v>
      </c>
      <c r="V1044" s="4">
        <f>Table1[[#This Row],[Net_Profit]]/Table1[[#This Row],[Net_Sales]]</f>
        <v>0.33714562566055672</v>
      </c>
      <c r="W1044" t="s">
        <v>33</v>
      </c>
      <c r="X1044" t="s">
        <v>1034</v>
      </c>
      <c r="Y1044">
        <v>9</v>
      </c>
      <c r="Z1044" t="str">
        <f>IF(Table1[[#This Row],[Month_No]]&lt;=6, "H1","H2")</f>
        <v>H2</v>
      </c>
    </row>
    <row r="1045" spans="1:26" x14ac:dyDescent="0.25">
      <c r="A1045" s="2">
        <v>45924</v>
      </c>
      <c r="B1045" t="s">
        <v>1126</v>
      </c>
      <c r="C1045" t="s">
        <v>49</v>
      </c>
      <c r="D1045" t="s">
        <v>28</v>
      </c>
      <c r="E1045" t="s">
        <v>29</v>
      </c>
      <c r="F1045" t="s">
        <v>52</v>
      </c>
      <c r="G1045" t="s">
        <v>71</v>
      </c>
      <c r="H1045" t="s">
        <v>41</v>
      </c>
      <c r="I1045">
        <v>95.25938886030697</v>
      </c>
      <c r="J1045" s="3">
        <v>1239.1099999999999</v>
      </c>
      <c r="K1045" s="3">
        <f>Table1[[#This Row],[Quantity]]*Table1[[#This Row],[Unit_Price]]</f>
        <v>118036.86133069496</v>
      </c>
      <c r="L1045" s="3">
        <v>5821.43</v>
      </c>
      <c r="M1045" s="3">
        <f>Table1[[#This Row],[Gross_Sales]]-Table1[[#This Row],[Discount]]</f>
        <v>112215.43133069496</v>
      </c>
      <c r="N1045" s="3">
        <v>57987.55</v>
      </c>
      <c r="O1045" s="3">
        <v>1966.1</v>
      </c>
      <c r="P1045" s="3">
        <v>5746.5</v>
      </c>
      <c r="Q1045" s="3">
        <v>2141.77</v>
      </c>
      <c r="R1045" s="3">
        <v>2206.41</v>
      </c>
      <c r="S1045" s="3">
        <f>SUM(Table1[[#This Row],[Product_Cost]:[Other_Cost]])</f>
        <v>70048.33</v>
      </c>
      <c r="T1045" s="3">
        <f>Table1[[#This Row],[Net_Sales]]-Table1[[#This Row],[Product_Cost]]</f>
        <v>54227.88133069496</v>
      </c>
      <c r="U1045" s="3">
        <f>Table1[[#This Row],[Net_Sales]]-Table1[[#This Row],[Total_Cost]]</f>
        <v>42167.101330694961</v>
      </c>
      <c r="V1045" s="4">
        <f>Table1[[#This Row],[Net_Profit]]/Table1[[#This Row],[Net_Sales]]</f>
        <v>0.37576918638248585</v>
      </c>
      <c r="W1045" t="s">
        <v>33</v>
      </c>
      <c r="X1045" t="s">
        <v>1034</v>
      </c>
      <c r="Y1045">
        <v>9</v>
      </c>
      <c r="Z1045" t="str">
        <f>IF(Table1[[#This Row],[Month_No]]&lt;=6, "H1","H2")</f>
        <v>H2</v>
      </c>
    </row>
    <row r="1046" spans="1:26" x14ac:dyDescent="0.25">
      <c r="A1046" s="2">
        <v>45924</v>
      </c>
      <c r="B1046" t="s">
        <v>1127</v>
      </c>
      <c r="C1046" t="s">
        <v>36</v>
      </c>
      <c r="D1046" t="s">
        <v>28</v>
      </c>
      <c r="E1046" t="s">
        <v>29</v>
      </c>
      <c r="F1046" t="s">
        <v>30</v>
      </c>
      <c r="G1046" t="s">
        <v>61</v>
      </c>
      <c r="H1046" t="s">
        <v>47</v>
      </c>
      <c r="I1046">
        <v>49.979281911542607</v>
      </c>
      <c r="J1046" s="3">
        <v>1193.3800000000001</v>
      </c>
      <c r="K1046" s="3">
        <f>Table1[[#This Row],[Quantity]]*Table1[[#This Row],[Unit_Price]]</f>
        <v>59644.275447596723</v>
      </c>
      <c r="L1046" s="3">
        <v>2428.06</v>
      </c>
      <c r="M1046" s="3">
        <f>Table1[[#This Row],[Gross_Sales]]-Table1[[#This Row],[Discount]]</f>
        <v>57216.215447596725</v>
      </c>
      <c r="N1046" s="3">
        <v>28396.28</v>
      </c>
      <c r="O1046" s="3">
        <v>1546.43</v>
      </c>
      <c r="P1046" s="3">
        <v>3366.02</v>
      </c>
      <c r="Q1046" s="3">
        <v>1813.38</v>
      </c>
      <c r="R1046" s="3">
        <v>1054.47</v>
      </c>
      <c r="S1046" s="3">
        <f>SUM(Table1[[#This Row],[Product_Cost]:[Other_Cost]])</f>
        <v>36176.579999999994</v>
      </c>
      <c r="T1046" s="3">
        <f>Table1[[#This Row],[Net_Sales]]-Table1[[#This Row],[Product_Cost]]</f>
        <v>28819.935447596727</v>
      </c>
      <c r="U1046" s="3">
        <f>Table1[[#This Row],[Net_Sales]]-Table1[[#This Row],[Total_Cost]]</f>
        <v>21039.635447596731</v>
      </c>
      <c r="V1046" s="4">
        <f>Table1[[#This Row],[Net_Profit]]/Table1[[#This Row],[Net_Sales]]</f>
        <v>0.36772155031586357</v>
      </c>
      <c r="W1046" t="s">
        <v>72</v>
      </c>
      <c r="X1046" t="s">
        <v>1034</v>
      </c>
      <c r="Y1046">
        <v>9</v>
      </c>
      <c r="Z1046" t="str">
        <f>IF(Table1[[#This Row],[Month_No]]&lt;=6, "H1","H2")</f>
        <v>H2</v>
      </c>
    </row>
    <row r="1047" spans="1:26" x14ac:dyDescent="0.25">
      <c r="A1047" s="2">
        <v>45924</v>
      </c>
      <c r="B1047" t="s">
        <v>1128</v>
      </c>
      <c r="C1047" t="s">
        <v>27</v>
      </c>
      <c r="D1047" t="s">
        <v>28</v>
      </c>
      <c r="E1047" t="s">
        <v>29</v>
      </c>
      <c r="F1047" t="s">
        <v>52</v>
      </c>
      <c r="G1047" t="s">
        <v>61</v>
      </c>
      <c r="H1047" t="s">
        <v>41</v>
      </c>
      <c r="I1047">
        <v>59.758949015720987</v>
      </c>
      <c r="J1047" s="3">
        <v>1191.3699999999999</v>
      </c>
      <c r="K1047" s="3">
        <f>Table1[[#This Row],[Quantity]]*Table1[[#This Row],[Unit_Price]]</f>
        <v>71195.01908885951</v>
      </c>
      <c r="L1047" s="3">
        <v>2948.76</v>
      </c>
      <c r="M1047" s="3">
        <f>Table1[[#This Row],[Gross_Sales]]-Table1[[#This Row],[Discount]]</f>
        <v>68246.259088859515</v>
      </c>
      <c r="N1047" s="3">
        <v>36931.300000000003</v>
      </c>
      <c r="O1047" s="3">
        <v>1220.3800000000001</v>
      </c>
      <c r="P1047" s="3">
        <v>3783.69</v>
      </c>
      <c r="Q1047" s="3">
        <v>2106.2800000000002</v>
      </c>
      <c r="R1047" s="3">
        <v>1363.46</v>
      </c>
      <c r="S1047" s="3">
        <f>SUM(Table1[[#This Row],[Product_Cost]:[Other_Cost]])</f>
        <v>45405.11</v>
      </c>
      <c r="T1047" s="3">
        <f>Table1[[#This Row],[Net_Sales]]-Table1[[#This Row],[Product_Cost]]</f>
        <v>31314.959088859512</v>
      </c>
      <c r="U1047" s="3">
        <f>Table1[[#This Row],[Net_Sales]]-Table1[[#This Row],[Total_Cost]]</f>
        <v>22841.149088859514</v>
      </c>
      <c r="V1047" s="4">
        <f>Table1[[#This Row],[Net_Profit]]/Table1[[#This Row],[Net_Sales]]</f>
        <v>0.33468719595486357</v>
      </c>
      <c r="W1047" t="s">
        <v>72</v>
      </c>
      <c r="X1047" t="s">
        <v>1034</v>
      </c>
      <c r="Y1047">
        <v>9</v>
      </c>
      <c r="Z1047" t="str">
        <f>IF(Table1[[#This Row],[Month_No]]&lt;=6, "H1","H2")</f>
        <v>H2</v>
      </c>
    </row>
    <row r="1048" spans="1:26" x14ac:dyDescent="0.25">
      <c r="A1048" s="2">
        <v>45925</v>
      </c>
      <c r="B1048" t="s">
        <v>1129</v>
      </c>
      <c r="C1048" t="s">
        <v>49</v>
      </c>
      <c r="D1048" t="s">
        <v>68</v>
      </c>
      <c r="E1048" t="s">
        <v>29</v>
      </c>
      <c r="F1048" t="s">
        <v>39</v>
      </c>
      <c r="G1048" t="s">
        <v>58</v>
      </c>
      <c r="H1048" t="s">
        <v>32</v>
      </c>
      <c r="I1048">
        <v>92.864436825631699</v>
      </c>
      <c r="J1048" s="3">
        <v>396.93</v>
      </c>
      <c r="K1048" s="3">
        <f>Table1[[#This Row],[Quantity]]*Table1[[#This Row],[Unit_Price]]</f>
        <v>36860.680909197989</v>
      </c>
      <c r="L1048" s="3">
        <v>1361.97</v>
      </c>
      <c r="M1048" s="3">
        <f>Table1[[#This Row],[Gross_Sales]]-Table1[[#This Row],[Discount]]</f>
        <v>35498.710909197987</v>
      </c>
      <c r="N1048" s="3">
        <v>23862</v>
      </c>
      <c r="O1048" s="3">
        <v>1016.81</v>
      </c>
      <c r="P1048" s="3">
        <v>1754.28</v>
      </c>
      <c r="Q1048" s="3">
        <v>1011.84</v>
      </c>
      <c r="R1048" s="3">
        <v>711.38</v>
      </c>
      <c r="S1048" s="3">
        <f>SUM(Table1[[#This Row],[Product_Cost]:[Other_Cost]])</f>
        <v>28356.31</v>
      </c>
      <c r="T1048" s="3">
        <f>Table1[[#This Row],[Net_Sales]]-Table1[[#This Row],[Product_Cost]]</f>
        <v>11636.710909197987</v>
      </c>
      <c r="U1048" s="3">
        <f>Table1[[#This Row],[Net_Sales]]-Table1[[#This Row],[Total_Cost]]</f>
        <v>7142.400909197986</v>
      </c>
      <c r="V1048" s="4">
        <f>Table1[[#This Row],[Net_Profit]]/Table1[[#This Row],[Net_Sales]]</f>
        <v>0.20120169792834183</v>
      </c>
      <c r="W1048" t="s">
        <v>33</v>
      </c>
      <c r="X1048" t="s">
        <v>1034</v>
      </c>
      <c r="Y1048">
        <v>9</v>
      </c>
      <c r="Z1048" t="str">
        <f>IF(Table1[[#This Row],[Month_No]]&lt;=6, "H1","H2")</f>
        <v>H2</v>
      </c>
    </row>
    <row r="1049" spans="1:26" x14ac:dyDescent="0.25">
      <c r="A1049" s="2">
        <v>45925</v>
      </c>
      <c r="B1049" t="s">
        <v>1130</v>
      </c>
      <c r="C1049" t="s">
        <v>43</v>
      </c>
      <c r="D1049" t="s">
        <v>50</v>
      </c>
      <c r="E1049" t="s">
        <v>51</v>
      </c>
      <c r="F1049" t="s">
        <v>30</v>
      </c>
      <c r="G1049" t="s">
        <v>61</v>
      </c>
      <c r="H1049" t="s">
        <v>32</v>
      </c>
      <c r="I1049">
        <v>58.215274654591241</v>
      </c>
      <c r="J1049" s="3">
        <v>888.3</v>
      </c>
      <c r="K1049" s="3">
        <f>Table1[[#This Row],[Quantity]]*Table1[[#This Row],[Unit_Price]]</f>
        <v>51712.628475673395</v>
      </c>
      <c r="L1049" s="3">
        <v>2457.33</v>
      </c>
      <c r="M1049" s="3">
        <f>Table1[[#This Row],[Gross_Sales]]-Table1[[#This Row],[Discount]]</f>
        <v>49255.298475673393</v>
      </c>
      <c r="N1049" s="3">
        <v>30601.119999999999</v>
      </c>
      <c r="O1049" s="3">
        <v>1333.34</v>
      </c>
      <c r="P1049" s="3">
        <v>2916.02</v>
      </c>
      <c r="Q1049" s="3">
        <v>912.39</v>
      </c>
      <c r="R1049" s="3">
        <v>890.93</v>
      </c>
      <c r="S1049" s="3">
        <f>SUM(Table1[[#This Row],[Product_Cost]:[Other_Cost]])</f>
        <v>36653.799999999996</v>
      </c>
      <c r="T1049" s="3">
        <f>Table1[[#This Row],[Net_Sales]]-Table1[[#This Row],[Product_Cost]]</f>
        <v>18654.178475673394</v>
      </c>
      <c r="U1049" s="3">
        <f>Table1[[#This Row],[Net_Sales]]-Table1[[#This Row],[Total_Cost]]</f>
        <v>12601.498475673397</v>
      </c>
      <c r="V1049" s="4">
        <f>Table1[[#This Row],[Net_Profit]]/Table1[[#This Row],[Net_Sales]]</f>
        <v>0.2558404652018732</v>
      </c>
      <c r="W1049" t="s">
        <v>33</v>
      </c>
      <c r="X1049" t="s">
        <v>1034</v>
      </c>
      <c r="Y1049">
        <v>9</v>
      </c>
      <c r="Z1049" t="str">
        <f>IF(Table1[[#This Row],[Month_No]]&lt;=6, "H1","H2")</f>
        <v>H2</v>
      </c>
    </row>
    <row r="1050" spans="1:26" x14ac:dyDescent="0.25">
      <c r="A1050" s="2">
        <v>45925</v>
      </c>
      <c r="B1050" t="s">
        <v>1131</v>
      </c>
      <c r="C1050" t="s">
        <v>36</v>
      </c>
      <c r="D1050" t="s">
        <v>50</v>
      </c>
      <c r="E1050" t="s">
        <v>51</v>
      </c>
      <c r="F1050" t="s">
        <v>52</v>
      </c>
      <c r="G1050" t="s">
        <v>76</v>
      </c>
      <c r="H1050" t="s">
        <v>47</v>
      </c>
      <c r="I1050">
        <v>70.334945756630631</v>
      </c>
      <c r="J1050" s="3">
        <v>932.37</v>
      </c>
      <c r="K1050" s="3">
        <f>Table1[[#This Row],[Quantity]]*Table1[[#This Row],[Unit_Price]]</f>
        <v>65578.193375109695</v>
      </c>
      <c r="L1050" s="3">
        <v>2045.27</v>
      </c>
      <c r="M1050" s="3">
        <f>Table1[[#This Row],[Gross_Sales]]-Table1[[#This Row],[Discount]]</f>
        <v>63532.923375109698</v>
      </c>
      <c r="N1050" s="3">
        <v>38159.949999999997</v>
      </c>
      <c r="O1050" s="3">
        <v>1044.92</v>
      </c>
      <c r="P1050" s="3">
        <v>3680.59</v>
      </c>
      <c r="Q1050" s="3">
        <v>1466.62</v>
      </c>
      <c r="R1050" s="3">
        <v>882.33</v>
      </c>
      <c r="S1050" s="3">
        <f>SUM(Table1[[#This Row],[Product_Cost]:[Other_Cost]])</f>
        <v>45234.409999999996</v>
      </c>
      <c r="T1050" s="3">
        <f>Table1[[#This Row],[Net_Sales]]-Table1[[#This Row],[Product_Cost]]</f>
        <v>25372.973375109701</v>
      </c>
      <c r="U1050" s="3">
        <f>Table1[[#This Row],[Net_Sales]]-Table1[[#This Row],[Total_Cost]]</f>
        <v>18298.513375109702</v>
      </c>
      <c r="V1050" s="4">
        <f>Table1[[#This Row],[Net_Profit]]/Table1[[#This Row],[Net_Sales]]</f>
        <v>0.28801623478069815</v>
      </c>
      <c r="W1050" t="s">
        <v>72</v>
      </c>
      <c r="X1050" t="s">
        <v>1034</v>
      </c>
      <c r="Y1050">
        <v>9</v>
      </c>
      <c r="Z1050" t="str">
        <f>IF(Table1[[#This Row],[Month_No]]&lt;=6, "H1","H2")</f>
        <v>H2</v>
      </c>
    </row>
    <row r="1051" spans="1:26" x14ac:dyDescent="0.25">
      <c r="A1051" s="2">
        <v>45925</v>
      </c>
      <c r="B1051" t="s">
        <v>1132</v>
      </c>
      <c r="C1051" t="s">
        <v>55</v>
      </c>
      <c r="D1051" t="s">
        <v>50</v>
      </c>
      <c r="E1051" t="s">
        <v>51</v>
      </c>
      <c r="F1051" t="s">
        <v>52</v>
      </c>
      <c r="G1051" t="s">
        <v>86</v>
      </c>
      <c r="H1051" t="s">
        <v>47</v>
      </c>
      <c r="I1051">
        <v>75.341801115967669</v>
      </c>
      <c r="J1051" s="3">
        <v>897.91</v>
      </c>
      <c r="K1051" s="3">
        <f>Table1[[#This Row],[Quantity]]*Table1[[#This Row],[Unit_Price]]</f>
        <v>67650.156640038535</v>
      </c>
      <c r="L1051" s="3">
        <v>3230.84</v>
      </c>
      <c r="M1051" s="3">
        <f>Table1[[#This Row],[Gross_Sales]]-Table1[[#This Row],[Discount]]</f>
        <v>64419.316640038538</v>
      </c>
      <c r="N1051" s="3">
        <v>38861.589999999997</v>
      </c>
      <c r="O1051" s="3">
        <v>1104.1300000000001</v>
      </c>
      <c r="P1051" s="3">
        <v>3663.99</v>
      </c>
      <c r="Q1051" s="3">
        <v>1455.66</v>
      </c>
      <c r="R1051" s="3">
        <v>882.55</v>
      </c>
      <c r="S1051" s="3">
        <f>SUM(Table1[[#This Row],[Product_Cost]:[Other_Cost]])</f>
        <v>45967.92</v>
      </c>
      <c r="T1051" s="3">
        <f>Table1[[#This Row],[Net_Sales]]-Table1[[#This Row],[Product_Cost]]</f>
        <v>25557.726640038542</v>
      </c>
      <c r="U1051" s="3">
        <f>Table1[[#This Row],[Net_Sales]]-Table1[[#This Row],[Total_Cost]]</f>
        <v>18451.39664003854</v>
      </c>
      <c r="V1051" s="4">
        <f>Table1[[#This Row],[Net_Profit]]/Table1[[#This Row],[Net_Sales]]</f>
        <v>0.28642645719359344</v>
      </c>
      <c r="W1051" t="s">
        <v>33</v>
      </c>
      <c r="X1051" t="s">
        <v>1034</v>
      </c>
      <c r="Y1051">
        <v>9</v>
      </c>
      <c r="Z1051" t="str">
        <f>IF(Table1[[#This Row],[Month_No]]&lt;=6, "H1","H2")</f>
        <v>H2</v>
      </c>
    </row>
    <row r="1052" spans="1:26" x14ac:dyDescent="0.25">
      <c r="A1052" s="2">
        <v>45925</v>
      </c>
      <c r="B1052" t="s">
        <v>1133</v>
      </c>
      <c r="C1052" t="s">
        <v>117</v>
      </c>
      <c r="D1052" t="s">
        <v>85</v>
      </c>
      <c r="E1052" t="s">
        <v>57</v>
      </c>
      <c r="F1052" t="s">
        <v>52</v>
      </c>
      <c r="G1052" t="s">
        <v>58</v>
      </c>
      <c r="H1052" t="s">
        <v>47</v>
      </c>
      <c r="I1052">
        <v>61.753306552299598</v>
      </c>
      <c r="J1052" s="3">
        <v>2071.5700000000002</v>
      </c>
      <c r="K1052" s="3">
        <f>Table1[[#This Row],[Quantity]]*Table1[[#This Row],[Unit_Price]]</f>
        <v>127926.29725454729</v>
      </c>
      <c r="L1052" s="3">
        <v>4064.31</v>
      </c>
      <c r="M1052" s="3">
        <f>Table1[[#This Row],[Gross_Sales]]-Table1[[#This Row],[Discount]]</f>
        <v>123861.98725454729</v>
      </c>
      <c r="N1052" s="3">
        <v>76314.09</v>
      </c>
      <c r="O1052" s="3">
        <v>2356.65</v>
      </c>
      <c r="P1052" s="3">
        <v>6715.44</v>
      </c>
      <c r="Q1052" s="3">
        <v>2711.42</v>
      </c>
      <c r="R1052" s="3">
        <v>1612.42</v>
      </c>
      <c r="S1052" s="3">
        <f>SUM(Table1[[#This Row],[Product_Cost]:[Other_Cost]])</f>
        <v>89710.01999999999</v>
      </c>
      <c r="T1052" s="3">
        <f>Table1[[#This Row],[Net_Sales]]-Table1[[#This Row],[Product_Cost]]</f>
        <v>47547.897254547293</v>
      </c>
      <c r="U1052" s="3">
        <f>Table1[[#This Row],[Net_Sales]]-Table1[[#This Row],[Total_Cost]]</f>
        <v>34151.9672545473</v>
      </c>
      <c r="V1052" s="4">
        <f>Table1[[#This Row],[Net_Profit]]/Table1[[#This Row],[Net_Sales]]</f>
        <v>0.27572597543071869</v>
      </c>
      <c r="W1052" t="s">
        <v>33</v>
      </c>
      <c r="X1052" t="s">
        <v>1034</v>
      </c>
      <c r="Y1052">
        <v>9</v>
      </c>
      <c r="Z1052" t="str">
        <f>IF(Table1[[#This Row],[Month_No]]&lt;=6, "H1","H2")</f>
        <v>H2</v>
      </c>
    </row>
    <row r="1053" spans="1:26" x14ac:dyDescent="0.25">
      <c r="A1053" s="2">
        <v>45925</v>
      </c>
      <c r="B1053" t="s">
        <v>1134</v>
      </c>
      <c r="C1053" t="s">
        <v>55</v>
      </c>
      <c r="D1053" t="s">
        <v>68</v>
      </c>
      <c r="E1053" t="s">
        <v>29</v>
      </c>
      <c r="F1053" t="s">
        <v>30</v>
      </c>
      <c r="G1053" t="s">
        <v>31</v>
      </c>
      <c r="H1053" t="s">
        <v>41</v>
      </c>
      <c r="I1053">
        <v>86.660409367014708</v>
      </c>
      <c r="J1053" s="3">
        <v>378.35</v>
      </c>
      <c r="K1053" s="3">
        <f>Table1[[#This Row],[Quantity]]*Table1[[#This Row],[Unit_Price]]</f>
        <v>32787.965884010016</v>
      </c>
      <c r="L1053" s="3">
        <v>1092.23</v>
      </c>
      <c r="M1053" s="3">
        <f>Table1[[#This Row],[Gross_Sales]]-Table1[[#This Row],[Discount]]</f>
        <v>31695.735884010017</v>
      </c>
      <c r="N1053" s="3">
        <v>23110.63</v>
      </c>
      <c r="O1053" s="3">
        <v>846.33</v>
      </c>
      <c r="P1053" s="3">
        <v>1957.32</v>
      </c>
      <c r="Q1053" s="3">
        <v>981.44</v>
      </c>
      <c r="R1053" s="3">
        <v>434.34</v>
      </c>
      <c r="S1053" s="3">
        <f>SUM(Table1[[#This Row],[Product_Cost]:[Other_Cost]])</f>
        <v>27330.06</v>
      </c>
      <c r="T1053" s="3">
        <f>Table1[[#This Row],[Net_Sales]]-Table1[[#This Row],[Product_Cost]]</f>
        <v>8585.1058840100159</v>
      </c>
      <c r="U1053" s="3">
        <f>Table1[[#This Row],[Net_Sales]]-Table1[[#This Row],[Total_Cost]]</f>
        <v>4365.6758840100156</v>
      </c>
      <c r="V1053" s="4">
        <f>Table1[[#This Row],[Net_Profit]]/Table1[[#This Row],[Net_Sales]]</f>
        <v>0.13773700979797815</v>
      </c>
      <c r="W1053" t="s">
        <v>33</v>
      </c>
      <c r="X1053" t="s">
        <v>1034</v>
      </c>
      <c r="Y1053">
        <v>9</v>
      </c>
      <c r="Z1053" t="str">
        <f>IF(Table1[[#This Row],[Month_No]]&lt;=6, "H1","H2")</f>
        <v>H2</v>
      </c>
    </row>
    <row r="1054" spans="1:26" x14ac:dyDescent="0.25">
      <c r="A1054" s="2">
        <v>45926</v>
      </c>
      <c r="B1054" t="s">
        <v>1135</v>
      </c>
      <c r="C1054" t="s">
        <v>63</v>
      </c>
      <c r="D1054" t="s">
        <v>74</v>
      </c>
      <c r="E1054" t="s">
        <v>75</v>
      </c>
      <c r="F1054" t="s">
        <v>52</v>
      </c>
      <c r="G1054" t="s">
        <v>86</v>
      </c>
      <c r="H1054" t="s">
        <v>47</v>
      </c>
      <c r="I1054">
        <v>53.878261649661461</v>
      </c>
      <c r="J1054" s="3">
        <v>5835.52</v>
      </c>
      <c r="K1054" s="3">
        <f>Table1[[#This Row],[Quantity]]*Table1[[#This Row],[Unit_Price]]</f>
        <v>314407.6734218325</v>
      </c>
      <c r="L1054" s="3">
        <v>14608.41</v>
      </c>
      <c r="M1054" s="3">
        <f>Table1[[#This Row],[Gross_Sales]]-Table1[[#This Row],[Discount]]</f>
        <v>299799.26342183253</v>
      </c>
      <c r="N1054" s="3">
        <v>205067.39</v>
      </c>
      <c r="O1054" s="3">
        <v>5383.12</v>
      </c>
      <c r="P1054" s="3">
        <v>17554.93</v>
      </c>
      <c r="Q1054" s="3">
        <v>7390.24</v>
      </c>
      <c r="R1054" s="3">
        <v>5426.66</v>
      </c>
      <c r="S1054" s="3">
        <f>SUM(Table1[[#This Row],[Product_Cost]:[Other_Cost]])</f>
        <v>240822.34</v>
      </c>
      <c r="T1054" s="3">
        <f>Table1[[#This Row],[Net_Sales]]-Table1[[#This Row],[Product_Cost]]</f>
        <v>94731.873421832512</v>
      </c>
      <c r="U1054" s="3">
        <f>Table1[[#This Row],[Net_Sales]]-Table1[[#This Row],[Total_Cost]]</f>
        <v>58976.923421832529</v>
      </c>
      <c r="V1054" s="4">
        <f>Table1[[#This Row],[Net_Profit]]/Table1[[#This Row],[Net_Sales]]</f>
        <v>0.19672137532522571</v>
      </c>
      <c r="W1054" t="s">
        <v>72</v>
      </c>
      <c r="X1054" t="s">
        <v>1034</v>
      </c>
      <c r="Y1054">
        <v>9</v>
      </c>
      <c r="Z1054" t="str">
        <f>IF(Table1[[#This Row],[Month_No]]&lt;=6, "H1","H2")</f>
        <v>H2</v>
      </c>
    </row>
    <row r="1055" spans="1:26" x14ac:dyDescent="0.25">
      <c r="A1055" s="2">
        <v>45926</v>
      </c>
      <c r="B1055" t="s">
        <v>1136</v>
      </c>
      <c r="C1055" t="s">
        <v>107</v>
      </c>
      <c r="D1055" t="s">
        <v>50</v>
      </c>
      <c r="E1055" t="s">
        <v>51</v>
      </c>
      <c r="F1055" t="s">
        <v>52</v>
      </c>
      <c r="G1055" t="s">
        <v>76</v>
      </c>
      <c r="H1055" t="s">
        <v>41</v>
      </c>
      <c r="I1055">
        <v>83.535185314370437</v>
      </c>
      <c r="J1055" s="3">
        <v>911.95</v>
      </c>
      <c r="K1055" s="3">
        <f>Table1[[#This Row],[Quantity]]*Table1[[#This Row],[Unit_Price]]</f>
        <v>76179.912247440123</v>
      </c>
      <c r="L1055" s="3">
        <v>3908.9</v>
      </c>
      <c r="M1055" s="3">
        <f>Table1[[#This Row],[Gross_Sales]]-Table1[[#This Row],[Discount]]</f>
        <v>72271.012247440129</v>
      </c>
      <c r="N1055" s="3">
        <v>42433.14</v>
      </c>
      <c r="O1055" s="3">
        <v>1203.93</v>
      </c>
      <c r="P1055" s="3">
        <v>4023.9</v>
      </c>
      <c r="Q1055" s="3">
        <v>2263.6</v>
      </c>
      <c r="R1055" s="3">
        <v>1380.2</v>
      </c>
      <c r="S1055" s="3">
        <f>SUM(Table1[[#This Row],[Product_Cost]:[Other_Cost]])</f>
        <v>51304.77</v>
      </c>
      <c r="T1055" s="3">
        <f>Table1[[#This Row],[Net_Sales]]-Table1[[#This Row],[Product_Cost]]</f>
        <v>29837.872247440129</v>
      </c>
      <c r="U1055" s="3">
        <f>Table1[[#This Row],[Net_Sales]]-Table1[[#This Row],[Total_Cost]]</f>
        <v>20966.242247440132</v>
      </c>
      <c r="V1055" s="4">
        <f>Table1[[#This Row],[Net_Profit]]/Table1[[#This Row],[Net_Sales]]</f>
        <v>0.29010583352086322</v>
      </c>
      <c r="W1055" t="s">
        <v>33</v>
      </c>
      <c r="X1055" t="s">
        <v>1034</v>
      </c>
      <c r="Y1055">
        <v>9</v>
      </c>
      <c r="Z1055" t="str">
        <f>IF(Table1[[#This Row],[Month_No]]&lt;=6, "H1","H2")</f>
        <v>H2</v>
      </c>
    </row>
    <row r="1056" spans="1:26" x14ac:dyDescent="0.25">
      <c r="A1056" s="2">
        <v>45926</v>
      </c>
      <c r="B1056" t="s">
        <v>1137</v>
      </c>
      <c r="C1056" t="s">
        <v>36</v>
      </c>
      <c r="D1056" t="s">
        <v>56</v>
      </c>
      <c r="E1056" t="s">
        <v>57</v>
      </c>
      <c r="F1056" t="s">
        <v>46</v>
      </c>
      <c r="G1056" t="s">
        <v>58</v>
      </c>
      <c r="H1056" t="s">
        <v>41</v>
      </c>
      <c r="I1056">
        <v>60.221707106867882</v>
      </c>
      <c r="J1056" s="3">
        <v>3385.48</v>
      </c>
      <c r="K1056" s="3">
        <f>Table1[[#This Row],[Quantity]]*Table1[[#This Row],[Unit_Price]]</f>
        <v>203879.38497615908</v>
      </c>
      <c r="L1056" s="3">
        <v>10442.450000000001</v>
      </c>
      <c r="M1056" s="3">
        <f>Table1[[#This Row],[Gross_Sales]]-Table1[[#This Row],[Discount]]</f>
        <v>193436.93497615907</v>
      </c>
      <c r="N1056" s="3">
        <v>101776.61</v>
      </c>
      <c r="O1056" s="3">
        <v>3953.91</v>
      </c>
      <c r="P1056" s="3">
        <v>10533.21</v>
      </c>
      <c r="Q1056" s="3">
        <v>4528.01</v>
      </c>
      <c r="R1056" s="3">
        <v>3736.25</v>
      </c>
      <c r="S1056" s="3">
        <f>SUM(Table1[[#This Row],[Product_Cost]:[Other_Cost]])</f>
        <v>124527.99</v>
      </c>
      <c r="T1056" s="3">
        <f>Table1[[#This Row],[Net_Sales]]-Table1[[#This Row],[Product_Cost]]</f>
        <v>91660.324976159071</v>
      </c>
      <c r="U1056" s="3">
        <f>Table1[[#This Row],[Net_Sales]]-Table1[[#This Row],[Total_Cost]]</f>
        <v>68908.944976159066</v>
      </c>
      <c r="V1056" s="4">
        <f>Table1[[#This Row],[Net_Profit]]/Table1[[#This Row],[Net_Sales]]</f>
        <v>0.35623468178221512</v>
      </c>
      <c r="W1056" t="s">
        <v>72</v>
      </c>
      <c r="X1056" t="s">
        <v>1034</v>
      </c>
      <c r="Y1056">
        <v>9</v>
      </c>
      <c r="Z1056" t="str">
        <f>IF(Table1[[#This Row],[Month_No]]&lt;=6, "H1","H2")</f>
        <v>H2</v>
      </c>
    </row>
    <row r="1057" spans="1:26" x14ac:dyDescent="0.25">
      <c r="A1057" s="2">
        <v>45927</v>
      </c>
      <c r="B1057" t="s">
        <v>1138</v>
      </c>
      <c r="C1057" t="s">
        <v>70</v>
      </c>
      <c r="D1057" t="s">
        <v>66</v>
      </c>
      <c r="E1057" t="s">
        <v>51</v>
      </c>
      <c r="F1057" t="s">
        <v>30</v>
      </c>
      <c r="G1057" t="s">
        <v>64</v>
      </c>
      <c r="H1057" t="s">
        <v>32</v>
      </c>
      <c r="I1057">
        <v>8.8077723957053031</v>
      </c>
      <c r="J1057" s="3">
        <v>1550.18</v>
      </c>
      <c r="K1057" s="3">
        <f>Table1[[#This Row],[Quantity]]*Table1[[#This Row],[Unit_Price]]</f>
        <v>13653.632612374447</v>
      </c>
      <c r="L1057" s="3">
        <v>699.14</v>
      </c>
      <c r="M1057" s="3">
        <f>Table1[[#This Row],[Gross_Sales]]-Table1[[#This Row],[Discount]]</f>
        <v>12954.492612374448</v>
      </c>
      <c r="N1057" s="3">
        <v>6434.5</v>
      </c>
      <c r="O1057" s="3">
        <v>281.99</v>
      </c>
      <c r="P1057" s="3">
        <v>629.79</v>
      </c>
      <c r="Q1057" s="3">
        <v>325.49</v>
      </c>
      <c r="R1057" s="3">
        <v>235.79</v>
      </c>
      <c r="S1057" s="3">
        <f>SUM(Table1[[#This Row],[Product_Cost]:[Other_Cost]])</f>
        <v>7907.5599999999995</v>
      </c>
      <c r="T1057" s="3">
        <f>Table1[[#This Row],[Net_Sales]]-Table1[[#This Row],[Product_Cost]]</f>
        <v>6519.9926123744481</v>
      </c>
      <c r="U1057" s="3">
        <f>Table1[[#This Row],[Net_Sales]]-Table1[[#This Row],[Total_Cost]]</f>
        <v>5046.9326123744486</v>
      </c>
      <c r="V1057" s="4">
        <f>Table1[[#This Row],[Net_Profit]]/Table1[[#This Row],[Net_Sales]]</f>
        <v>0.38958936975682823</v>
      </c>
      <c r="W1057" t="s">
        <v>33</v>
      </c>
      <c r="X1057" t="s">
        <v>1034</v>
      </c>
      <c r="Y1057">
        <v>9</v>
      </c>
      <c r="Z1057" t="str">
        <f>IF(Table1[[#This Row],[Month_No]]&lt;=6, "H1","H2")</f>
        <v>H2</v>
      </c>
    </row>
    <row r="1058" spans="1:26" x14ac:dyDescent="0.25">
      <c r="A1058" s="2">
        <v>45927</v>
      </c>
      <c r="B1058" t="s">
        <v>1139</v>
      </c>
      <c r="C1058" t="s">
        <v>83</v>
      </c>
      <c r="D1058" t="s">
        <v>50</v>
      </c>
      <c r="E1058" t="s">
        <v>51</v>
      </c>
      <c r="F1058" t="s">
        <v>52</v>
      </c>
      <c r="G1058" t="s">
        <v>86</v>
      </c>
      <c r="H1058" t="s">
        <v>59</v>
      </c>
      <c r="I1058">
        <v>55.815568603497383</v>
      </c>
      <c r="J1058" s="3">
        <v>929.51</v>
      </c>
      <c r="K1058" s="3">
        <f>Table1[[#This Row],[Quantity]]*Table1[[#This Row],[Unit_Price]]</f>
        <v>51881.129172636851</v>
      </c>
      <c r="L1058" s="3">
        <v>2249.89</v>
      </c>
      <c r="M1058" s="3">
        <f>Table1[[#This Row],[Gross_Sales]]-Table1[[#This Row],[Discount]]</f>
        <v>49631.239172636851</v>
      </c>
      <c r="N1058" s="3">
        <v>30803.51</v>
      </c>
      <c r="O1058" s="3">
        <v>814.4</v>
      </c>
      <c r="P1058" s="3">
        <v>2992.74</v>
      </c>
      <c r="Q1058" s="3">
        <v>1526.5</v>
      </c>
      <c r="R1058" s="3">
        <v>822.35</v>
      </c>
      <c r="S1058" s="3">
        <f>SUM(Table1[[#This Row],[Product_Cost]:[Other_Cost]])</f>
        <v>36959.5</v>
      </c>
      <c r="T1058" s="3">
        <f>Table1[[#This Row],[Net_Sales]]-Table1[[#This Row],[Product_Cost]]</f>
        <v>18827.729172636853</v>
      </c>
      <c r="U1058" s="3">
        <f>Table1[[#This Row],[Net_Sales]]-Table1[[#This Row],[Total_Cost]]</f>
        <v>12671.739172636851</v>
      </c>
      <c r="V1058" s="4">
        <f>Table1[[#This Row],[Net_Profit]]/Table1[[#This Row],[Net_Sales]]</f>
        <v>0.2553178075719526</v>
      </c>
      <c r="W1058" t="s">
        <v>33</v>
      </c>
      <c r="X1058" t="s">
        <v>1034</v>
      </c>
      <c r="Y1058">
        <v>9</v>
      </c>
      <c r="Z1058" t="str">
        <f>IF(Table1[[#This Row],[Month_No]]&lt;=6, "H1","H2")</f>
        <v>H2</v>
      </c>
    </row>
    <row r="1059" spans="1:26" x14ac:dyDescent="0.25">
      <c r="A1059" s="2">
        <v>45928</v>
      </c>
      <c r="B1059" t="s">
        <v>1140</v>
      </c>
      <c r="C1059" t="s">
        <v>27</v>
      </c>
      <c r="D1059" t="s">
        <v>66</v>
      </c>
      <c r="E1059" t="s">
        <v>51</v>
      </c>
      <c r="F1059" t="s">
        <v>52</v>
      </c>
      <c r="G1059" t="s">
        <v>71</v>
      </c>
      <c r="H1059" t="s">
        <v>32</v>
      </c>
      <c r="I1059">
        <v>67.924038548330657</v>
      </c>
      <c r="J1059" s="3">
        <v>1600.98</v>
      </c>
      <c r="K1059" s="3">
        <f>Table1[[#This Row],[Quantity]]*Table1[[#This Row],[Unit_Price]]</f>
        <v>108745.02723510642</v>
      </c>
      <c r="L1059" s="3">
        <v>6244.74</v>
      </c>
      <c r="M1059" s="3">
        <f>Table1[[#This Row],[Gross_Sales]]-Table1[[#This Row],[Discount]]</f>
        <v>102500.28723510641</v>
      </c>
      <c r="N1059" s="3">
        <v>49192.53</v>
      </c>
      <c r="O1059" s="3">
        <v>1921.98</v>
      </c>
      <c r="P1059" s="3">
        <v>6080.17</v>
      </c>
      <c r="Q1059" s="3">
        <v>2344.6</v>
      </c>
      <c r="R1059" s="3">
        <v>1888.27</v>
      </c>
      <c r="S1059" s="3">
        <f>SUM(Table1[[#This Row],[Product_Cost]:[Other_Cost]])</f>
        <v>61427.549999999996</v>
      </c>
      <c r="T1059" s="3">
        <f>Table1[[#This Row],[Net_Sales]]-Table1[[#This Row],[Product_Cost]]</f>
        <v>53307.757235106415</v>
      </c>
      <c r="U1059" s="3">
        <f>Table1[[#This Row],[Net_Sales]]-Table1[[#This Row],[Total_Cost]]</f>
        <v>41072.737235106419</v>
      </c>
      <c r="V1059" s="4">
        <f>Table1[[#This Row],[Net_Profit]]/Table1[[#This Row],[Net_Sales]]</f>
        <v>0.40070850865907603</v>
      </c>
      <c r="W1059" t="s">
        <v>33</v>
      </c>
      <c r="X1059" t="s">
        <v>1034</v>
      </c>
      <c r="Y1059">
        <v>9</v>
      </c>
      <c r="Z1059" t="str">
        <f>IF(Table1[[#This Row],[Month_No]]&lt;=6, "H1","H2")</f>
        <v>H2</v>
      </c>
    </row>
    <row r="1060" spans="1:26" x14ac:dyDescent="0.25">
      <c r="A1060" s="2">
        <v>45928</v>
      </c>
      <c r="B1060" t="s">
        <v>1141</v>
      </c>
      <c r="C1060" t="s">
        <v>98</v>
      </c>
      <c r="D1060" t="s">
        <v>85</v>
      </c>
      <c r="E1060" t="s">
        <v>57</v>
      </c>
      <c r="F1060" t="s">
        <v>30</v>
      </c>
      <c r="G1060" t="s">
        <v>40</v>
      </c>
      <c r="H1060" t="s">
        <v>59</v>
      </c>
      <c r="I1060">
        <v>37.050431892992748</v>
      </c>
      <c r="J1060" s="3">
        <v>1987.06</v>
      </c>
      <c r="K1060" s="3">
        <f>Table1[[#This Row],[Quantity]]*Table1[[#This Row],[Unit_Price]]</f>
        <v>73621.431197290163</v>
      </c>
      <c r="L1060" s="3">
        <v>1665.8</v>
      </c>
      <c r="M1060" s="3">
        <f>Table1[[#This Row],[Gross_Sales]]-Table1[[#This Row],[Discount]]</f>
        <v>71955.63119729016</v>
      </c>
      <c r="N1060" s="3">
        <v>45151.34</v>
      </c>
      <c r="O1060" s="3">
        <v>1715.03</v>
      </c>
      <c r="P1060" s="3">
        <v>3514.61</v>
      </c>
      <c r="Q1060" s="3">
        <v>1576.82</v>
      </c>
      <c r="R1060" s="3">
        <v>887.14</v>
      </c>
      <c r="S1060" s="3">
        <f>SUM(Table1[[#This Row],[Product_Cost]:[Other_Cost]])</f>
        <v>52844.939999999995</v>
      </c>
      <c r="T1060" s="3">
        <f>Table1[[#This Row],[Net_Sales]]-Table1[[#This Row],[Product_Cost]]</f>
        <v>26804.291197290164</v>
      </c>
      <c r="U1060" s="3">
        <f>Table1[[#This Row],[Net_Sales]]-Table1[[#This Row],[Total_Cost]]</f>
        <v>19110.691197290165</v>
      </c>
      <c r="V1060" s="4">
        <f>Table1[[#This Row],[Net_Profit]]/Table1[[#This Row],[Net_Sales]]</f>
        <v>0.26558993200812714</v>
      </c>
      <c r="W1060" t="s">
        <v>33</v>
      </c>
      <c r="X1060" t="s">
        <v>1034</v>
      </c>
      <c r="Y1060">
        <v>9</v>
      </c>
      <c r="Z1060" t="str">
        <f>IF(Table1[[#This Row],[Month_No]]&lt;=6, "H1","H2")</f>
        <v>H2</v>
      </c>
    </row>
    <row r="1061" spans="1:26" x14ac:dyDescent="0.25">
      <c r="A1061" s="2">
        <v>45928</v>
      </c>
      <c r="B1061" t="s">
        <v>1142</v>
      </c>
      <c r="C1061" t="s">
        <v>43</v>
      </c>
      <c r="D1061" t="s">
        <v>100</v>
      </c>
      <c r="E1061" t="s">
        <v>75</v>
      </c>
      <c r="F1061" t="s">
        <v>52</v>
      </c>
      <c r="G1061" t="s">
        <v>71</v>
      </c>
      <c r="H1061" t="s">
        <v>41</v>
      </c>
      <c r="I1061">
        <v>67.500072514666741</v>
      </c>
      <c r="J1061" s="3">
        <v>7445.28</v>
      </c>
      <c r="K1061" s="3">
        <f>Table1[[#This Row],[Quantity]]*Table1[[#This Row],[Unit_Price]]</f>
        <v>502556.93989199796</v>
      </c>
      <c r="L1061" s="3">
        <v>17508.38</v>
      </c>
      <c r="M1061" s="3">
        <f>Table1[[#This Row],[Gross_Sales]]-Table1[[#This Row],[Discount]]</f>
        <v>485048.55989199795</v>
      </c>
      <c r="N1061" s="3">
        <v>260740.86</v>
      </c>
      <c r="O1061" s="3">
        <v>8065.75</v>
      </c>
      <c r="P1061" s="3">
        <v>26172.04</v>
      </c>
      <c r="Q1061" s="3">
        <v>13906.65</v>
      </c>
      <c r="R1061" s="3">
        <v>7803.31</v>
      </c>
      <c r="S1061" s="3">
        <f>SUM(Table1[[#This Row],[Product_Cost]:[Other_Cost]])</f>
        <v>316688.61</v>
      </c>
      <c r="T1061" s="3">
        <f>Table1[[#This Row],[Net_Sales]]-Table1[[#This Row],[Product_Cost]]</f>
        <v>224307.69989199797</v>
      </c>
      <c r="U1061" s="3">
        <f>Table1[[#This Row],[Net_Sales]]-Table1[[#This Row],[Total_Cost]]</f>
        <v>168359.94989199797</v>
      </c>
      <c r="V1061" s="4">
        <f>Table1[[#This Row],[Net_Profit]]/Table1[[#This Row],[Net_Sales]]</f>
        <v>0.34709916452382705</v>
      </c>
      <c r="W1061" t="s">
        <v>72</v>
      </c>
      <c r="X1061" t="s">
        <v>1034</v>
      </c>
      <c r="Y1061">
        <v>9</v>
      </c>
      <c r="Z1061" t="str">
        <f>IF(Table1[[#This Row],[Month_No]]&lt;=6, "H1","H2")</f>
        <v>H2</v>
      </c>
    </row>
    <row r="1062" spans="1:26" x14ac:dyDescent="0.25">
      <c r="A1062" s="2">
        <v>45928</v>
      </c>
      <c r="B1062" t="s">
        <v>1143</v>
      </c>
      <c r="C1062" t="s">
        <v>49</v>
      </c>
      <c r="D1062" t="s">
        <v>28</v>
      </c>
      <c r="E1062" t="s">
        <v>29</v>
      </c>
      <c r="F1062" t="s">
        <v>30</v>
      </c>
      <c r="G1062" t="s">
        <v>31</v>
      </c>
      <c r="H1062" t="s">
        <v>47</v>
      </c>
      <c r="I1062">
        <v>62.077346328449202</v>
      </c>
      <c r="J1062" s="3">
        <v>1277.45</v>
      </c>
      <c r="K1062" s="3">
        <f>Table1[[#This Row],[Quantity]]*Table1[[#This Row],[Unit_Price]]</f>
        <v>79300.706067277439</v>
      </c>
      <c r="L1062" s="3">
        <v>3558.11</v>
      </c>
      <c r="M1062" s="3">
        <f>Table1[[#This Row],[Gross_Sales]]-Table1[[#This Row],[Discount]]</f>
        <v>75742.596067277438</v>
      </c>
      <c r="N1062" s="3">
        <v>42666.23</v>
      </c>
      <c r="O1062" s="3">
        <v>2148</v>
      </c>
      <c r="P1062" s="3">
        <v>4676.21</v>
      </c>
      <c r="Q1062" s="3">
        <v>1846.16</v>
      </c>
      <c r="R1062" s="3">
        <v>1247.8399999999999</v>
      </c>
      <c r="S1062" s="3">
        <f>SUM(Table1[[#This Row],[Product_Cost]:[Other_Cost]])</f>
        <v>52584.44</v>
      </c>
      <c r="T1062" s="3">
        <f>Table1[[#This Row],[Net_Sales]]-Table1[[#This Row],[Product_Cost]]</f>
        <v>33076.366067277435</v>
      </c>
      <c r="U1062" s="3">
        <f>Table1[[#This Row],[Net_Sales]]-Table1[[#This Row],[Total_Cost]]</f>
        <v>23158.156067277436</v>
      </c>
      <c r="V1062" s="4">
        <f>Table1[[#This Row],[Net_Profit]]/Table1[[#This Row],[Net_Sales]]</f>
        <v>0.30574811624765919</v>
      </c>
      <c r="W1062" t="s">
        <v>72</v>
      </c>
      <c r="X1062" t="s">
        <v>1034</v>
      </c>
      <c r="Y1062">
        <v>9</v>
      </c>
      <c r="Z1062" t="str">
        <f>IF(Table1[[#This Row],[Month_No]]&lt;=6, "H1","H2")</f>
        <v>H2</v>
      </c>
    </row>
    <row r="1063" spans="1:26" x14ac:dyDescent="0.25">
      <c r="A1063" s="2">
        <v>45929</v>
      </c>
      <c r="B1063" t="s">
        <v>1144</v>
      </c>
      <c r="C1063" t="s">
        <v>55</v>
      </c>
      <c r="D1063" t="s">
        <v>37</v>
      </c>
      <c r="E1063" t="s">
        <v>38</v>
      </c>
      <c r="F1063" t="s">
        <v>46</v>
      </c>
      <c r="G1063" t="s">
        <v>86</v>
      </c>
      <c r="H1063" t="s">
        <v>47</v>
      </c>
      <c r="I1063">
        <v>58.602837609989237</v>
      </c>
      <c r="J1063" s="3">
        <v>4881.62</v>
      </c>
      <c r="K1063" s="3">
        <f>Table1[[#This Row],[Quantity]]*Table1[[#This Row],[Unit_Price]]</f>
        <v>286076.78413367562</v>
      </c>
      <c r="L1063" s="3">
        <v>7378.55</v>
      </c>
      <c r="M1063" s="3">
        <f>Table1[[#This Row],[Gross_Sales]]-Table1[[#This Row],[Discount]]</f>
        <v>278698.23413367564</v>
      </c>
      <c r="N1063" s="3">
        <v>187949.06</v>
      </c>
      <c r="O1063" s="3">
        <v>6844.36</v>
      </c>
      <c r="P1063" s="3">
        <v>14129.26</v>
      </c>
      <c r="Q1063" s="3">
        <v>8598.5</v>
      </c>
      <c r="R1063" s="3">
        <v>4372.03</v>
      </c>
      <c r="S1063" s="3">
        <f>SUM(Table1[[#This Row],[Product_Cost]:[Other_Cost]])</f>
        <v>221893.21</v>
      </c>
      <c r="T1063" s="3">
        <f>Table1[[#This Row],[Net_Sales]]-Table1[[#This Row],[Product_Cost]]</f>
        <v>90749.174133675639</v>
      </c>
      <c r="U1063" s="3">
        <f>Table1[[#This Row],[Net_Sales]]-Table1[[#This Row],[Total_Cost]]</f>
        <v>56805.024133675644</v>
      </c>
      <c r="V1063" s="4">
        <f>Table1[[#This Row],[Net_Profit]]/Table1[[#This Row],[Net_Sales]]</f>
        <v>0.20382269127126768</v>
      </c>
      <c r="W1063" t="s">
        <v>72</v>
      </c>
      <c r="X1063" t="s">
        <v>1034</v>
      </c>
      <c r="Y1063">
        <v>9</v>
      </c>
      <c r="Z1063" t="str">
        <f>IF(Table1[[#This Row],[Month_No]]&lt;=6, "H1","H2")</f>
        <v>H2</v>
      </c>
    </row>
    <row r="1064" spans="1:26" x14ac:dyDescent="0.25">
      <c r="A1064" s="2">
        <v>45929</v>
      </c>
      <c r="B1064" t="s">
        <v>1145</v>
      </c>
      <c r="C1064" t="s">
        <v>83</v>
      </c>
      <c r="D1064" t="s">
        <v>85</v>
      </c>
      <c r="E1064" t="s">
        <v>57</v>
      </c>
      <c r="F1064" t="s">
        <v>52</v>
      </c>
      <c r="G1064" t="s">
        <v>31</v>
      </c>
      <c r="H1064" t="s">
        <v>59</v>
      </c>
      <c r="I1064">
        <v>60.478053143949687</v>
      </c>
      <c r="J1064" s="3">
        <v>2056.17</v>
      </c>
      <c r="K1064" s="3">
        <f>Table1[[#This Row],[Quantity]]*Table1[[#This Row],[Unit_Price]]</f>
        <v>124353.15853299503</v>
      </c>
      <c r="L1064" s="3">
        <v>4482.42</v>
      </c>
      <c r="M1064" s="3">
        <f>Table1[[#This Row],[Gross_Sales]]-Table1[[#This Row],[Discount]]</f>
        <v>119870.73853299503</v>
      </c>
      <c r="N1064" s="3">
        <v>73566.399999999994</v>
      </c>
      <c r="O1064" s="3">
        <v>2431.4299999999998</v>
      </c>
      <c r="P1064" s="3">
        <v>7128.15</v>
      </c>
      <c r="Q1064" s="3">
        <v>3692.63</v>
      </c>
      <c r="R1064" s="3">
        <v>2333.15</v>
      </c>
      <c r="S1064" s="3">
        <f>SUM(Table1[[#This Row],[Product_Cost]:[Other_Cost]])</f>
        <v>89151.75999999998</v>
      </c>
      <c r="T1064" s="3">
        <f>Table1[[#This Row],[Net_Sales]]-Table1[[#This Row],[Product_Cost]]</f>
        <v>46304.33853299504</v>
      </c>
      <c r="U1064" s="3">
        <f>Table1[[#This Row],[Net_Sales]]-Table1[[#This Row],[Total_Cost]]</f>
        <v>30718.978532995054</v>
      </c>
      <c r="V1064" s="4">
        <f>Table1[[#This Row],[Net_Profit]]/Table1[[#This Row],[Net_Sales]]</f>
        <v>0.25626753375294753</v>
      </c>
      <c r="W1064" t="s">
        <v>33</v>
      </c>
      <c r="X1064" t="s">
        <v>1034</v>
      </c>
      <c r="Y1064">
        <v>9</v>
      </c>
      <c r="Z1064" t="str">
        <f>IF(Table1[[#This Row],[Month_No]]&lt;=6, "H1","H2")</f>
        <v>H2</v>
      </c>
    </row>
    <row r="1065" spans="1:26" x14ac:dyDescent="0.25">
      <c r="A1065" s="2">
        <v>45929</v>
      </c>
      <c r="B1065" t="s">
        <v>1146</v>
      </c>
      <c r="C1065" t="s">
        <v>117</v>
      </c>
      <c r="D1065" t="s">
        <v>85</v>
      </c>
      <c r="E1065" t="s">
        <v>57</v>
      </c>
      <c r="F1065" t="s">
        <v>46</v>
      </c>
      <c r="G1065" t="s">
        <v>86</v>
      </c>
      <c r="H1065" t="s">
        <v>41</v>
      </c>
      <c r="I1065">
        <v>44.2578991254084</v>
      </c>
      <c r="J1065" s="3">
        <v>2093.8200000000002</v>
      </c>
      <c r="K1065" s="3">
        <f>Table1[[#This Row],[Quantity]]*Table1[[#This Row],[Unit_Price]]</f>
        <v>92668.074346762631</v>
      </c>
      <c r="L1065" s="3">
        <v>3846.48</v>
      </c>
      <c r="M1065" s="3">
        <f>Table1[[#This Row],[Gross_Sales]]-Table1[[#This Row],[Discount]]</f>
        <v>88821.594346762635</v>
      </c>
      <c r="N1065" s="3">
        <v>54105.760000000002</v>
      </c>
      <c r="O1065" s="3">
        <v>1901.48</v>
      </c>
      <c r="P1065" s="3">
        <v>4945.3</v>
      </c>
      <c r="Q1065" s="3">
        <v>2769.72</v>
      </c>
      <c r="R1065" s="3">
        <v>1521.93</v>
      </c>
      <c r="S1065" s="3">
        <f>SUM(Table1[[#This Row],[Product_Cost]:[Other_Cost]])</f>
        <v>65244.19000000001</v>
      </c>
      <c r="T1065" s="3">
        <f>Table1[[#This Row],[Net_Sales]]-Table1[[#This Row],[Product_Cost]]</f>
        <v>34715.834346762633</v>
      </c>
      <c r="U1065" s="3">
        <f>Table1[[#This Row],[Net_Sales]]-Table1[[#This Row],[Total_Cost]]</f>
        <v>23577.404346762625</v>
      </c>
      <c r="V1065" s="4">
        <f>Table1[[#This Row],[Net_Profit]]/Table1[[#This Row],[Net_Sales]]</f>
        <v>0.2654467589797545</v>
      </c>
      <c r="W1065" t="s">
        <v>33</v>
      </c>
      <c r="X1065" t="s">
        <v>1034</v>
      </c>
      <c r="Y1065">
        <v>9</v>
      </c>
      <c r="Z1065" t="str">
        <f>IF(Table1[[#This Row],[Month_No]]&lt;=6, "H1","H2")</f>
        <v>H2</v>
      </c>
    </row>
    <row r="1066" spans="1:26" x14ac:dyDescent="0.25">
      <c r="A1066" s="2">
        <v>45930</v>
      </c>
      <c r="B1066" t="s">
        <v>1147</v>
      </c>
      <c r="C1066" t="s">
        <v>27</v>
      </c>
      <c r="D1066" t="s">
        <v>74</v>
      </c>
      <c r="E1066" t="s">
        <v>75</v>
      </c>
      <c r="F1066" t="s">
        <v>52</v>
      </c>
      <c r="G1066" t="s">
        <v>76</v>
      </c>
      <c r="H1066" t="s">
        <v>41</v>
      </c>
      <c r="I1066">
        <v>65.560746231404096</v>
      </c>
      <c r="J1066" s="3">
        <v>5921.71</v>
      </c>
      <c r="K1066" s="3">
        <f>Table1[[#This Row],[Quantity]]*Table1[[#This Row],[Unit_Price]]</f>
        <v>388231.72656596795</v>
      </c>
      <c r="L1066" s="3">
        <v>16697.689999999999</v>
      </c>
      <c r="M1066" s="3">
        <f>Table1[[#This Row],[Gross_Sales]]-Table1[[#This Row],[Discount]]</f>
        <v>371534.03656596795</v>
      </c>
      <c r="N1066" s="3">
        <v>262786.65000000002</v>
      </c>
      <c r="O1066" s="3">
        <v>5809.68</v>
      </c>
      <c r="P1066" s="3">
        <v>19308.13</v>
      </c>
      <c r="Q1066" s="3">
        <v>9234.81</v>
      </c>
      <c r="R1066" s="3">
        <v>4930.4399999999996</v>
      </c>
      <c r="S1066" s="3">
        <f>SUM(Table1[[#This Row],[Product_Cost]:[Other_Cost]])</f>
        <v>302069.71000000002</v>
      </c>
      <c r="T1066" s="3">
        <f>Table1[[#This Row],[Net_Sales]]-Table1[[#This Row],[Product_Cost]]</f>
        <v>108747.38656596793</v>
      </c>
      <c r="U1066" s="3">
        <f>Table1[[#This Row],[Net_Sales]]-Table1[[#This Row],[Total_Cost]]</f>
        <v>69464.326565967931</v>
      </c>
      <c r="V1066" s="4">
        <f>Table1[[#This Row],[Net_Profit]]/Table1[[#This Row],[Net_Sales]]</f>
        <v>0.18696625269656594</v>
      </c>
      <c r="W1066" t="s">
        <v>33</v>
      </c>
      <c r="X1066" t="s">
        <v>1034</v>
      </c>
      <c r="Y1066">
        <v>9</v>
      </c>
      <c r="Z1066" t="str">
        <f>IF(Table1[[#This Row],[Month_No]]&lt;=6, "H1","H2")</f>
        <v>H2</v>
      </c>
    </row>
    <row r="1067" spans="1:26" x14ac:dyDescent="0.25">
      <c r="A1067" s="2">
        <v>45930</v>
      </c>
      <c r="B1067" t="s">
        <v>1148</v>
      </c>
      <c r="C1067" t="s">
        <v>55</v>
      </c>
      <c r="D1067" t="s">
        <v>56</v>
      </c>
      <c r="E1067" t="s">
        <v>57</v>
      </c>
      <c r="F1067" t="s">
        <v>39</v>
      </c>
      <c r="G1067" t="s">
        <v>40</v>
      </c>
      <c r="H1067" t="s">
        <v>47</v>
      </c>
      <c r="I1067">
        <v>19.140490606432628</v>
      </c>
      <c r="J1067" s="3">
        <v>3333.77</v>
      </c>
      <c r="K1067" s="3">
        <f>Table1[[#This Row],[Quantity]]*Table1[[#This Row],[Unit_Price]]</f>
        <v>63809.993369006901</v>
      </c>
      <c r="L1067" s="3">
        <v>2689.65</v>
      </c>
      <c r="M1067" s="3">
        <f>Table1[[#This Row],[Gross_Sales]]-Table1[[#This Row],[Discount]]</f>
        <v>61120.3433690069</v>
      </c>
      <c r="N1067" s="3">
        <v>32076.14</v>
      </c>
      <c r="O1067" s="3">
        <v>1802.23</v>
      </c>
      <c r="P1067" s="3">
        <v>3350.55</v>
      </c>
      <c r="Q1067" s="3">
        <v>1272.51</v>
      </c>
      <c r="R1067" s="3">
        <v>779.4</v>
      </c>
      <c r="S1067" s="3">
        <f>SUM(Table1[[#This Row],[Product_Cost]:[Other_Cost]])</f>
        <v>39280.830000000009</v>
      </c>
      <c r="T1067" s="3">
        <f>Table1[[#This Row],[Net_Sales]]-Table1[[#This Row],[Product_Cost]]</f>
        <v>29044.2033690069</v>
      </c>
      <c r="U1067" s="3">
        <f>Table1[[#This Row],[Net_Sales]]-Table1[[#This Row],[Total_Cost]]</f>
        <v>21839.513369006891</v>
      </c>
      <c r="V1067" s="4">
        <f>Table1[[#This Row],[Net_Profit]]/Table1[[#This Row],[Net_Sales]]</f>
        <v>0.35731987363279999</v>
      </c>
      <c r="W1067" t="s">
        <v>33</v>
      </c>
      <c r="X1067" t="s">
        <v>1034</v>
      </c>
      <c r="Y1067">
        <v>9</v>
      </c>
      <c r="Z1067" t="str">
        <f>IF(Table1[[#This Row],[Month_No]]&lt;=6, "H1","H2")</f>
        <v>H2</v>
      </c>
    </row>
    <row r="1068" spans="1:26" x14ac:dyDescent="0.25">
      <c r="A1068" s="2">
        <v>45930</v>
      </c>
      <c r="B1068" t="s">
        <v>1149</v>
      </c>
      <c r="C1068" t="s">
        <v>83</v>
      </c>
      <c r="D1068" t="s">
        <v>74</v>
      </c>
      <c r="E1068" t="s">
        <v>75</v>
      </c>
      <c r="F1068" t="s">
        <v>39</v>
      </c>
      <c r="G1068" t="s">
        <v>86</v>
      </c>
      <c r="H1068" t="s">
        <v>41</v>
      </c>
      <c r="I1068">
        <v>38.166774533343549</v>
      </c>
      <c r="J1068" s="3">
        <v>5770.95</v>
      </c>
      <c r="K1068" s="3">
        <f>Table1[[#This Row],[Quantity]]*Table1[[#This Row],[Unit_Price]]</f>
        <v>220258.54749319894</v>
      </c>
      <c r="L1068" s="3">
        <v>10114.950000000001</v>
      </c>
      <c r="M1068" s="3">
        <f>Table1[[#This Row],[Gross_Sales]]-Table1[[#This Row],[Discount]]</f>
        <v>210143.59749319893</v>
      </c>
      <c r="N1068" s="3">
        <v>145793.32</v>
      </c>
      <c r="O1068" s="3">
        <v>5399.67</v>
      </c>
      <c r="P1068" s="3">
        <v>11031.04</v>
      </c>
      <c r="Q1068" s="3">
        <v>5793.04</v>
      </c>
      <c r="R1068" s="3">
        <v>3646.7</v>
      </c>
      <c r="S1068" s="3">
        <f>SUM(Table1[[#This Row],[Product_Cost]:[Other_Cost]])</f>
        <v>171663.77000000005</v>
      </c>
      <c r="T1068" s="3">
        <f>Table1[[#This Row],[Net_Sales]]-Table1[[#This Row],[Product_Cost]]</f>
        <v>64350.277493198926</v>
      </c>
      <c r="U1068" s="3">
        <f>Table1[[#This Row],[Net_Sales]]-Table1[[#This Row],[Total_Cost]]</f>
        <v>38479.827493198885</v>
      </c>
      <c r="V1068" s="4">
        <f>Table1[[#This Row],[Net_Profit]]/Table1[[#This Row],[Net_Sales]]</f>
        <v>0.18311206219092277</v>
      </c>
      <c r="W1068" t="s">
        <v>72</v>
      </c>
      <c r="X1068" t="s">
        <v>1034</v>
      </c>
      <c r="Y1068">
        <v>9</v>
      </c>
      <c r="Z1068" t="str">
        <f>IF(Table1[[#This Row],[Month_No]]&lt;=6, "H1","H2")</f>
        <v>H2</v>
      </c>
    </row>
    <row r="1069" spans="1:26" x14ac:dyDescent="0.25">
      <c r="A1069" s="2">
        <v>45931</v>
      </c>
      <c r="B1069" t="s">
        <v>1150</v>
      </c>
      <c r="C1069" t="s">
        <v>63</v>
      </c>
      <c r="D1069" t="s">
        <v>28</v>
      </c>
      <c r="E1069" t="s">
        <v>29</v>
      </c>
      <c r="F1069" t="s">
        <v>39</v>
      </c>
      <c r="G1069" t="s">
        <v>71</v>
      </c>
      <c r="H1069" t="s">
        <v>47</v>
      </c>
      <c r="I1069">
        <v>78.509466513535912</v>
      </c>
      <c r="J1069" s="3">
        <v>1295.5999999999999</v>
      </c>
      <c r="K1069" s="3">
        <f>Table1[[#This Row],[Quantity]]*Table1[[#This Row],[Unit_Price]]</f>
        <v>101716.86481493711</v>
      </c>
      <c r="L1069" s="3">
        <v>3874.84</v>
      </c>
      <c r="M1069" s="3">
        <f>Table1[[#This Row],[Gross_Sales]]-Table1[[#This Row],[Discount]]</f>
        <v>97842.024814937118</v>
      </c>
      <c r="N1069" s="3">
        <v>54437.01</v>
      </c>
      <c r="O1069" s="3">
        <v>2485.7800000000002</v>
      </c>
      <c r="P1069" s="3">
        <v>5652.12</v>
      </c>
      <c r="Q1069" s="3">
        <v>2760.51</v>
      </c>
      <c r="R1069" s="3">
        <v>1308.78</v>
      </c>
      <c r="S1069" s="3">
        <f>SUM(Table1[[#This Row],[Product_Cost]:[Other_Cost]])</f>
        <v>66644.200000000012</v>
      </c>
      <c r="T1069" s="3">
        <f>Table1[[#This Row],[Net_Sales]]-Table1[[#This Row],[Product_Cost]]</f>
        <v>43405.014814937116</v>
      </c>
      <c r="U1069" s="3">
        <f>Table1[[#This Row],[Net_Sales]]-Table1[[#This Row],[Total_Cost]]</f>
        <v>31197.824814937107</v>
      </c>
      <c r="V1069" s="4">
        <f>Table1[[#This Row],[Net_Profit]]/Table1[[#This Row],[Net_Sales]]</f>
        <v>0.31885914947024147</v>
      </c>
      <c r="W1069" t="s">
        <v>72</v>
      </c>
      <c r="X1069" t="s">
        <v>1151</v>
      </c>
      <c r="Y1069">
        <v>10</v>
      </c>
      <c r="Z1069" t="str">
        <f>IF(Table1[[#This Row],[Month_No]]&lt;=6, "H1","H2")</f>
        <v>H2</v>
      </c>
    </row>
    <row r="1070" spans="1:26" x14ac:dyDescent="0.25">
      <c r="A1070" s="2">
        <v>45931</v>
      </c>
      <c r="B1070" t="s">
        <v>1152</v>
      </c>
      <c r="C1070" t="s">
        <v>43</v>
      </c>
      <c r="D1070" t="s">
        <v>37</v>
      </c>
      <c r="E1070" t="s">
        <v>38</v>
      </c>
      <c r="F1070" t="s">
        <v>52</v>
      </c>
      <c r="G1070" t="s">
        <v>76</v>
      </c>
      <c r="H1070" t="s">
        <v>59</v>
      </c>
      <c r="I1070">
        <v>34.454686978618867</v>
      </c>
      <c r="J1070" s="3">
        <v>4803.32</v>
      </c>
      <c r="K1070" s="3">
        <f>Table1[[#This Row],[Quantity]]*Table1[[#This Row],[Unit_Price]]</f>
        <v>165496.88705813957</v>
      </c>
      <c r="L1070" s="3">
        <v>6042.85</v>
      </c>
      <c r="M1070" s="3">
        <f>Table1[[#This Row],[Gross_Sales]]-Table1[[#This Row],[Discount]]</f>
        <v>159454.03705813957</v>
      </c>
      <c r="N1070" s="3">
        <v>109429.02</v>
      </c>
      <c r="O1070" s="3">
        <v>2585.98</v>
      </c>
      <c r="P1070" s="3">
        <v>9737</v>
      </c>
      <c r="Q1070" s="3">
        <v>3197.91</v>
      </c>
      <c r="R1070" s="3">
        <v>3264.28</v>
      </c>
      <c r="S1070" s="3">
        <f>SUM(Table1[[#This Row],[Product_Cost]:[Other_Cost]])</f>
        <v>128214.19</v>
      </c>
      <c r="T1070" s="3">
        <f>Table1[[#This Row],[Net_Sales]]-Table1[[#This Row],[Product_Cost]]</f>
        <v>50025.017058139565</v>
      </c>
      <c r="U1070" s="3">
        <f>Table1[[#This Row],[Net_Sales]]-Table1[[#This Row],[Total_Cost]]</f>
        <v>31239.847058139567</v>
      </c>
      <c r="V1070" s="4">
        <f>Table1[[#This Row],[Net_Profit]]/Table1[[#This Row],[Net_Sales]]</f>
        <v>0.19591756743511615</v>
      </c>
      <c r="W1070" t="s">
        <v>33</v>
      </c>
      <c r="X1070" t="s">
        <v>1151</v>
      </c>
      <c r="Y1070">
        <v>10</v>
      </c>
      <c r="Z1070" t="str">
        <f>IF(Table1[[#This Row],[Month_No]]&lt;=6, "H1","H2")</f>
        <v>H2</v>
      </c>
    </row>
    <row r="1071" spans="1:26" x14ac:dyDescent="0.25">
      <c r="A1071" s="2">
        <v>45931</v>
      </c>
      <c r="B1071" t="s">
        <v>1153</v>
      </c>
      <c r="C1071" t="s">
        <v>43</v>
      </c>
      <c r="D1071" t="s">
        <v>44</v>
      </c>
      <c r="E1071" t="s">
        <v>45</v>
      </c>
      <c r="F1071" t="s">
        <v>52</v>
      </c>
      <c r="G1071" t="s">
        <v>40</v>
      </c>
      <c r="H1071" t="s">
        <v>32</v>
      </c>
      <c r="I1071">
        <v>75.343750679094299</v>
      </c>
      <c r="J1071" s="3">
        <v>4998.84</v>
      </c>
      <c r="K1071" s="3">
        <f>Table1[[#This Row],[Quantity]]*Table1[[#This Row],[Unit_Price]]</f>
        <v>376631.35464468377</v>
      </c>
      <c r="L1071" s="3">
        <v>17623.900000000001</v>
      </c>
      <c r="M1071" s="3">
        <f>Table1[[#This Row],[Gross_Sales]]-Table1[[#This Row],[Discount]]</f>
        <v>359007.45464468375</v>
      </c>
      <c r="N1071" s="3">
        <v>230211.99</v>
      </c>
      <c r="O1071" s="3">
        <v>6948.46</v>
      </c>
      <c r="P1071" s="3">
        <v>18644.54</v>
      </c>
      <c r="Q1071" s="3">
        <v>9972.5499999999993</v>
      </c>
      <c r="R1071" s="3">
        <v>5436.62</v>
      </c>
      <c r="S1071" s="3">
        <f>SUM(Table1[[#This Row],[Product_Cost]:[Other_Cost]])</f>
        <v>271214.15999999997</v>
      </c>
      <c r="T1071" s="3">
        <f>Table1[[#This Row],[Net_Sales]]-Table1[[#This Row],[Product_Cost]]</f>
        <v>128795.46464468376</v>
      </c>
      <c r="U1071" s="3">
        <f>Table1[[#This Row],[Net_Sales]]-Table1[[#This Row],[Total_Cost]]</f>
        <v>87793.294644683774</v>
      </c>
      <c r="V1071" s="4">
        <f>Table1[[#This Row],[Net_Profit]]/Table1[[#This Row],[Net_Sales]]</f>
        <v>0.24454448928247022</v>
      </c>
      <c r="W1071" t="s">
        <v>33</v>
      </c>
      <c r="X1071" t="s">
        <v>1151</v>
      </c>
      <c r="Y1071">
        <v>10</v>
      </c>
      <c r="Z1071" t="str">
        <f>IF(Table1[[#This Row],[Month_No]]&lt;=6, "H1","H2")</f>
        <v>H2</v>
      </c>
    </row>
    <row r="1072" spans="1:26" x14ac:dyDescent="0.25">
      <c r="A1072" s="2">
        <v>45931</v>
      </c>
      <c r="B1072" t="s">
        <v>1154</v>
      </c>
      <c r="C1072" t="s">
        <v>78</v>
      </c>
      <c r="D1072" t="s">
        <v>28</v>
      </c>
      <c r="E1072" t="s">
        <v>29</v>
      </c>
      <c r="F1072" t="s">
        <v>52</v>
      </c>
      <c r="G1072" t="s">
        <v>40</v>
      </c>
      <c r="H1072" t="s">
        <v>41</v>
      </c>
      <c r="I1072">
        <v>106.41499900001411</v>
      </c>
      <c r="J1072" s="3">
        <v>1248.21</v>
      </c>
      <c r="K1072" s="3">
        <f>Table1[[#This Row],[Quantity]]*Table1[[#This Row],[Unit_Price]]</f>
        <v>132828.26590180761</v>
      </c>
      <c r="L1072" s="3">
        <v>6137.13</v>
      </c>
      <c r="M1072" s="3">
        <f>Table1[[#This Row],[Gross_Sales]]-Table1[[#This Row],[Discount]]</f>
        <v>126691.1359018076</v>
      </c>
      <c r="N1072" s="3">
        <v>70993.100000000006</v>
      </c>
      <c r="O1072" s="3">
        <v>2411</v>
      </c>
      <c r="P1072" s="3">
        <v>6893.2</v>
      </c>
      <c r="Q1072" s="3">
        <v>3570.37</v>
      </c>
      <c r="R1072" s="3">
        <v>2026.47</v>
      </c>
      <c r="S1072" s="3">
        <f>SUM(Table1[[#This Row],[Product_Cost]:[Other_Cost]])</f>
        <v>85894.14</v>
      </c>
      <c r="T1072" s="3">
        <f>Table1[[#This Row],[Net_Sales]]-Table1[[#This Row],[Product_Cost]]</f>
        <v>55698.035901807598</v>
      </c>
      <c r="U1072" s="3">
        <f>Table1[[#This Row],[Net_Sales]]-Table1[[#This Row],[Total_Cost]]</f>
        <v>40796.995901807604</v>
      </c>
      <c r="V1072" s="4">
        <f>Table1[[#This Row],[Net_Profit]]/Table1[[#This Row],[Net_Sales]]</f>
        <v>0.32201933948581418</v>
      </c>
      <c r="W1072" t="s">
        <v>33</v>
      </c>
      <c r="X1072" t="s">
        <v>1151</v>
      </c>
      <c r="Y1072">
        <v>10</v>
      </c>
      <c r="Z1072" t="str">
        <f>IF(Table1[[#This Row],[Month_No]]&lt;=6, "H1","H2")</f>
        <v>H2</v>
      </c>
    </row>
    <row r="1073" spans="1:26" x14ac:dyDescent="0.25">
      <c r="A1073" s="2">
        <v>45932</v>
      </c>
      <c r="B1073" t="s">
        <v>1155</v>
      </c>
      <c r="C1073" t="s">
        <v>49</v>
      </c>
      <c r="D1073" t="s">
        <v>74</v>
      </c>
      <c r="E1073" t="s">
        <v>75</v>
      </c>
      <c r="F1073" t="s">
        <v>30</v>
      </c>
      <c r="G1073" t="s">
        <v>76</v>
      </c>
      <c r="H1073" t="s">
        <v>41</v>
      </c>
      <c r="I1073">
        <v>71.139363277125568</v>
      </c>
      <c r="J1073" s="3">
        <v>6004.96</v>
      </c>
      <c r="K1073" s="3">
        <f>Table1[[#This Row],[Quantity]]*Table1[[#This Row],[Unit_Price]]</f>
        <v>427189.03090460796</v>
      </c>
      <c r="L1073" s="3">
        <v>21682.76</v>
      </c>
      <c r="M1073" s="3">
        <f>Table1[[#This Row],[Gross_Sales]]-Table1[[#This Row],[Discount]]</f>
        <v>405506.27090460795</v>
      </c>
      <c r="N1073" s="3">
        <v>274740.43</v>
      </c>
      <c r="O1073" s="3">
        <v>10069.67</v>
      </c>
      <c r="P1073" s="3">
        <v>19648.47</v>
      </c>
      <c r="Q1073" s="3">
        <v>12359.24</v>
      </c>
      <c r="R1073" s="3">
        <v>7250.4</v>
      </c>
      <c r="S1073" s="3">
        <f>SUM(Table1[[#This Row],[Product_Cost]:[Other_Cost]])</f>
        <v>324068.20999999996</v>
      </c>
      <c r="T1073" s="3">
        <f>Table1[[#This Row],[Net_Sales]]-Table1[[#This Row],[Product_Cost]]</f>
        <v>130765.84090460796</v>
      </c>
      <c r="U1073" s="3">
        <f>Table1[[#This Row],[Net_Sales]]-Table1[[#This Row],[Total_Cost]]</f>
        <v>81438.060904607992</v>
      </c>
      <c r="V1073" s="4">
        <f>Table1[[#This Row],[Net_Profit]]/Table1[[#This Row],[Net_Sales]]</f>
        <v>0.20083058326800976</v>
      </c>
      <c r="W1073" t="s">
        <v>33</v>
      </c>
      <c r="X1073" t="s">
        <v>1151</v>
      </c>
      <c r="Y1073">
        <v>10</v>
      </c>
      <c r="Z1073" t="str">
        <f>IF(Table1[[#This Row],[Month_No]]&lt;=6, "H1","H2")</f>
        <v>H2</v>
      </c>
    </row>
    <row r="1074" spans="1:26" x14ac:dyDescent="0.25">
      <c r="A1074" s="2">
        <v>45932</v>
      </c>
      <c r="B1074" t="s">
        <v>1156</v>
      </c>
      <c r="C1074" t="s">
        <v>36</v>
      </c>
      <c r="D1074" t="s">
        <v>68</v>
      </c>
      <c r="E1074" t="s">
        <v>29</v>
      </c>
      <c r="F1074" t="s">
        <v>46</v>
      </c>
      <c r="G1074" t="s">
        <v>76</v>
      </c>
      <c r="H1074" t="s">
        <v>47</v>
      </c>
      <c r="I1074">
        <v>146.77222751458899</v>
      </c>
      <c r="J1074" s="3">
        <v>409.38</v>
      </c>
      <c r="K1074" s="3">
        <f>Table1[[#This Row],[Quantity]]*Table1[[#This Row],[Unit_Price]]</f>
        <v>60085.614499922442</v>
      </c>
      <c r="L1074" s="3">
        <v>2652.89</v>
      </c>
      <c r="M1074" s="3">
        <f>Table1[[#This Row],[Gross_Sales]]-Table1[[#This Row],[Discount]]</f>
        <v>57432.724499922442</v>
      </c>
      <c r="N1074" s="3">
        <v>42002.43</v>
      </c>
      <c r="O1074" s="3">
        <v>1217.73</v>
      </c>
      <c r="P1074" s="3">
        <v>3409.61</v>
      </c>
      <c r="Q1074" s="3">
        <v>1314.59</v>
      </c>
      <c r="R1074" s="3">
        <v>798.84</v>
      </c>
      <c r="S1074" s="3">
        <f>SUM(Table1[[#This Row],[Product_Cost]:[Other_Cost]])</f>
        <v>48743.199999999997</v>
      </c>
      <c r="T1074" s="3">
        <f>Table1[[#This Row],[Net_Sales]]-Table1[[#This Row],[Product_Cost]]</f>
        <v>15430.294499922442</v>
      </c>
      <c r="U1074" s="3">
        <f>Table1[[#This Row],[Net_Sales]]-Table1[[#This Row],[Total_Cost]]</f>
        <v>8689.5244999224451</v>
      </c>
      <c r="V1074" s="4">
        <f>Table1[[#This Row],[Net_Profit]]/Table1[[#This Row],[Net_Sales]]</f>
        <v>0.15129918658019054</v>
      </c>
      <c r="W1074" t="s">
        <v>33</v>
      </c>
      <c r="X1074" t="s">
        <v>1151</v>
      </c>
      <c r="Y1074">
        <v>10</v>
      </c>
      <c r="Z1074" t="str">
        <f>IF(Table1[[#This Row],[Month_No]]&lt;=6, "H1","H2")</f>
        <v>H2</v>
      </c>
    </row>
    <row r="1075" spans="1:26" x14ac:dyDescent="0.25">
      <c r="A1075" s="2">
        <v>45933</v>
      </c>
      <c r="B1075" t="s">
        <v>1157</v>
      </c>
      <c r="C1075" t="s">
        <v>63</v>
      </c>
      <c r="D1075" t="s">
        <v>85</v>
      </c>
      <c r="E1075" t="s">
        <v>57</v>
      </c>
      <c r="F1075" t="s">
        <v>52</v>
      </c>
      <c r="G1075" t="s">
        <v>64</v>
      </c>
      <c r="H1075" t="s">
        <v>41</v>
      </c>
      <c r="I1075">
        <v>76.848198595432351</v>
      </c>
      <c r="J1075" s="3">
        <v>2025.92</v>
      </c>
      <c r="K1075" s="3">
        <f>Table1[[#This Row],[Quantity]]*Table1[[#This Row],[Unit_Price]]</f>
        <v>155688.3024984583</v>
      </c>
      <c r="L1075" s="3">
        <v>8210.08</v>
      </c>
      <c r="M1075" s="3">
        <f>Table1[[#This Row],[Gross_Sales]]-Table1[[#This Row],[Discount]]</f>
        <v>147478.22249845832</v>
      </c>
      <c r="N1075" s="3">
        <v>94277.45</v>
      </c>
      <c r="O1075" s="3">
        <v>2993.95</v>
      </c>
      <c r="P1075" s="3">
        <v>9143</v>
      </c>
      <c r="Q1075" s="3">
        <v>3637.99</v>
      </c>
      <c r="R1075" s="3">
        <v>2220.6</v>
      </c>
      <c r="S1075" s="3">
        <f>SUM(Table1[[#This Row],[Product_Cost]:[Other_Cost]])</f>
        <v>112272.99</v>
      </c>
      <c r="T1075" s="3">
        <f>Table1[[#This Row],[Net_Sales]]-Table1[[#This Row],[Product_Cost]]</f>
        <v>53200.772498458318</v>
      </c>
      <c r="U1075" s="3">
        <f>Table1[[#This Row],[Net_Sales]]-Table1[[#This Row],[Total_Cost]]</f>
        <v>35205.23249845831</v>
      </c>
      <c r="V1075" s="4">
        <f>Table1[[#This Row],[Net_Profit]]/Table1[[#This Row],[Net_Sales]]</f>
        <v>0.23871478718714781</v>
      </c>
      <c r="W1075" t="s">
        <v>33</v>
      </c>
      <c r="X1075" t="s">
        <v>1151</v>
      </c>
      <c r="Y1075">
        <v>10</v>
      </c>
      <c r="Z1075" t="str">
        <f>IF(Table1[[#This Row],[Month_No]]&lt;=6, "H1","H2")</f>
        <v>H2</v>
      </c>
    </row>
    <row r="1076" spans="1:26" x14ac:dyDescent="0.25">
      <c r="A1076" s="2">
        <v>45933</v>
      </c>
      <c r="B1076" t="s">
        <v>1158</v>
      </c>
      <c r="C1076" t="s">
        <v>63</v>
      </c>
      <c r="D1076" t="s">
        <v>74</v>
      </c>
      <c r="E1076" t="s">
        <v>75</v>
      </c>
      <c r="F1076" t="s">
        <v>46</v>
      </c>
      <c r="G1076" t="s">
        <v>58</v>
      </c>
      <c r="H1076" t="s">
        <v>59</v>
      </c>
      <c r="I1076">
        <v>85.815713292063776</v>
      </c>
      <c r="J1076" s="3">
        <v>5816.49</v>
      </c>
      <c r="K1076" s="3">
        <f>Table1[[#This Row],[Quantity]]*Table1[[#This Row],[Unit_Price]]</f>
        <v>499146.23820615601</v>
      </c>
      <c r="L1076" s="3">
        <v>17946.080000000002</v>
      </c>
      <c r="M1076" s="3">
        <f>Table1[[#This Row],[Gross_Sales]]-Table1[[#This Row],[Discount]]</f>
        <v>481200.15820615599</v>
      </c>
      <c r="N1076" s="3">
        <v>325431.46999999997</v>
      </c>
      <c r="O1076" s="3">
        <v>9501.99</v>
      </c>
      <c r="P1076" s="3">
        <v>26217.29</v>
      </c>
      <c r="Q1076" s="3">
        <v>14481.88</v>
      </c>
      <c r="R1076" s="3">
        <v>8745.6</v>
      </c>
      <c r="S1076" s="3">
        <f>SUM(Table1[[#This Row],[Product_Cost]:[Other_Cost]])</f>
        <v>384378.22999999992</v>
      </c>
      <c r="T1076" s="3">
        <f>Table1[[#This Row],[Net_Sales]]-Table1[[#This Row],[Product_Cost]]</f>
        <v>155768.68820615602</v>
      </c>
      <c r="U1076" s="3">
        <f>Table1[[#This Row],[Net_Sales]]-Table1[[#This Row],[Total_Cost]]</f>
        <v>96821.928206156066</v>
      </c>
      <c r="V1076" s="4">
        <f>Table1[[#This Row],[Net_Profit]]/Table1[[#This Row],[Net_Sales]]</f>
        <v>0.20120926095929415</v>
      </c>
      <c r="W1076" t="s">
        <v>72</v>
      </c>
      <c r="X1076" t="s">
        <v>1151</v>
      </c>
      <c r="Y1076">
        <v>10</v>
      </c>
      <c r="Z1076" t="str">
        <f>IF(Table1[[#This Row],[Month_No]]&lt;=6, "H1","H2")</f>
        <v>H2</v>
      </c>
    </row>
    <row r="1077" spans="1:26" x14ac:dyDescent="0.25">
      <c r="A1077" s="2">
        <v>45933</v>
      </c>
      <c r="B1077" t="s">
        <v>1159</v>
      </c>
      <c r="C1077" t="s">
        <v>36</v>
      </c>
      <c r="D1077" t="s">
        <v>37</v>
      </c>
      <c r="E1077" t="s">
        <v>38</v>
      </c>
      <c r="F1077" t="s">
        <v>52</v>
      </c>
      <c r="G1077" t="s">
        <v>31</v>
      </c>
      <c r="H1077" t="s">
        <v>41</v>
      </c>
      <c r="I1077">
        <v>66.769436507115515</v>
      </c>
      <c r="J1077" s="3">
        <v>4954.29</v>
      </c>
      <c r="K1077" s="3">
        <f>Table1[[#This Row],[Quantity]]*Table1[[#This Row],[Unit_Price]]</f>
        <v>330795.1515928373</v>
      </c>
      <c r="L1077" s="3">
        <v>13219.99</v>
      </c>
      <c r="M1077" s="3">
        <f>Table1[[#This Row],[Gross_Sales]]-Table1[[#This Row],[Discount]]</f>
        <v>317575.16159283731</v>
      </c>
      <c r="N1077" s="3">
        <v>209702.17</v>
      </c>
      <c r="O1077" s="3">
        <v>5232.38</v>
      </c>
      <c r="P1077" s="3">
        <v>18627.93</v>
      </c>
      <c r="Q1077" s="3">
        <v>9294.3700000000008</v>
      </c>
      <c r="R1077" s="3">
        <v>5789.48</v>
      </c>
      <c r="S1077" s="3">
        <f>SUM(Table1[[#This Row],[Product_Cost]:[Other_Cost]])</f>
        <v>248646.33000000002</v>
      </c>
      <c r="T1077" s="3">
        <f>Table1[[#This Row],[Net_Sales]]-Table1[[#This Row],[Product_Cost]]</f>
        <v>107872.99159283729</v>
      </c>
      <c r="U1077" s="3">
        <f>Table1[[#This Row],[Net_Sales]]-Table1[[#This Row],[Total_Cost]]</f>
        <v>68928.83159283729</v>
      </c>
      <c r="V1077" s="4">
        <f>Table1[[#This Row],[Net_Profit]]/Table1[[#This Row],[Net_Sales]]</f>
        <v>0.21704730069919906</v>
      </c>
      <c r="W1077" t="s">
        <v>33</v>
      </c>
      <c r="X1077" t="s">
        <v>1151</v>
      </c>
      <c r="Y1077">
        <v>10</v>
      </c>
      <c r="Z1077" t="str">
        <f>IF(Table1[[#This Row],[Month_No]]&lt;=6, "H1","H2")</f>
        <v>H2</v>
      </c>
    </row>
    <row r="1078" spans="1:26" x14ac:dyDescent="0.25">
      <c r="A1078" s="2">
        <v>45933</v>
      </c>
      <c r="B1078" t="s">
        <v>1160</v>
      </c>
      <c r="C1078" t="s">
        <v>83</v>
      </c>
      <c r="D1078" t="s">
        <v>28</v>
      </c>
      <c r="E1078" t="s">
        <v>29</v>
      </c>
      <c r="F1078" t="s">
        <v>30</v>
      </c>
      <c r="G1078" t="s">
        <v>58</v>
      </c>
      <c r="H1078" t="s">
        <v>47</v>
      </c>
      <c r="I1078">
        <v>83.873825836648365</v>
      </c>
      <c r="J1078" s="3">
        <v>1277.32</v>
      </c>
      <c r="K1078" s="3">
        <f>Table1[[#This Row],[Quantity]]*Table1[[#This Row],[Unit_Price]]</f>
        <v>107133.71521766769</v>
      </c>
      <c r="L1078" s="3">
        <v>3139.65</v>
      </c>
      <c r="M1078" s="3">
        <f>Table1[[#This Row],[Gross_Sales]]-Table1[[#This Row],[Discount]]</f>
        <v>103994.0652176677</v>
      </c>
      <c r="N1078" s="3">
        <v>56320.08</v>
      </c>
      <c r="O1078" s="3">
        <v>2319.84</v>
      </c>
      <c r="P1078" s="3">
        <v>5042.8900000000003</v>
      </c>
      <c r="Q1078" s="3">
        <v>3243.39</v>
      </c>
      <c r="R1078" s="3">
        <v>1977.58</v>
      </c>
      <c r="S1078" s="3">
        <f>SUM(Table1[[#This Row],[Product_Cost]:[Other_Cost]])</f>
        <v>68903.78</v>
      </c>
      <c r="T1078" s="3">
        <f>Table1[[#This Row],[Net_Sales]]-Table1[[#This Row],[Product_Cost]]</f>
        <v>47673.985217667694</v>
      </c>
      <c r="U1078" s="3">
        <f>Table1[[#This Row],[Net_Sales]]-Table1[[#This Row],[Total_Cost]]</f>
        <v>35090.285217667697</v>
      </c>
      <c r="V1078" s="4">
        <f>Table1[[#This Row],[Net_Profit]]/Table1[[#This Row],[Net_Sales]]</f>
        <v>0.33742584390965957</v>
      </c>
      <c r="W1078" t="s">
        <v>33</v>
      </c>
      <c r="X1078" t="s">
        <v>1151</v>
      </c>
      <c r="Y1078">
        <v>10</v>
      </c>
      <c r="Z1078" t="str">
        <f>IF(Table1[[#This Row],[Month_No]]&lt;=6, "H1","H2")</f>
        <v>H2</v>
      </c>
    </row>
    <row r="1079" spans="1:26" x14ac:dyDescent="0.25">
      <c r="A1079" s="2">
        <v>45934</v>
      </c>
      <c r="B1079" t="s">
        <v>1161</v>
      </c>
      <c r="C1079" t="s">
        <v>117</v>
      </c>
      <c r="D1079" t="s">
        <v>81</v>
      </c>
      <c r="E1079" t="s">
        <v>45</v>
      </c>
      <c r="F1079" t="s">
        <v>52</v>
      </c>
      <c r="G1079" t="s">
        <v>86</v>
      </c>
      <c r="H1079" t="s">
        <v>41</v>
      </c>
      <c r="I1079">
        <v>48.61230160478452</v>
      </c>
      <c r="J1079" s="3">
        <v>7014.56</v>
      </c>
      <c r="K1079" s="3">
        <f>Table1[[#This Row],[Quantity]]*Table1[[#This Row],[Unit_Price]]</f>
        <v>340993.9063448573</v>
      </c>
      <c r="L1079" s="3">
        <v>11178.9</v>
      </c>
      <c r="M1079" s="3">
        <f>Table1[[#This Row],[Gross_Sales]]-Table1[[#This Row],[Discount]]</f>
        <v>329815.00634485728</v>
      </c>
      <c r="N1079" s="3">
        <v>166972.5</v>
      </c>
      <c r="O1079" s="3">
        <v>5881.8</v>
      </c>
      <c r="P1079" s="3">
        <v>17123.45</v>
      </c>
      <c r="Q1079" s="3">
        <v>8717.98</v>
      </c>
      <c r="R1079" s="3">
        <v>6525.85</v>
      </c>
      <c r="S1079" s="3">
        <f>SUM(Table1[[#This Row],[Product_Cost]:[Other_Cost]])</f>
        <v>205221.58000000002</v>
      </c>
      <c r="T1079" s="3">
        <f>Table1[[#This Row],[Net_Sales]]-Table1[[#This Row],[Product_Cost]]</f>
        <v>162842.50634485728</v>
      </c>
      <c r="U1079" s="3">
        <f>Table1[[#This Row],[Net_Sales]]-Table1[[#This Row],[Total_Cost]]</f>
        <v>124593.42634485726</v>
      </c>
      <c r="V1079" s="4">
        <f>Table1[[#This Row],[Net_Profit]]/Table1[[#This Row],[Net_Sales]]</f>
        <v>0.37776760895646255</v>
      </c>
      <c r="W1079" t="s">
        <v>72</v>
      </c>
      <c r="X1079" t="s">
        <v>1151</v>
      </c>
      <c r="Y1079">
        <v>10</v>
      </c>
      <c r="Z1079" t="str">
        <f>IF(Table1[[#This Row],[Month_No]]&lt;=6, "H1","H2")</f>
        <v>H2</v>
      </c>
    </row>
    <row r="1080" spans="1:26" x14ac:dyDescent="0.25">
      <c r="A1080" s="2">
        <v>45934</v>
      </c>
      <c r="B1080" t="s">
        <v>1162</v>
      </c>
      <c r="C1080" t="s">
        <v>55</v>
      </c>
      <c r="D1080" t="s">
        <v>74</v>
      </c>
      <c r="E1080" t="s">
        <v>75</v>
      </c>
      <c r="F1080" t="s">
        <v>46</v>
      </c>
      <c r="G1080" t="s">
        <v>76</v>
      </c>
      <c r="H1080" t="s">
        <v>32</v>
      </c>
      <c r="I1080">
        <v>50.080653832460833</v>
      </c>
      <c r="J1080" s="3">
        <v>6125.82</v>
      </c>
      <c r="K1080" s="3">
        <f>Table1[[#This Row],[Quantity]]*Table1[[#This Row],[Unit_Price]]</f>
        <v>306785.07085996523</v>
      </c>
      <c r="L1080" s="3">
        <v>16388.259999999998</v>
      </c>
      <c r="M1080" s="3">
        <f>Table1[[#This Row],[Gross_Sales]]-Table1[[#This Row],[Discount]]</f>
        <v>290396.81085996522</v>
      </c>
      <c r="N1080" s="3">
        <v>198544.01</v>
      </c>
      <c r="O1080" s="3">
        <v>6245.19</v>
      </c>
      <c r="P1080" s="3">
        <v>14702.33</v>
      </c>
      <c r="Q1080" s="3">
        <v>8490.32</v>
      </c>
      <c r="R1080" s="3">
        <v>4635.7299999999996</v>
      </c>
      <c r="S1080" s="3">
        <f>SUM(Table1[[#This Row],[Product_Cost]:[Other_Cost]])</f>
        <v>232617.58000000002</v>
      </c>
      <c r="T1080" s="3">
        <f>Table1[[#This Row],[Net_Sales]]-Table1[[#This Row],[Product_Cost]]</f>
        <v>91852.800859965209</v>
      </c>
      <c r="U1080" s="3">
        <f>Table1[[#This Row],[Net_Sales]]-Table1[[#This Row],[Total_Cost]]</f>
        <v>57779.230859965202</v>
      </c>
      <c r="V1080" s="4">
        <f>Table1[[#This Row],[Net_Profit]]/Table1[[#This Row],[Net_Sales]]</f>
        <v>0.19896647862234076</v>
      </c>
      <c r="W1080" t="s">
        <v>33</v>
      </c>
      <c r="X1080" t="s">
        <v>1151</v>
      </c>
      <c r="Y1080">
        <v>10</v>
      </c>
      <c r="Z1080" t="str">
        <f>IF(Table1[[#This Row],[Month_No]]&lt;=6, "H1","H2")</f>
        <v>H2</v>
      </c>
    </row>
    <row r="1081" spans="1:26" x14ac:dyDescent="0.25">
      <c r="A1081" s="2">
        <v>45935</v>
      </c>
      <c r="B1081" t="s">
        <v>1163</v>
      </c>
      <c r="C1081" t="s">
        <v>107</v>
      </c>
      <c r="D1081" t="s">
        <v>100</v>
      </c>
      <c r="E1081" t="s">
        <v>75</v>
      </c>
      <c r="F1081" t="s">
        <v>52</v>
      </c>
      <c r="G1081" t="s">
        <v>71</v>
      </c>
      <c r="H1081" t="s">
        <v>59</v>
      </c>
      <c r="I1081">
        <v>27.12898627128207</v>
      </c>
      <c r="J1081" s="3">
        <v>7309.54</v>
      </c>
      <c r="K1081" s="3">
        <f>Table1[[#This Row],[Quantity]]*Table1[[#This Row],[Unit_Price]]</f>
        <v>198300.41030938714</v>
      </c>
      <c r="L1081" s="3">
        <v>4916.3999999999996</v>
      </c>
      <c r="M1081" s="3">
        <f>Table1[[#This Row],[Gross_Sales]]-Table1[[#This Row],[Discount]]</f>
        <v>193384.01030938714</v>
      </c>
      <c r="N1081" s="3">
        <v>101230.61</v>
      </c>
      <c r="O1081" s="3">
        <v>2986.77</v>
      </c>
      <c r="P1081" s="3">
        <v>9542.2099999999991</v>
      </c>
      <c r="Q1081" s="3">
        <v>4154.96</v>
      </c>
      <c r="R1081" s="3">
        <v>3988.45</v>
      </c>
      <c r="S1081" s="3">
        <f>SUM(Table1[[#This Row],[Product_Cost]:[Other_Cost]])</f>
        <v>121903</v>
      </c>
      <c r="T1081" s="3">
        <f>Table1[[#This Row],[Net_Sales]]-Table1[[#This Row],[Product_Cost]]</f>
        <v>92153.400309387143</v>
      </c>
      <c r="U1081" s="3">
        <f>Table1[[#This Row],[Net_Sales]]-Table1[[#This Row],[Total_Cost]]</f>
        <v>71481.010309387144</v>
      </c>
      <c r="V1081" s="4">
        <f>Table1[[#This Row],[Net_Profit]]/Table1[[#This Row],[Net_Sales]]</f>
        <v>0.36963247475852634</v>
      </c>
      <c r="W1081" t="s">
        <v>33</v>
      </c>
      <c r="X1081" t="s">
        <v>1151</v>
      </c>
      <c r="Y1081">
        <v>10</v>
      </c>
      <c r="Z1081" t="str">
        <f>IF(Table1[[#This Row],[Month_No]]&lt;=6, "H1","H2")</f>
        <v>H2</v>
      </c>
    </row>
    <row r="1082" spans="1:26" x14ac:dyDescent="0.25">
      <c r="A1082" s="2">
        <v>45935</v>
      </c>
      <c r="B1082" t="s">
        <v>1164</v>
      </c>
      <c r="C1082" t="s">
        <v>98</v>
      </c>
      <c r="D1082" t="s">
        <v>81</v>
      </c>
      <c r="E1082" t="s">
        <v>45</v>
      </c>
      <c r="F1082" t="s">
        <v>52</v>
      </c>
      <c r="G1082" t="s">
        <v>40</v>
      </c>
      <c r="H1082" t="s">
        <v>59</v>
      </c>
      <c r="I1082">
        <v>52.017167751696761</v>
      </c>
      <c r="J1082" s="3">
        <v>7346.76</v>
      </c>
      <c r="K1082" s="3">
        <f>Table1[[#This Row],[Quantity]]*Table1[[#This Row],[Unit_Price]]</f>
        <v>382157.6473514557</v>
      </c>
      <c r="L1082" s="3">
        <v>16111.95</v>
      </c>
      <c r="M1082" s="3">
        <f>Table1[[#This Row],[Gross_Sales]]-Table1[[#This Row],[Discount]]</f>
        <v>366045.69735145569</v>
      </c>
      <c r="N1082" s="3">
        <v>186615.43</v>
      </c>
      <c r="O1082" s="3">
        <v>5913.2</v>
      </c>
      <c r="P1082" s="3">
        <v>21867.56</v>
      </c>
      <c r="Q1082" s="3">
        <v>10883.13</v>
      </c>
      <c r="R1082" s="3">
        <v>4649.09</v>
      </c>
      <c r="S1082" s="3">
        <f>SUM(Table1[[#This Row],[Product_Cost]:[Other_Cost]])</f>
        <v>229928.41</v>
      </c>
      <c r="T1082" s="3">
        <f>Table1[[#This Row],[Net_Sales]]-Table1[[#This Row],[Product_Cost]]</f>
        <v>179430.2673514557</v>
      </c>
      <c r="U1082" s="3">
        <f>Table1[[#This Row],[Net_Sales]]-Table1[[#This Row],[Total_Cost]]</f>
        <v>136117.28735145568</v>
      </c>
      <c r="V1082" s="4">
        <f>Table1[[#This Row],[Net_Profit]]/Table1[[#This Row],[Net_Sales]]</f>
        <v>0.37185872784829871</v>
      </c>
      <c r="W1082" t="s">
        <v>33</v>
      </c>
      <c r="X1082" t="s">
        <v>1151</v>
      </c>
      <c r="Y1082">
        <v>10</v>
      </c>
      <c r="Z1082" t="str">
        <f>IF(Table1[[#This Row],[Month_No]]&lt;=6, "H1","H2")</f>
        <v>H2</v>
      </c>
    </row>
    <row r="1083" spans="1:26" x14ac:dyDescent="0.25">
      <c r="A1083" s="2">
        <v>45935</v>
      </c>
      <c r="B1083" t="s">
        <v>1165</v>
      </c>
      <c r="C1083" t="s">
        <v>98</v>
      </c>
      <c r="D1083" t="s">
        <v>28</v>
      </c>
      <c r="E1083" t="s">
        <v>29</v>
      </c>
      <c r="F1083" t="s">
        <v>52</v>
      </c>
      <c r="G1083" t="s">
        <v>64</v>
      </c>
      <c r="H1083" t="s">
        <v>32</v>
      </c>
      <c r="I1083">
        <v>29.533237498741471</v>
      </c>
      <c r="J1083" s="3">
        <v>1306.5999999999999</v>
      </c>
      <c r="K1083" s="3">
        <f>Table1[[#This Row],[Quantity]]*Table1[[#This Row],[Unit_Price]]</f>
        <v>38588.128115855601</v>
      </c>
      <c r="L1083" s="3">
        <v>1627.21</v>
      </c>
      <c r="M1083" s="3">
        <f>Table1[[#This Row],[Gross_Sales]]-Table1[[#This Row],[Discount]]</f>
        <v>36960.918115855602</v>
      </c>
      <c r="N1083" s="3">
        <v>19568.29</v>
      </c>
      <c r="O1083" s="3">
        <v>697.27</v>
      </c>
      <c r="P1083" s="3">
        <v>2262.58</v>
      </c>
      <c r="Q1083" s="3">
        <v>826.1</v>
      </c>
      <c r="R1083" s="3">
        <v>810.11</v>
      </c>
      <c r="S1083" s="3">
        <f>SUM(Table1[[#This Row],[Product_Cost]:[Other_Cost]])</f>
        <v>24164.35</v>
      </c>
      <c r="T1083" s="3">
        <f>Table1[[#This Row],[Net_Sales]]-Table1[[#This Row],[Product_Cost]]</f>
        <v>17392.628115855601</v>
      </c>
      <c r="U1083" s="3">
        <f>Table1[[#This Row],[Net_Sales]]-Table1[[#This Row],[Total_Cost]]</f>
        <v>12796.568115855604</v>
      </c>
      <c r="V1083" s="4">
        <f>Table1[[#This Row],[Net_Profit]]/Table1[[#This Row],[Net_Sales]]</f>
        <v>0.34621889195891198</v>
      </c>
      <c r="W1083" t="s">
        <v>33</v>
      </c>
      <c r="X1083" t="s">
        <v>1151</v>
      </c>
      <c r="Y1083">
        <v>10</v>
      </c>
      <c r="Z1083" t="str">
        <f>IF(Table1[[#This Row],[Month_No]]&lt;=6, "H1","H2")</f>
        <v>H2</v>
      </c>
    </row>
    <row r="1084" spans="1:26" x14ac:dyDescent="0.25">
      <c r="A1084" s="2">
        <v>45935</v>
      </c>
      <c r="B1084" t="s">
        <v>1166</v>
      </c>
      <c r="C1084" t="s">
        <v>70</v>
      </c>
      <c r="D1084" t="s">
        <v>74</v>
      </c>
      <c r="E1084" t="s">
        <v>75</v>
      </c>
      <c r="F1084" t="s">
        <v>30</v>
      </c>
      <c r="G1084" t="s">
        <v>40</v>
      </c>
      <c r="H1084" t="s">
        <v>47</v>
      </c>
      <c r="I1084">
        <v>64.568154326297304</v>
      </c>
      <c r="J1084" s="3">
        <v>5727.05</v>
      </c>
      <c r="K1084" s="3">
        <f>Table1[[#This Row],[Quantity]]*Table1[[#This Row],[Unit_Price]]</f>
        <v>369785.048234421</v>
      </c>
      <c r="L1084" s="3">
        <v>11108.6</v>
      </c>
      <c r="M1084" s="3">
        <f>Table1[[#This Row],[Gross_Sales]]-Table1[[#This Row],[Discount]]</f>
        <v>358676.44823442103</v>
      </c>
      <c r="N1084" s="3">
        <v>245450.15</v>
      </c>
      <c r="O1084" s="3">
        <v>7735.37</v>
      </c>
      <c r="P1084" s="3">
        <v>20865.759999999998</v>
      </c>
      <c r="Q1084" s="3">
        <v>9478.5300000000007</v>
      </c>
      <c r="R1084" s="3">
        <v>5836.25</v>
      </c>
      <c r="S1084" s="3">
        <f>SUM(Table1[[#This Row],[Product_Cost]:[Other_Cost]])</f>
        <v>289366.06</v>
      </c>
      <c r="T1084" s="3">
        <f>Table1[[#This Row],[Net_Sales]]-Table1[[#This Row],[Product_Cost]]</f>
        <v>113226.29823442103</v>
      </c>
      <c r="U1084" s="3">
        <f>Table1[[#This Row],[Net_Sales]]-Table1[[#This Row],[Total_Cost]]</f>
        <v>69310.388234421029</v>
      </c>
      <c r="V1084" s="4">
        <f>Table1[[#This Row],[Net_Profit]]/Table1[[#This Row],[Net_Sales]]</f>
        <v>0.19323930683377816</v>
      </c>
      <c r="W1084" t="s">
        <v>33</v>
      </c>
      <c r="X1084" t="s">
        <v>1151</v>
      </c>
      <c r="Y1084">
        <v>10</v>
      </c>
      <c r="Z1084" t="str">
        <f>IF(Table1[[#This Row],[Month_No]]&lt;=6, "H1","H2")</f>
        <v>H2</v>
      </c>
    </row>
    <row r="1085" spans="1:26" x14ac:dyDescent="0.25">
      <c r="A1085" s="2">
        <v>45935</v>
      </c>
      <c r="B1085" t="s">
        <v>1167</v>
      </c>
      <c r="C1085" t="s">
        <v>70</v>
      </c>
      <c r="D1085" t="s">
        <v>100</v>
      </c>
      <c r="E1085" t="s">
        <v>75</v>
      </c>
      <c r="F1085" t="s">
        <v>46</v>
      </c>
      <c r="G1085" t="s">
        <v>31</v>
      </c>
      <c r="H1085" t="s">
        <v>59</v>
      </c>
      <c r="I1085">
        <v>20.10949914929769</v>
      </c>
      <c r="J1085" s="3">
        <v>7584.2</v>
      </c>
      <c r="K1085" s="3">
        <f>Table1[[#This Row],[Quantity]]*Table1[[#This Row],[Unit_Price]]</f>
        <v>152514.46344810355</v>
      </c>
      <c r="L1085" s="3">
        <v>6689.92</v>
      </c>
      <c r="M1085" s="3">
        <f>Table1[[#This Row],[Gross_Sales]]-Table1[[#This Row],[Discount]]</f>
        <v>145824.54344810353</v>
      </c>
      <c r="N1085" s="3">
        <v>80234.83</v>
      </c>
      <c r="O1085" s="3">
        <v>3101.01</v>
      </c>
      <c r="P1085" s="3">
        <v>8817.11</v>
      </c>
      <c r="Q1085" s="3">
        <v>4424.12</v>
      </c>
      <c r="R1085" s="3">
        <v>1793.34</v>
      </c>
      <c r="S1085" s="3">
        <f>SUM(Table1[[#This Row],[Product_Cost]:[Other_Cost]])</f>
        <v>98370.409999999989</v>
      </c>
      <c r="T1085" s="3">
        <f>Table1[[#This Row],[Net_Sales]]-Table1[[#This Row],[Product_Cost]]</f>
        <v>65589.713448103532</v>
      </c>
      <c r="U1085" s="3">
        <f>Table1[[#This Row],[Net_Sales]]-Table1[[#This Row],[Total_Cost]]</f>
        <v>47454.133448103545</v>
      </c>
      <c r="V1085" s="4">
        <f>Table1[[#This Row],[Net_Profit]]/Table1[[#This Row],[Net_Sales]]</f>
        <v>0.32541938638053519</v>
      </c>
      <c r="W1085" t="s">
        <v>33</v>
      </c>
      <c r="X1085" t="s">
        <v>1151</v>
      </c>
      <c r="Y1085">
        <v>10</v>
      </c>
      <c r="Z1085" t="str">
        <f>IF(Table1[[#This Row],[Month_No]]&lt;=6, "H1","H2")</f>
        <v>H2</v>
      </c>
    </row>
    <row r="1086" spans="1:26" x14ac:dyDescent="0.25">
      <c r="A1086" s="2">
        <v>45936</v>
      </c>
      <c r="B1086" t="s">
        <v>1168</v>
      </c>
      <c r="C1086" t="s">
        <v>36</v>
      </c>
      <c r="D1086" t="s">
        <v>37</v>
      </c>
      <c r="E1086" t="s">
        <v>38</v>
      </c>
      <c r="F1086" t="s">
        <v>52</v>
      </c>
      <c r="G1086" t="s">
        <v>40</v>
      </c>
      <c r="H1086" t="s">
        <v>41</v>
      </c>
      <c r="I1086">
        <v>51.989490072836517</v>
      </c>
      <c r="J1086" s="3">
        <v>4695.55</v>
      </c>
      <c r="K1086" s="3">
        <f>Table1[[#This Row],[Quantity]]*Table1[[#This Row],[Unit_Price]]</f>
        <v>244119.25011150751</v>
      </c>
      <c r="L1086" s="3">
        <v>8404.33</v>
      </c>
      <c r="M1086" s="3">
        <f>Table1[[#This Row],[Gross_Sales]]-Table1[[#This Row],[Discount]]</f>
        <v>235714.92011150753</v>
      </c>
      <c r="N1086" s="3">
        <v>155463.01</v>
      </c>
      <c r="O1086" s="3">
        <v>4703.38</v>
      </c>
      <c r="P1086" s="3">
        <v>11931.59</v>
      </c>
      <c r="Q1086" s="3">
        <v>6135.91</v>
      </c>
      <c r="R1086" s="3">
        <v>3094.4</v>
      </c>
      <c r="S1086" s="3">
        <f>SUM(Table1[[#This Row],[Product_Cost]:[Other_Cost]])</f>
        <v>181328.29</v>
      </c>
      <c r="T1086" s="3">
        <f>Table1[[#This Row],[Net_Sales]]-Table1[[#This Row],[Product_Cost]]</f>
        <v>80251.910111507517</v>
      </c>
      <c r="U1086" s="3">
        <f>Table1[[#This Row],[Net_Sales]]-Table1[[#This Row],[Total_Cost]]</f>
        <v>54386.630111507518</v>
      </c>
      <c r="V1086" s="4">
        <f>Table1[[#This Row],[Net_Profit]]/Table1[[#This Row],[Net_Sales]]</f>
        <v>0.23073053706477015</v>
      </c>
      <c r="W1086" t="s">
        <v>72</v>
      </c>
      <c r="X1086" t="s">
        <v>1151</v>
      </c>
      <c r="Y1086">
        <v>10</v>
      </c>
      <c r="Z1086" t="str">
        <f>IF(Table1[[#This Row],[Month_No]]&lt;=6, "H1","H2")</f>
        <v>H2</v>
      </c>
    </row>
    <row r="1087" spans="1:26" x14ac:dyDescent="0.25">
      <c r="A1087" s="2">
        <v>45936</v>
      </c>
      <c r="B1087" t="s">
        <v>1169</v>
      </c>
      <c r="C1087" t="s">
        <v>43</v>
      </c>
      <c r="D1087" t="s">
        <v>28</v>
      </c>
      <c r="E1087" t="s">
        <v>29</v>
      </c>
      <c r="F1087" t="s">
        <v>39</v>
      </c>
      <c r="G1087" t="s">
        <v>64</v>
      </c>
      <c r="H1087" t="s">
        <v>41</v>
      </c>
      <c r="I1087">
        <v>93.04912822613295</v>
      </c>
      <c r="J1087" s="3">
        <v>1290.78</v>
      </c>
      <c r="K1087" s="3">
        <f>Table1[[#This Row],[Quantity]]*Table1[[#This Row],[Unit_Price]]</f>
        <v>120105.95373172789</v>
      </c>
      <c r="L1087" s="3">
        <v>4005.61</v>
      </c>
      <c r="M1087" s="3">
        <f>Table1[[#This Row],[Gross_Sales]]-Table1[[#This Row],[Discount]]</f>
        <v>116100.34373172789</v>
      </c>
      <c r="N1087" s="3">
        <v>59071.3</v>
      </c>
      <c r="O1087" s="3">
        <v>2997.8</v>
      </c>
      <c r="P1087" s="3">
        <v>6745.43</v>
      </c>
      <c r="Q1087" s="3">
        <v>2139.61</v>
      </c>
      <c r="R1087" s="3">
        <v>1838.82</v>
      </c>
      <c r="S1087" s="3">
        <f>SUM(Table1[[#This Row],[Product_Cost]:[Other_Cost]])</f>
        <v>72792.960000000006</v>
      </c>
      <c r="T1087" s="3">
        <f>Table1[[#This Row],[Net_Sales]]-Table1[[#This Row],[Product_Cost]]</f>
        <v>57029.043731727885</v>
      </c>
      <c r="U1087" s="3">
        <f>Table1[[#This Row],[Net_Sales]]-Table1[[#This Row],[Total_Cost]]</f>
        <v>43307.383731727881</v>
      </c>
      <c r="V1087" s="4">
        <f>Table1[[#This Row],[Net_Profit]]/Table1[[#This Row],[Net_Sales]]</f>
        <v>0.37301684335920571</v>
      </c>
      <c r="W1087" t="s">
        <v>33</v>
      </c>
      <c r="X1087" t="s">
        <v>1151</v>
      </c>
      <c r="Y1087">
        <v>10</v>
      </c>
      <c r="Z1087" t="str">
        <f>IF(Table1[[#This Row],[Month_No]]&lt;=6, "H1","H2")</f>
        <v>H2</v>
      </c>
    </row>
    <row r="1088" spans="1:26" x14ac:dyDescent="0.25">
      <c r="A1088" s="2">
        <v>45936</v>
      </c>
      <c r="B1088" t="s">
        <v>1170</v>
      </c>
      <c r="C1088" t="s">
        <v>49</v>
      </c>
      <c r="D1088" t="s">
        <v>74</v>
      </c>
      <c r="E1088" t="s">
        <v>75</v>
      </c>
      <c r="F1088" t="s">
        <v>30</v>
      </c>
      <c r="G1088" t="s">
        <v>40</v>
      </c>
      <c r="H1088" t="s">
        <v>59</v>
      </c>
      <c r="I1088">
        <v>74.957897117840716</v>
      </c>
      <c r="J1088" s="3">
        <v>5685.78</v>
      </c>
      <c r="K1088" s="3">
        <f>Table1[[#This Row],[Quantity]]*Table1[[#This Row],[Unit_Price]]</f>
        <v>426194.11227467639</v>
      </c>
      <c r="L1088" s="3">
        <v>15106.95</v>
      </c>
      <c r="M1088" s="3">
        <f>Table1[[#This Row],[Gross_Sales]]-Table1[[#This Row],[Discount]]</f>
        <v>411087.16227467638</v>
      </c>
      <c r="N1088" s="3">
        <v>271453.38</v>
      </c>
      <c r="O1088" s="3">
        <v>11369.9</v>
      </c>
      <c r="P1088" s="3">
        <v>20497.419999999998</v>
      </c>
      <c r="Q1088" s="3">
        <v>8627.7800000000007</v>
      </c>
      <c r="R1088" s="3">
        <v>5603.19</v>
      </c>
      <c r="S1088" s="3">
        <f>SUM(Table1[[#This Row],[Product_Cost]:[Other_Cost]])</f>
        <v>317551.67000000004</v>
      </c>
      <c r="T1088" s="3">
        <f>Table1[[#This Row],[Net_Sales]]-Table1[[#This Row],[Product_Cost]]</f>
        <v>139633.78227467637</v>
      </c>
      <c r="U1088" s="3">
        <f>Table1[[#This Row],[Net_Sales]]-Table1[[#This Row],[Total_Cost]]</f>
        <v>93535.492274676333</v>
      </c>
      <c r="V1088" s="4">
        <f>Table1[[#This Row],[Net_Profit]]/Table1[[#This Row],[Net_Sales]]</f>
        <v>0.22753201962599517</v>
      </c>
      <c r="W1088" t="s">
        <v>33</v>
      </c>
      <c r="X1088" t="s">
        <v>1151</v>
      </c>
      <c r="Y1088">
        <v>10</v>
      </c>
      <c r="Z1088" t="str">
        <f>IF(Table1[[#This Row],[Month_No]]&lt;=6, "H1","H2")</f>
        <v>H2</v>
      </c>
    </row>
    <row r="1089" spans="1:26" x14ac:dyDescent="0.25">
      <c r="A1089" s="2">
        <v>45936</v>
      </c>
      <c r="B1089" t="s">
        <v>1171</v>
      </c>
      <c r="C1089" t="s">
        <v>117</v>
      </c>
      <c r="D1089" t="s">
        <v>66</v>
      </c>
      <c r="E1089" t="s">
        <v>51</v>
      </c>
      <c r="F1089" t="s">
        <v>52</v>
      </c>
      <c r="G1089" t="s">
        <v>61</v>
      </c>
      <c r="H1089" t="s">
        <v>59</v>
      </c>
      <c r="I1089">
        <v>58.036645443121209</v>
      </c>
      <c r="J1089" s="3">
        <v>1650.82</v>
      </c>
      <c r="K1089" s="3">
        <f>Table1[[#This Row],[Quantity]]*Table1[[#This Row],[Unit_Price]]</f>
        <v>95808.05503041335</v>
      </c>
      <c r="L1089" s="3">
        <v>3036.56</v>
      </c>
      <c r="M1089" s="3">
        <f>Table1[[#This Row],[Gross_Sales]]-Table1[[#This Row],[Discount]]</f>
        <v>92771.495030413353</v>
      </c>
      <c r="N1089" s="3">
        <v>43179.17</v>
      </c>
      <c r="O1089" s="3">
        <v>1430.64</v>
      </c>
      <c r="P1089" s="3">
        <v>5719.94</v>
      </c>
      <c r="Q1089" s="3">
        <v>2935.45</v>
      </c>
      <c r="R1089" s="3">
        <v>1364.06</v>
      </c>
      <c r="S1089" s="3">
        <f>SUM(Table1[[#This Row],[Product_Cost]:[Other_Cost]])</f>
        <v>54629.259999999995</v>
      </c>
      <c r="T1089" s="3">
        <f>Table1[[#This Row],[Net_Sales]]-Table1[[#This Row],[Product_Cost]]</f>
        <v>49592.325030413354</v>
      </c>
      <c r="U1089" s="3">
        <f>Table1[[#This Row],[Net_Sales]]-Table1[[#This Row],[Total_Cost]]</f>
        <v>38142.235030413358</v>
      </c>
      <c r="V1089" s="4">
        <f>Table1[[#This Row],[Net_Profit]]/Table1[[#This Row],[Net_Sales]]</f>
        <v>0.41114175230127703</v>
      </c>
      <c r="W1089" t="s">
        <v>33</v>
      </c>
      <c r="X1089" t="s">
        <v>1151</v>
      </c>
      <c r="Y1089">
        <v>10</v>
      </c>
      <c r="Z1089" t="str">
        <f>IF(Table1[[#This Row],[Month_No]]&lt;=6, "H1","H2")</f>
        <v>H2</v>
      </c>
    </row>
    <row r="1090" spans="1:26" x14ac:dyDescent="0.25">
      <c r="A1090" s="2">
        <v>45936</v>
      </c>
      <c r="B1090" t="s">
        <v>1172</v>
      </c>
      <c r="C1090" t="s">
        <v>107</v>
      </c>
      <c r="D1090" t="s">
        <v>74</v>
      </c>
      <c r="E1090" t="s">
        <v>75</v>
      </c>
      <c r="F1090" t="s">
        <v>39</v>
      </c>
      <c r="G1090" t="s">
        <v>61</v>
      </c>
      <c r="H1090" t="s">
        <v>47</v>
      </c>
      <c r="I1090">
        <v>90.369658641967689</v>
      </c>
      <c r="J1090" s="3">
        <v>6119.95</v>
      </c>
      <c r="K1090" s="3">
        <f>Table1[[#This Row],[Quantity]]*Table1[[#This Row],[Unit_Price]]</f>
        <v>553057.79240591009</v>
      </c>
      <c r="L1090" s="3">
        <v>22090.87</v>
      </c>
      <c r="M1090" s="3">
        <f>Table1[[#This Row],[Gross_Sales]]-Table1[[#This Row],[Discount]]</f>
        <v>530966.9224059101</v>
      </c>
      <c r="N1090" s="3">
        <v>360348.41</v>
      </c>
      <c r="O1090" s="3">
        <v>15681.28</v>
      </c>
      <c r="P1090" s="3">
        <v>29428.639999999999</v>
      </c>
      <c r="Q1090" s="3">
        <v>16496.650000000001</v>
      </c>
      <c r="R1090" s="3">
        <v>9405.59</v>
      </c>
      <c r="S1090" s="3">
        <f>SUM(Table1[[#This Row],[Product_Cost]:[Other_Cost]])</f>
        <v>431360.57000000007</v>
      </c>
      <c r="T1090" s="3">
        <f>Table1[[#This Row],[Net_Sales]]-Table1[[#This Row],[Product_Cost]]</f>
        <v>170618.51240591012</v>
      </c>
      <c r="U1090" s="3">
        <f>Table1[[#This Row],[Net_Sales]]-Table1[[#This Row],[Total_Cost]]</f>
        <v>99606.352405910031</v>
      </c>
      <c r="V1090" s="4">
        <f>Table1[[#This Row],[Net_Profit]]/Table1[[#This Row],[Net_Sales]]</f>
        <v>0.18759427038237161</v>
      </c>
      <c r="W1090" t="s">
        <v>72</v>
      </c>
      <c r="X1090" t="s">
        <v>1151</v>
      </c>
      <c r="Y1090">
        <v>10</v>
      </c>
      <c r="Z1090" t="str">
        <f>IF(Table1[[#This Row],[Month_No]]&lt;=6, "H1","H2")</f>
        <v>H2</v>
      </c>
    </row>
    <row r="1091" spans="1:26" x14ac:dyDescent="0.25">
      <c r="A1091" s="2">
        <v>45936</v>
      </c>
      <c r="B1091" t="s">
        <v>1173</v>
      </c>
      <c r="C1091" t="s">
        <v>63</v>
      </c>
      <c r="D1091" t="s">
        <v>66</v>
      </c>
      <c r="E1091" t="s">
        <v>51</v>
      </c>
      <c r="F1091" t="s">
        <v>30</v>
      </c>
      <c r="G1091" t="s">
        <v>64</v>
      </c>
      <c r="H1091" t="s">
        <v>59</v>
      </c>
      <c r="I1091">
        <v>29.514544735391301</v>
      </c>
      <c r="J1091" s="3">
        <v>1544.43</v>
      </c>
      <c r="K1091" s="3">
        <f>Table1[[#This Row],[Quantity]]*Table1[[#This Row],[Unit_Price]]</f>
        <v>45583.148325680391</v>
      </c>
      <c r="L1091" s="3">
        <v>1667.01</v>
      </c>
      <c r="M1091" s="3">
        <f>Table1[[#This Row],[Gross_Sales]]-Table1[[#This Row],[Discount]]</f>
        <v>43916.138325680389</v>
      </c>
      <c r="N1091" s="3">
        <v>20490.599999999999</v>
      </c>
      <c r="O1091" s="3">
        <v>1020.83</v>
      </c>
      <c r="P1091" s="3">
        <v>2165.64</v>
      </c>
      <c r="Q1091" s="3">
        <v>1336.71</v>
      </c>
      <c r="R1091" s="3">
        <v>899.38</v>
      </c>
      <c r="S1091" s="3">
        <f>SUM(Table1[[#This Row],[Product_Cost]:[Other_Cost]])</f>
        <v>25913.16</v>
      </c>
      <c r="T1091" s="3">
        <f>Table1[[#This Row],[Net_Sales]]-Table1[[#This Row],[Product_Cost]]</f>
        <v>23425.538325680391</v>
      </c>
      <c r="U1091" s="3">
        <f>Table1[[#This Row],[Net_Sales]]-Table1[[#This Row],[Total_Cost]]</f>
        <v>18002.978325680389</v>
      </c>
      <c r="V1091" s="4">
        <f>Table1[[#This Row],[Net_Profit]]/Table1[[#This Row],[Net_Sales]]</f>
        <v>0.4099399221345692</v>
      </c>
      <c r="W1091" t="s">
        <v>33</v>
      </c>
      <c r="X1091" t="s">
        <v>1151</v>
      </c>
      <c r="Y1091">
        <v>10</v>
      </c>
      <c r="Z1091" t="str">
        <f>IF(Table1[[#This Row],[Month_No]]&lt;=6, "H1","H2")</f>
        <v>H2</v>
      </c>
    </row>
    <row r="1092" spans="1:26" x14ac:dyDescent="0.25">
      <c r="A1092" s="2">
        <v>45936</v>
      </c>
      <c r="B1092" t="s">
        <v>1174</v>
      </c>
      <c r="C1092" t="s">
        <v>78</v>
      </c>
      <c r="D1092" t="s">
        <v>28</v>
      </c>
      <c r="E1092" t="s">
        <v>29</v>
      </c>
      <c r="F1092" t="s">
        <v>46</v>
      </c>
      <c r="G1092" t="s">
        <v>40</v>
      </c>
      <c r="H1092" t="s">
        <v>59</v>
      </c>
      <c r="I1092">
        <v>74.020381791354751</v>
      </c>
      <c r="J1092" s="3">
        <v>1274.3800000000001</v>
      </c>
      <c r="K1092" s="3">
        <f>Table1[[#This Row],[Quantity]]*Table1[[#This Row],[Unit_Price]]</f>
        <v>94330.094147266675</v>
      </c>
      <c r="L1092" s="3">
        <v>3869.05</v>
      </c>
      <c r="M1092" s="3">
        <f>Table1[[#This Row],[Gross_Sales]]-Table1[[#This Row],[Discount]]</f>
        <v>90461.044147266672</v>
      </c>
      <c r="N1092" s="3">
        <v>48943.95</v>
      </c>
      <c r="O1092" s="3">
        <v>2002.99</v>
      </c>
      <c r="P1092" s="3">
        <v>4452.43</v>
      </c>
      <c r="Q1092" s="3">
        <v>2268.14</v>
      </c>
      <c r="R1092" s="3">
        <v>1973.46</v>
      </c>
      <c r="S1092" s="3">
        <f>SUM(Table1[[#This Row],[Product_Cost]:[Other_Cost]])</f>
        <v>59640.969999999994</v>
      </c>
      <c r="T1092" s="3">
        <f>Table1[[#This Row],[Net_Sales]]-Table1[[#This Row],[Product_Cost]]</f>
        <v>41517.094147266675</v>
      </c>
      <c r="U1092" s="3">
        <f>Table1[[#This Row],[Net_Sales]]-Table1[[#This Row],[Total_Cost]]</f>
        <v>30820.074147266678</v>
      </c>
      <c r="V1092" s="4">
        <f>Table1[[#This Row],[Net_Profit]]/Table1[[#This Row],[Net_Sales]]</f>
        <v>0.34069996027342919</v>
      </c>
      <c r="W1092" t="s">
        <v>33</v>
      </c>
      <c r="X1092" t="s">
        <v>1151</v>
      </c>
      <c r="Y1092">
        <v>10</v>
      </c>
      <c r="Z1092" t="str">
        <f>IF(Table1[[#This Row],[Month_No]]&lt;=6, "H1","H2")</f>
        <v>H2</v>
      </c>
    </row>
    <row r="1093" spans="1:26" x14ac:dyDescent="0.25">
      <c r="A1093" s="2">
        <v>45937</v>
      </c>
      <c r="B1093" t="s">
        <v>1175</v>
      </c>
      <c r="C1093" t="s">
        <v>107</v>
      </c>
      <c r="D1093" t="s">
        <v>44</v>
      </c>
      <c r="E1093" t="s">
        <v>45</v>
      </c>
      <c r="F1093" t="s">
        <v>52</v>
      </c>
      <c r="G1093" t="s">
        <v>40</v>
      </c>
      <c r="H1093" t="s">
        <v>41</v>
      </c>
      <c r="I1093">
        <v>62.995267827474713</v>
      </c>
      <c r="J1093" s="3">
        <v>4596.3500000000004</v>
      </c>
      <c r="K1093" s="3">
        <f>Table1[[#This Row],[Quantity]]*Table1[[#This Row],[Unit_Price]]</f>
        <v>289548.29927881341</v>
      </c>
      <c r="L1093" s="3">
        <v>12020.86</v>
      </c>
      <c r="M1093" s="3">
        <f>Table1[[#This Row],[Gross_Sales]]-Table1[[#This Row],[Discount]]</f>
        <v>277527.43927881343</v>
      </c>
      <c r="N1093" s="3">
        <v>174406.43</v>
      </c>
      <c r="O1093" s="3">
        <v>4157.22</v>
      </c>
      <c r="P1093" s="3">
        <v>14090.42</v>
      </c>
      <c r="Q1093" s="3">
        <v>5163.78</v>
      </c>
      <c r="R1093" s="3">
        <v>3633.21</v>
      </c>
      <c r="S1093" s="3">
        <f>SUM(Table1[[#This Row],[Product_Cost]:[Other_Cost]])</f>
        <v>201451.06</v>
      </c>
      <c r="T1093" s="3">
        <f>Table1[[#This Row],[Net_Sales]]-Table1[[#This Row],[Product_Cost]]</f>
        <v>103121.00927881344</v>
      </c>
      <c r="U1093" s="3">
        <f>Table1[[#This Row],[Net_Sales]]-Table1[[#This Row],[Total_Cost]]</f>
        <v>76076.379278813431</v>
      </c>
      <c r="V1093" s="4">
        <f>Table1[[#This Row],[Net_Profit]]/Table1[[#This Row],[Net_Sales]]</f>
        <v>0.27412200925611729</v>
      </c>
      <c r="W1093" t="s">
        <v>33</v>
      </c>
      <c r="X1093" t="s">
        <v>1151</v>
      </c>
      <c r="Y1093">
        <v>10</v>
      </c>
      <c r="Z1093" t="str">
        <f>IF(Table1[[#This Row],[Month_No]]&lt;=6, "H1","H2")</f>
        <v>H2</v>
      </c>
    </row>
    <row r="1094" spans="1:26" x14ac:dyDescent="0.25">
      <c r="A1094" s="2">
        <v>45937</v>
      </c>
      <c r="B1094" t="s">
        <v>1176</v>
      </c>
      <c r="C1094" t="s">
        <v>43</v>
      </c>
      <c r="D1094" t="s">
        <v>28</v>
      </c>
      <c r="E1094" t="s">
        <v>29</v>
      </c>
      <c r="F1094" t="s">
        <v>46</v>
      </c>
      <c r="G1094" t="s">
        <v>58</v>
      </c>
      <c r="H1094" t="s">
        <v>59</v>
      </c>
      <c r="I1094">
        <v>64.685058397819887</v>
      </c>
      <c r="J1094" s="3">
        <v>1302.3900000000001</v>
      </c>
      <c r="K1094" s="3">
        <f>Table1[[#This Row],[Quantity]]*Table1[[#This Row],[Unit_Price]]</f>
        <v>84245.173206736654</v>
      </c>
      <c r="L1094" s="3">
        <v>2439.9</v>
      </c>
      <c r="M1094" s="3">
        <f>Table1[[#This Row],[Gross_Sales]]-Table1[[#This Row],[Discount]]</f>
        <v>81805.27320673666</v>
      </c>
      <c r="N1094" s="3">
        <v>44939.8</v>
      </c>
      <c r="O1094" s="3">
        <v>1689.91</v>
      </c>
      <c r="P1094" s="3">
        <v>4719.24</v>
      </c>
      <c r="Q1094" s="3">
        <v>2229.2399999999998</v>
      </c>
      <c r="R1094" s="3">
        <v>1772.27</v>
      </c>
      <c r="S1094" s="3">
        <f>SUM(Table1[[#This Row],[Product_Cost]:[Other_Cost]])</f>
        <v>55350.46</v>
      </c>
      <c r="T1094" s="3">
        <f>Table1[[#This Row],[Net_Sales]]-Table1[[#This Row],[Product_Cost]]</f>
        <v>36865.473206736657</v>
      </c>
      <c r="U1094" s="3">
        <f>Table1[[#This Row],[Net_Sales]]-Table1[[#This Row],[Total_Cost]]</f>
        <v>26454.813206736661</v>
      </c>
      <c r="V1094" s="4">
        <f>Table1[[#This Row],[Net_Profit]]/Table1[[#This Row],[Net_Sales]]</f>
        <v>0.32338762734622967</v>
      </c>
      <c r="W1094" t="s">
        <v>33</v>
      </c>
      <c r="X1094" t="s">
        <v>1151</v>
      </c>
      <c r="Y1094">
        <v>10</v>
      </c>
      <c r="Z1094" t="str">
        <f>IF(Table1[[#This Row],[Month_No]]&lt;=6, "H1","H2")</f>
        <v>H2</v>
      </c>
    </row>
    <row r="1095" spans="1:26" x14ac:dyDescent="0.25">
      <c r="A1095" s="2">
        <v>45937</v>
      </c>
      <c r="B1095" t="s">
        <v>1177</v>
      </c>
      <c r="C1095" t="s">
        <v>117</v>
      </c>
      <c r="D1095" t="s">
        <v>81</v>
      </c>
      <c r="E1095" t="s">
        <v>45</v>
      </c>
      <c r="F1095" t="s">
        <v>39</v>
      </c>
      <c r="G1095" t="s">
        <v>61</v>
      </c>
      <c r="H1095" t="s">
        <v>32</v>
      </c>
      <c r="I1095">
        <v>72.116308634017656</v>
      </c>
      <c r="J1095" s="3">
        <v>7385.78</v>
      </c>
      <c r="K1095" s="3">
        <f>Table1[[#This Row],[Quantity]]*Table1[[#This Row],[Unit_Price]]</f>
        <v>532635.18998295488</v>
      </c>
      <c r="L1095" s="3">
        <v>21326.51</v>
      </c>
      <c r="M1095" s="3">
        <f>Table1[[#This Row],[Gross_Sales]]-Table1[[#This Row],[Discount]]</f>
        <v>511308.67998295487</v>
      </c>
      <c r="N1095" s="3">
        <v>269781.31</v>
      </c>
      <c r="O1095" s="3">
        <v>14794.19</v>
      </c>
      <c r="P1095" s="3">
        <v>26847.17</v>
      </c>
      <c r="Q1095" s="3">
        <v>13470.3</v>
      </c>
      <c r="R1095" s="3">
        <v>7447.16</v>
      </c>
      <c r="S1095" s="3">
        <f>SUM(Table1[[#This Row],[Product_Cost]:[Other_Cost]])</f>
        <v>332340.12999999995</v>
      </c>
      <c r="T1095" s="3">
        <f>Table1[[#This Row],[Net_Sales]]-Table1[[#This Row],[Product_Cost]]</f>
        <v>241527.36998295487</v>
      </c>
      <c r="U1095" s="3">
        <f>Table1[[#This Row],[Net_Sales]]-Table1[[#This Row],[Total_Cost]]</f>
        <v>178968.54998295492</v>
      </c>
      <c r="V1095" s="4">
        <f>Table1[[#This Row],[Net_Profit]]/Table1[[#This Row],[Net_Sales]]</f>
        <v>0.35002055898781353</v>
      </c>
      <c r="W1095" t="s">
        <v>33</v>
      </c>
      <c r="X1095" t="s">
        <v>1151</v>
      </c>
      <c r="Y1095">
        <v>10</v>
      </c>
      <c r="Z1095" t="str">
        <f>IF(Table1[[#This Row],[Month_No]]&lt;=6, "H1","H2")</f>
        <v>H2</v>
      </c>
    </row>
    <row r="1096" spans="1:26" x14ac:dyDescent="0.25">
      <c r="A1096" s="2">
        <v>45937</v>
      </c>
      <c r="B1096" t="s">
        <v>1178</v>
      </c>
      <c r="C1096" t="s">
        <v>49</v>
      </c>
      <c r="D1096" t="s">
        <v>28</v>
      </c>
      <c r="E1096" t="s">
        <v>29</v>
      </c>
      <c r="F1096" t="s">
        <v>52</v>
      </c>
      <c r="G1096" t="s">
        <v>64</v>
      </c>
      <c r="H1096" t="s">
        <v>41</v>
      </c>
      <c r="I1096">
        <v>92.637554228413649</v>
      </c>
      <c r="J1096" s="3">
        <v>1201.6400000000001</v>
      </c>
      <c r="K1096" s="3">
        <f>Table1[[#This Row],[Quantity]]*Table1[[#This Row],[Unit_Price]]</f>
        <v>111316.99066303099</v>
      </c>
      <c r="L1096" s="3">
        <v>5757.56</v>
      </c>
      <c r="M1096" s="3">
        <f>Table1[[#This Row],[Gross_Sales]]-Table1[[#This Row],[Discount]]</f>
        <v>105559.43066303099</v>
      </c>
      <c r="N1096" s="3">
        <v>53366.35</v>
      </c>
      <c r="O1096" s="3">
        <v>2031.29</v>
      </c>
      <c r="P1096" s="3">
        <v>5721.26</v>
      </c>
      <c r="Q1096" s="3">
        <v>2350.69</v>
      </c>
      <c r="R1096" s="3">
        <v>2017.61</v>
      </c>
      <c r="S1096" s="3">
        <f>SUM(Table1[[#This Row],[Product_Cost]:[Other_Cost]])</f>
        <v>65487.200000000004</v>
      </c>
      <c r="T1096" s="3">
        <f>Table1[[#This Row],[Net_Sales]]-Table1[[#This Row],[Product_Cost]]</f>
        <v>52193.080663030989</v>
      </c>
      <c r="U1096" s="3">
        <f>Table1[[#This Row],[Net_Sales]]-Table1[[#This Row],[Total_Cost]]</f>
        <v>40072.230663030983</v>
      </c>
      <c r="V1096" s="4">
        <f>Table1[[#This Row],[Net_Profit]]/Table1[[#This Row],[Net_Sales]]</f>
        <v>0.37961772256000881</v>
      </c>
      <c r="W1096" t="s">
        <v>33</v>
      </c>
      <c r="X1096" t="s">
        <v>1151</v>
      </c>
      <c r="Y1096">
        <v>10</v>
      </c>
      <c r="Z1096" t="str">
        <f>IF(Table1[[#This Row],[Month_No]]&lt;=6, "H1","H2")</f>
        <v>H2</v>
      </c>
    </row>
    <row r="1097" spans="1:26" x14ac:dyDescent="0.25">
      <c r="A1097" s="2">
        <v>45938</v>
      </c>
      <c r="B1097" t="s">
        <v>1179</v>
      </c>
      <c r="C1097" t="s">
        <v>36</v>
      </c>
      <c r="D1097" t="s">
        <v>100</v>
      </c>
      <c r="E1097" t="s">
        <v>75</v>
      </c>
      <c r="F1097" t="s">
        <v>52</v>
      </c>
      <c r="G1097" t="s">
        <v>86</v>
      </c>
      <c r="H1097" t="s">
        <v>41</v>
      </c>
      <c r="I1097">
        <v>38.425814267509672</v>
      </c>
      <c r="J1097" s="3">
        <v>7559.9</v>
      </c>
      <c r="K1097" s="3">
        <f>Table1[[#This Row],[Quantity]]*Table1[[#This Row],[Unit_Price]]</f>
        <v>290495.31328094634</v>
      </c>
      <c r="L1097" s="3">
        <v>8932.8700000000008</v>
      </c>
      <c r="M1097" s="3">
        <f>Table1[[#This Row],[Gross_Sales]]-Table1[[#This Row],[Discount]]</f>
        <v>281562.44328094635</v>
      </c>
      <c r="N1097" s="3">
        <v>147510.1</v>
      </c>
      <c r="O1097" s="3">
        <v>4780.95</v>
      </c>
      <c r="P1097" s="3">
        <v>17296.53</v>
      </c>
      <c r="Q1097" s="3">
        <v>6097.69</v>
      </c>
      <c r="R1097" s="3">
        <v>4441.49</v>
      </c>
      <c r="S1097" s="3">
        <f>SUM(Table1[[#This Row],[Product_Cost]:[Other_Cost]])</f>
        <v>180126.76</v>
      </c>
      <c r="T1097" s="3">
        <f>Table1[[#This Row],[Net_Sales]]-Table1[[#This Row],[Product_Cost]]</f>
        <v>134052.34328094634</v>
      </c>
      <c r="U1097" s="3">
        <f>Table1[[#This Row],[Net_Sales]]-Table1[[#This Row],[Total_Cost]]</f>
        <v>101435.68328094634</v>
      </c>
      <c r="V1097" s="4">
        <f>Table1[[#This Row],[Net_Profit]]/Table1[[#This Row],[Net_Sales]]</f>
        <v>0.3602599909950796</v>
      </c>
      <c r="W1097" t="s">
        <v>33</v>
      </c>
      <c r="X1097" t="s">
        <v>1151</v>
      </c>
      <c r="Y1097">
        <v>10</v>
      </c>
      <c r="Z1097" t="str">
        <f>IF(Table1[[#This Row],[Month_No]]&lt;=6, "H1","H2")</f>
        <v>H2</v>
      </c>
    </row>
    <row r="1098" spans="1:26" x14ac:dyDescent="0.25">
      <c r="A1098" s="2">
        <v>45938</v>
      </c>
      <c r="B1098" t="s">
        <v>1180</v>
      </c>
      <c r="C1098" t="s">
        <v>27</v>
      </c>
      <c r="D1098" t="s">
        <v>183</v>
      </c>
      <c r="E1098" t="s">
        <v>38</v>
      </c>
      <c r="F1098" t="s">
        <v>46</v>
      </c>
      <c r="G1098" t="s">
        <v>61</v>
      </c>
      <c r="H1098" t="s">
        <v>47</v>
      </c>
      <c r="I1098">
        <v>27.02519271043025</v>
      </c>
      <c r="J1098" s="3">
        <v>7164.16</v>
      </c>
      <c r="K1098" s="3">
        <f>Table1[[#This Row],[Quantity]]*Table1[[#This Row],[Unit_Price]]</f>
        <v>193612.80460835597</v>
      </c>
      <c r="L1098" s="3">
        <v>6481.05</v>
      </c>
      <c r="M1098" s="3">
        <f>Table1[[#This Row],[Gross_Sales]]-Table1[[#This Row],[Discount]]</f>
        <v>187131.75460835599</v>
      </c>
      <c r="N1098" s="3">
        <v>100380.06</v>
      </c>
      <c r="O1098" s="3">
        <v>3724.99</v>
      </c>
      <c r="P1098" s="3">
        <v>10865.23</v>
      </c>
      <c r="Q1098" s="3">
        <v>3898.62</v>
      </c>
      <c r="R1098" s="3">
        <v>2377.21</v>
      </c>
      <c r="S1098" s="3">
        <f>SUM(Table1[[#This Row],[Product_Cost]:[Other_Cost]])</f>
        <v>121246.11</v>
      </c>
      <c r="T1098" s="3">
        <f>Table1[[#This Row],[Net_Sales]]-Table1[[#This Row],[Product_Cost]]</f>
        <v>86751.694608355989</v>
      </c>
      <c r="U1098" s="3">
        <f>Table1[[#This Row],[Net_Sales]]-Table1[[#This Row],[Total_Cost]]</f>
        <v>65885.644608355986</v>
      </c>
      <c r="V1098" s="4">
        <f>Table1[[#This Row],[Net_Profit]]/Table1[[#This Row],[Net_Sales]]</f>
        <v>0.35208158415575502</v>
      </c>
      <c r="W1098" t="s">
        <v>33</v>
      </c>
      <c r="X1098" t="s">
        <v>1151</v>
      </c>
      <c r="Y1098">
        <v>10</v>
      </c>
      <c r="Z1098" t="str">
        <f>IF(Table1[[#This Row],[Month_No]]&lt;=6, "H1","H2")</f>
        <v>H2</v>
      </c>
    </row>
    <row r="1099" spans="1:26" x14ac:dyDescent="0.25">
      <c r="A1099" s="2">
        <v>45938</v>
      </c>
      <c r="B1099" t="s">
        <v>1181</v>
      </c>
      <c r="C1099" t="s">
        <v>43</v>
      </c>
      <c r="D1099" t="s">
        <v>44</v>
      </c>
      <c r="E1099" t="s">
        <v>45</v>
      </c>
      <c r="F1099" t="s">
        <v>39</v>
      </c>
      <c r="G1099" t="s">
        <v>86</v>
      </c>
      <c r="H1099" t="s">
        <v>59</v>
      </c>
      <c r="I1099">
        <v>64.840917333117432</v>
      </c>
      <c r="J1099" s="3">
        <v>4873.55</v>
      </c>
      <c r="K1099" s="3">
        <f>Table1[[#This Row],[Quantity]]*Table1[[#This Row],[Unit_Price]]</f>
        <v>316005.45266881445</v>
      </c>
      <c r="L1099" s="3">
        <v>7859.38</v>
      </c>
      <c r="M1099" s="3">
        <f>Table1[[#This Row],[Gross_Sales]]-Table1[[#This Row],[Discount]]</f>
        <v>308146.07266881445</v>
      </c>
      <c r="N1099" s="3">
        <v>192892.95</v>
      </c>
      <c r="O1099" s="3">
        <v>9657.1299999999992</v>
      </c>
      <c r="P1099" s="3">
        <v>18544.29</v>
      </c>
      <c r="Q1099" s="3">
        <v>9034.82</v>
      </c>
      <c r="R1099" s="3">
        <v>6577.32</v>
      </c>
      <c r="S1099" s="3">
        <f>SUM(Table1[[#This Row],[Product_Cost]:[Other_Cost]])</f>
        <v>236706.51000000004</v>
      </c>
      <c r="T1099" s="3">
        <f>Table1[[#This Row],[Net_Sales]]-Table1[[#This Row],[Product_Cost]]</f>
        <v>115253.12266881444</v>
      </c>
      <c r="U1099" s="3">
        <f>Table1[[#This Row],[Net_Sales]]-Table1[[#This Row],[Total_Cost]]</f>
        <v>71439.562668814411</v>
      </c>
      <c r="V1099" s="4">
        <f>Table1[[#This Row],[Net_Profit]]/Table1[[#This Row],[Net_Sales]]</f>
        <v>0.23183668073418989</v>
      </c>
      <c r="W1099" t="s">
        <v>33</v>
      </c>
      <c r="X1099" t="s">
        <v>1151</v>
      </c>
      <c r="Y1099">
        <v>10</v>
      </c>
      <c r="Z1099" t="str">
        <f>IF(Table1[[#This Row],[Month_No]]&lt;=6, "H1","H2")</f>
        <v>H2</v>
      </c>
    </row>
    <row r="1100" spans="1:26" x14ac:dyDescent="0.25">
      <c r="A1100" s="2">
        <v>45938</v>
      </c>
      <c r="B1100" t="s">
        <v>1182</v>
      </c>
      <c r="C1100" t="s">
        <v>83</v>
      </c>
      <c r="D1100" t="s">
        <v>56</v>
      </c>
      <c r="E1100" t="s">
        <v>57</v>
      </c>
      <c r="F1100" t="s">
        <v>52</v>
      </c>
      <c r="G1100" t="s">
        <v>61</v>
      </c>
      <c r="H1100" t="s">
        <v>59</v>
      </c>
      <c r="I1100">
        <v>42.240511510025023</v>
      </c>
      <c r="J1100" s="3">
        <v>3496.28</v>
      </c>
      <c r="K1100" s="3">
        <f>Table1[[#This Row],[Quantity]]*Table1[[#This Row],[Unit_Price]]</f>
        <v>147684.65558227029</v>
      </c>
      <c r="L1100" s="3">
        <v>5241.6499999999996</v>
      </c>
      <c r="M1100" s="3">
        <f>Table1[[#This Row],[Gross_Sales]]-Table1[[#This Row],[Discount]]</f>
        <v>142443.0055822703</v>
      </c>
      <c r="N1100" s="3">
        <v>77184.710000000006</v>
      </c>
      <c r="O1100" s="3">
        <v>2860.96</v>
      </c>
      <c r="P1100" s="3">
        <v>8799.26</v>
      </c>
      <c r="Q1100" s="3">
        <v>4172.82</v>
      </c>
      <c r="R1100" s="3">
        <v>2890.37</v>
      </c>
      <c r="S1100" s="3">
        <f>SUM(Table1[[#This Row],[Product_Cost]:[Other_Cost]])</f>
        <v>95908.12</v>
      </c>
      <c r="T1100" s="3">
        <f>Table1[[#This Row],[Net_Sales]]-Table1[[#This Row],[Product_Cost]]</f>
        <v>65258.295582270293</v>
      </c>
      <c r="U1100" s="3">
        <f>Table1[[#This Row],[Net_Sales]]-Table1[[#This Row],[Total_Cost]]</f>
        <v>46534.885582270304</v>
      </c>
      <c r="V1100" s="4">
        <f>Table1[[#This Row],[Net_Profit]]/Table1[[#This Row],[Net_Sales]]</f>
        <v>0.32669126428530265</v>
      </c>
      <c r="W1100" t="s">
        <v>33</v>
      </c>
      <c r="X1100" t="s">
        <v>1151</v>
      </c>
      <c r="Y1100">
        <v>10</v>
      </c>
      <c r="Z1100" t="str">
        <f>IF(Table1[[#This Row],[Month_No]]&lt;=6, "H1","H2")</f>
        <v>H2</v>
      </c>
    </row>
    <row r="1101" spans="1:26" x14ac:dyDescent="0.25">
      <c r="A1101" s="2">
        <v>45939</v>
      </c>
      <c r="B1101" t="s">
        <v>1183</v>
      </c>
      <c r="C1101" t="s">
        <v>63</v>
      </c>
      <c r="D1101" t="s">
        <v>28</v>
      </c>
      <c r="E1101" t="s">
        <v>29</v>
      </c>
      <c r="F1101" t="s">
        <v>46</v>
      </c>
      <c r="G1101" t="s">
        <v>58</v>
      </c>
      <c r="H1101" t="s">
        <v>32</v>
      </c>
      <c r="I1101">
        <v>67.773334939213854</v>
      </c>
      <c r="J1101" s="3">
        <v>1283.67</v>
      </c>
      <c r="K1101" s="3">
        <f>Table1[[#This Row],[Quantity]]*Table1[[#This Row],[Unit_Price]]</f>
        <v>86998.59686142065</v>
      </c>
      <c r="L1101" s="3">
        <v>3321.84</v>
      </c>
      <c r="M1101" s="3">
        <f>Table1[[#This Row],[Gross_Sales]]-Table1[[#This Row],[Discount]]</f>
        <v>83676.756861420654</v>
      </c>
      <c r="N1101" s="3">
        <v>43169.63</v>
      </c>
      <c r="O1101" s="3">
        <v>1789.7</v>
      </c>
      <c r="P1101" s="3">
        <v>4944.47</v>
      </c>
      <c r="Q1101" s="3">
        <v>1595.55</v>
      </c>
      <c r="R1101" s="3">
        <v>1783.31</v>
      </c>
      <c r="S1101" s="3">
        <f>SUM(Table1[[#This Row],[Product_Cost]:[Other_Cost]])</f>
        <v>53282.659999999996</v>
      </c>
      <c r="T1101" s="3">
        <f>Table1[[#This Row],[Net_Sales]]-Table1[[#This Row],[Product_Cost]]</f>
        <v>40507.126861420656</v>
      </c>
      <c r="U1101" s="3">
        <f>Table1[[#This Row],[Net_Sales]]-Table1[[#This Row],[Total_Cost]]</f>
        <v>30394.096861420658</v>
      </c>
      <c r="V1101" s="4">
        <f>Table1[[#This Row],[Net_Profit]]/Table1[[#This Row],[Net_Sales]]</f>
        <v>0.36323225231777501</v>
      </c>
      <c r="W1101" t="s">
        <v>33</v>
      </c>
      <c r="X1101" t="s">
        <v>1151</v>
      </c>
      <c r="Y1101">
        <v>10</v>
      </c>
      <c r="Z1101" t="str">
        <f>IF(Table1[[#This Row],[Month_No]]&lt;=6, "H1","H2")</f>
        <v>H2</v>
      </c>
    </row>
    <row r="1102" spans="1:26" x14ac:dyDescent="0.25">
      <c r="A1102" s="2">
        <v>45939</v>
      </c>
      <c r="B1102" t="s">
        <v>1184</v>
      </c>
      <c r="C1102" t="s">
        <v>70</v>
      </c>
      <c r="D1102" t="s">
        <v>28</v>
      </c>
      <c r="E1102" t="s">
        <v>29</v>
      </c>
      <c r="F1102" t="s">
        <v>39</v>
      </c>
      <c r="G1102" t="s">
        <v>61</v>
      </c>
      <c r="H1102" t="s">
        <v>47</v>
      </c>
      <c r="I1102">
        <v>57.286317862546639</v>
      </c>
      <c r="J1102" s="3">
        <v>1206.57</v>
      </c>
      <c r="K1102" s="3">
        <f>Table1[[#This Row],[Quantity]]*Table1[[#This Row],[Unit_Price]]</f>
        <v>69119.952543412888</v>
      </c>
      <c r="L1102" s="3">
        <v>2150.3200000000002</v>
      </c>
      <c r="M1102" s="3">
        <f>Table1[[#This Row],[Gross_Sales]]-Table1[[#This Row],[Discount]]</f>
        <v>66969.632543412881</v>
      </c>
      <c r="N1102" s="3">
        <v>35569.71</v>
      </c>
      <c r="O1102" s="3">
        <v>1784.83</v>
      </c>
      <c r="P1102" s="3">
        <v>3468.12</v>
      </c>
      <c r="Q1102" s="3">
        <v>1315.05</v>
      </c>
      <c r="R1102" s="3">
        <v>1313.63</v>
      </c>
      <c r="S1102" s="3">
        <f>SUM(Table1[[#This Row],[Product_Cost]:[Other_Cost]])</f>
        <v>43451.340000000004</v>
      </c>
      <c r="T1102" s="3">
        <f>Table1[[#This Row],[Net_Sales]]-Table1[[#This Row],[Product_Cost]]</f>
        <v>31399.922543412882</v>
      </c>
      <c r="U1102" s="3">
        <f>Table1[[#This Row],[Net_Sales]]-Table1[[#This Row],[Total_Cost]]</f>
        <v>23518.292543412877</v>
      </c>
      <c r="V1102" s="4">
        <f>Table1[[#This Row],[Net_Profit]]/Table1[[#This Row],[Net_Sales]]</f>
        <v>0.35117846179262235</v>
      </c>
      <c r="W1102" t="s">
        <v>33</v>
      </c>
      <c r="X1102" t="s">
        <v>1151</v>
      </c>
      <c r="Y1102">
        <v>10</v>
      </c>
      <c r="Z1102" t="str">
        <f>IF(Table1[[#This Row],[Month_No]]&lt;=6, "H1","H2")</f>
        <v>H2</v>
      </c>
    </row>
    <row r="1103" spans="1:26" x14ac:dyDescent="0.25">
      <c r="A1103" s="2">
        <v>45939</v>
      </c>
      <c r="B1103" t="s">
        <v>1185</v>
      </c>
      <c r="C1103" t="s">
        <v>70</v>
      </c>
      <c r="D1103" t="s">
        <v>44</v>
      </c>
      <c r="E1103" t="s">
        <v>45</v>
      </c>
      <c r="F1103" t="s">
        <v>39</v>
      </c>
      <c r="G1103" t="s">
        <v>71</v>
      </c>
      <c r="H1103" t="s">
        <v>47</v>
      </c>
      <c r="I1103">
        <v>72.557737886089754</v>
      </c>
      <c r="J1103" s="3">
        <v>4664.53</v>
      </c>
      <c r="K1103" s="3">
        <f>Table1[[#This Row],[Quantity]]*Table1[[#This Row],[Unit_Price]]</f>
        <v>338447.74510180223</v>
      </c>
      <c r="L1103" s="3">
        <v>14635.29</v>
      </c>
      <c r="M1103" s="3">
        <f>Table1[[#This Row],[Gross_Sales]]-Table1[[#This Row],[Discount]]</f>
        <v>323812.45510180225</v>
      </c>
      <c r="N1103" s="3">
        <v>217203.68</v>
      </c>
      <c r="O1103" s="3">
        <v>9322.76</v>
      </c>
      <c r="P1103" s="3">
        <v>15929.38</v>
      </c>
      <c r="Q1103" s="3">
        <v>8764.34</v>
      </c>
      <c r="R1103" s="3">
        <v>4787.54</v>
      </c>
      <c r="S1103" s="3">
        <f>SUM(Table1[[#This Row],[Product_Cost]:[Other_Cost]])</f>
        <v>256007.7</v>
      </c>
      <c r="T1103" s="3">
        <f>Table1[[#This Row],[Net_Sales]]-Table1[[#This Row],[Product_Cost]]</f>
        <v>106608.77510180225</v>
      </c>
      <c r="U1103" s="3">
        <f>Table1[[#This Row],[Net_Sales]]-Table1[[#This Row],[Total_Cost]]</f>
        <v>67804.755101802235</v>
      </c>
      <c r="V1103" s="4">
        <f>Table1[[#This Row],[Net_Profit]]/Table1[[#This Row],[Net_Sales]]</f>
        <v>0.20939514226061914</v>
      </c>
      <c r="W1103" t="s">
        <v>33</v>
      </c>
      <c r="X1103" t="s">
        <v>1151</v>
      </c>
      <c r="Y1103">
        <v>10</v>
      </c>
      <c r="Z1103" t="str">
        <f>IF(Table1[[#This Row],[Month_No]]&lt;=6, "H1","H2")</f>
        <v>H2</v>
      </c>
    </row>
    <row r="1104" spans="1:26" x14ac:dyDescent="0.25">
      <c r="A1104" s="2">
        <v>45940</v>
      </c>
      <c r="B1104" t="s">
        <v>1186</v>
      </c>
      <c r="C1104" t="s">
        <v>117</v>
      </c>
      <c r="D1104" t="s">
        <v>28</v>
      </c>
      <c r="E1104" t="s">
        <v>29</v>
      </c>
      <c r="F1104" t="s">
        <v>30</v>
      </c>
      <c r="G1104" t="s">
        <v>31</v>
      </c>
      <c r="H1104" t="s">
        <v>47</v>
      </c>
      <c r="I1104">
        <v>113.519789125001</v>
      </c>
      <c r="J1104" s="3">
        <v>1294.98</v>
      </c>
      <c r="K1104" s="3">
        <f>Table1[[#This Row],[Quantity]]*Table1[[#This Row],[Unit_Price]]</f>
        <v>147005.85652109378</v>
      </c>
      <c r="L1104" s="3">
        <v>6254.7</v>
      </c>
      <c r="M1104" s="3">
        <f>Table1[[#This Row],[Gross_Sales]]-Table1[[#This Row],[Discount]]</f>
        <v>140751.15652109377</v>
      </c>
      <c r="N1104" s="3">
        <v>70850.42</v>
      </c>
      <c r="O1104" s="3">
        <v>3831.93</v>
      </c>
      <c r="P1104" s="3">
        <v>7665.75</v>
      </c>
      <c r="Q1104" s="3">
        <v>2951.91</v>
      </c>
      <c r="R1104" s="3">
        <v>2188.5700000000002</v>
      </c>
      <c r="S1104" s="3">
        <f>SUM(Table1[[#This Row],[Product_Cost]:[Other_Cost]])</f>
        <v>87488.58</v>
      </c>
      <c r="T1104" s="3">
        <f>Table1[[#This Row],[Net_Sales]]-Table1[[#This Row],[Product_Cost]]</f>
        <v>69900.736521093771</v>
      </c>
      <c r="U1104" s="3">
        <f>Table1[[#This Row],[Net_Sales]]-Table1[[#This Row],[Total_Cost]]</f>
        <v>53262.576521093768</v>
      </c>
      <c r="V1104" s="4">
        <f>Table1[[#This Row],[Net_Profit]]/Table1[[#This Row],[Net_Sales]]</f>
        <v>0.37841661722411163</v>
      </c>
      <c r="W1104" t="s">
        <v>33</v>
      </c>
      <c r="X1104" t="s">
        <v>1151</v>
      </c>
      <c r="Y1104">
        <v>10</v>
      </c>
      <c r="Z1104" t="str">
        <f>IF(Table1[[#This Row],[Month_No]]&lt;=6, "H1","H2")</f>
        <v>H2</v>
      </c>
    </row>
    <row r="1105" spans="1:26" x14ac:dyDescent="0.25">
      <c r="A1105" s="2">
        <v>45940</v>
      </c>
      <c r="B1105" t="s">
        <v>1187</v>
      </c>
      <c r="C1105" t="s">
        <v>98</v>
      </c>
      <c r="D1105" t="s">
        <v>37</v>
      </c>
      <c r="E1105" t="s">
        <v>38</v>
      </c>
      <c r="F1105" t="s">
        <v>46</v>
      </c>
      <c r="G1105" t="s">
        <v>86</v>
      </c>
      <c r="H1105" t="s">
        <v>47</v>
      </c>
      <c r="I1105">
        <v>48.86960959266203</v>
      </c>
      <c r="J1105" s="3">
        <v>4584.29</v>
      </c>
      <c r="K1105" s="3">
        <f>Table1[[#This Row],[Quantity]]*Table1[[#This Row],[Unit_Price]]</f>
        <v>224032.46255954463</v>
      </c>
      <c r="L1105" s="3">
        <v>9110.49</v>
      </c>
      <c r="M1105" s="3">
        <f>Table1[[#This Row],[Gross_Sales]]-Table1[[#This Row],[Discount]]</f>
        <v>214921.97255954464</v>
      </c>
      <c r="N1105" s="3">
        <v>140718.18</v>
      </c>
      <c r="O1105" s="3">
        <v>4870.9399999999996</v>
      </c>
      <c r="P1105" s="3">
        <v>13195.29</v>
      </c>
      <c r="Q1105" s="3">
        <v>3966.31</v>
      </c>
      <c r="R1105" s="3">
        <v>2774.16</v>
      </c>
      <c r="S1105" s="3">
        <f>SUM(Table1[[#This Row],[Product_Cost]:[Other_Cost]])</f>
        <v>165524.88</v>
      </c>
      <c r="T1105" s="3">
        <f>Table1[[#This Row],[Net_Sales]]-Table1[[#This Row],[Product_Cost]]</f>
        <v>74203.792559544643</v>
      </c>
      <c r="U1105" s="3">
        <f>Table1[[#This Row],[Net_Sales]]-Table1[[#This Row],[Total_Cost]]</f>
        <v>49397.092559544632</v>
      </c>
      <c r="V1105" s="4">
        <f>Table1[[#This Row],[Net_Profit]]/Table1[[#This Row],[Net_Sales]]</f>
        <v>0.22983733106143464</v>
      </c>
      <c r="W1105" t="s">
        <v>33</v>
      </c>
      <c r="X1105" t="s">
        <v>1151</v>
      </c>
      <c r="Y1105">
        <v>10</v>
      </c>
      <c r="Z1105" t="str">
        <f>IF(Table1[[#This Row],[Month_No]]&lt;=6, "H1","H2")</f>
        <v>H2</v>
      </c>
    </row>
    <row r="1106" spans="1:26" x14ac:dyDescent="0.25">
      <c r="A1106" s="2">
        <v>45940</v>
      </c>
      <c r="B1106" t="s">
        <v>1188</v>
      </c>
      <c r="C1106" t="s">
        <v>55</v>
      </c>
      <c r="D1106" t="s">
        <v>68</v>
      </c>
      <c r="E1106" t="s">
        <v>29</v>
      </c>
      <c r="F1106" t="s">
        <v>52</v>
      </c>
      <c r="G1106" t="s">
        <v>61</v>
      </c>
      <c r="H1106" t="s">
        <v>59</v>
      </c>
      <c r="I1106">
        <v>119.548783772269</v>
      </c>
      <c r="J1106" s="3">
        <v>397.68</v>
      </c>
      <c r="K1106" s="3">
        <f>Table1[[#This Row],[Quantity]]*Table1[[#This Row],[Unit_Price]]</f>
        <v>47542.16033055594</v>
      </c>
      <c r="L1106" s="3">
        <v>1951.59</v>
      </c>
      <c r="M1106" s="3">
        <f>Table1[[#This Row],[Gross_Sales]]-Table1[[#This Row],[Discount]]</f>
        <v>45590.570330555944</v>
      </c>
      <c r="N1106" s="3">
        <v>33618.480000000003</v>
      </c>
      <c r="O1106" s="3">
        <v>801</v>
      </c>
      <c r="P1106" s="3">
        <v>2390.86</v>
      </c>
      <c r="Q1106" s="3">
        <v>1449.62</v>
      </c>
      <c r="R1106" s="3">
        <v>597.28</v>
      </c>
      <c r="S1106" s="3">
        <f>SUM(Table1[[#This Row],[Product_Cost]:[Other_Cost]])</f>
        <v>38857.240000000005</v>
      </c>
      <c r="T1106" s="3">
        <f>Table1[[#This Row],[Net_Sales]]-Table1[[#This Row],[Product_Cost]]</f>
        <v>11972.09033055594</v>
      </c>
      <c r="U1106" s="3">
        <f>Table1[[#This Row],[Net_Sales]]-Table1[[#This Row],[Total_Cost]]</f>
        <v>6733.3303305559384</v>
      </c>
      <c r="V1106" s="4">
        <f>Table1[[#This Row],[Net_Profit]]/Table1[[#This Row],[Net_Sales]]</f>
        <v>0.14769129409296053</v>
      </c>
      <c r="W1106" t="s">
        <v>33</v>
      </c>
      <c r="X1106" t="s">
        <v>1151</v>
      </c>
      <c r="Y1106">
        <v>10</v>
      </c>
      <c r="Z1106" t="str">
        <f>IF(Table1[[#This Row],[Month_No]]&lt;=6, "H1","H2")</f>
        <v>H2</v>
      </c>
    </row>
    <row r="1107" spans="1:26" x14ac:dyDescent="0.25">
      <c r="A1107" s="2">
        <v>45940</v>
      </c>
      <c r="B1107" t="s">
        <v>1189</v>
      </c>
      <c r="C1107" t="s">
        <v>36</v>
      </c>
      <c r="D1107" t="s">
        <v>28</v>
      </c>
      <c r="E1107" t="s">
        <v>29</v>
      </c>
      <c r="F1107" t="s">
        <v>52</v>
      </c>
      <c r="G1107" t="s">
        <v>71</v>
      </c>
      <c r="H1107" t="s">
        <v>59</v>
      </c>
      <c r="I1107">
        <v>73.434310623736408</v>
      </c>
      <c r="J1107" s="3">
        <v>1298.23</v>
      </c>
      <c r="K1107" s="3">
        <f>Table1[[#This Row],[Quantity]]*Table1[[#This Row],[Unit_Price]]</f>
        <v>95334.625081053324</v>
      </c>
      <c r="L1107" s="3">
        <v>2996.11</v>
      </c>
      <c r="M1107" s="3">
        <f>Table1[[#This Row],[Gross_Sales]]-Table1[[#This Row],[Discount]]</f>
        <v>92338.515081053323</v>
      </c>
      <c r="N1107" s="3">
        <v>49419.51</v>
      </c>
      <c r="O1107" s="3">
        <v>1704</v>
      </c>
      <c r="P1107" s="3">
        <v>4917.37</v>
      </c>
      <c r="Q1107" s="3">
        <v>1902.29</v>
      </c>
      <c r="R1107" s="3">
        <v>1494.49</v>
      </c>
      <c r="S1107" s="3">
        <f>SUM(Table1[[#This Row],[Product_Cost]:[Other_Cost]])</f>
        <v>59437.66</v>
      </c>
      <c r="T1107" s="3">
        <f>Table1[[#This Row],[Net_Sales]]-Table1[[#This Row],[Product_Cost]]</f>
        <v>42919.005081053321</v>
      </c>
      <c r="U1107" s="3">
        <f>Table1[[#This Row],[Net_Sales]]-Table1[[#This Row],[Total_Cost]]</f>
        <v>32900.85508105332</v>
      </c>
      <c r="V1107" s="4">
        <f>Table1[[#This Row],[Net_Profit]]/Table1[[#This Row],[Net_Sales]]</f>
        <v>0.35630695438597271</v>
      </c>
      <c r="W1107" t="s">
        <v>72</v>
      </c>
      <c r="X1107" t="s">
        <v>1151</v>
      </c>
      <c r="Y1107">
        <v>10</v>
      </c>
      <c r="Z1107" t="str">
        <f>IF(Table1[[#This Row],[Month_No]]&lt;=6, "H1","H2")</f>
        <v>H2</v>
      </c>
    </row>
    <row r="1108" spans="1:26" x14ac:dyDescent="0.25">
      <c r="A1108" s="2">
        <v>45941</v>
      </c>
      <c r="B1108" t="s">
        <v>1190</v>
      </c>
      <c r="C1108" t="s">
        <v>43</v>
      </c>
      <c r="D1108" t="s">
        <v>66</v>
      </c>
      <c r="E1108" t="s">
        <v>51</v>
      </c>
      <c r="F1108" t="s">
        <v>52</v>
      </c>
      <c r="G1108" t="s">
        <v>61</v>
      </c>
      <c r="H1108" t="s">
        <v>59</v>
      </c>
      <c r="I1108">
        <v>25.399825446479451</v>
      </c>
      <c r="J1108" s="3">
        <v>1549.11</v>
      </c>
      <c r="K1108" s="3">
        <f>Table1[[#This Row],[Quantity]]*Table1[[#This Row],[Unit_Price]]</f>
        <v>39347.123597395781</v>
      </c>
      <c r="L1108" s="3">
        <v>1492.08</v>
      </c>
      <c r="M1108" s="3">
        <f>Table1[[#This Row],[Gross_Sales]]-Table1[[#This Row],[Discount]]</f>
        <v>37855.043597395779</v>
      </c>
      <c r="N1108" s="3">
        <v>19396.580000000002</v>
      </c>
      <c r="O1108" s="3">
        <v>658.22</v>
      </c>
      <c r="P1108" s="3">
        <v>1819.06</v>
      </c>
      <c r="Q1108" s="3">
        <v>902.81</v>
      </c>
      <c r="R1108" s="3">
        <v>799.97</v>
      </c>
      <c r="S1108" s="3">
        <f>SUM(Table1[[#This Row],[Product_Cost]:[Other_Cost]])</f>
        <v>23576.640000000007</v>
      </c>
      <c r="T1108" s="3">
        <f>Table1[[#This Row],[Net_Sales]]-Table1[[#This Row],[Product_Cost]]</f>
        <v>18458.463597395777</v>
      </c>
      <c r="U1108" s="3">
        <f>Table1[[#This Row],[Net_Sales]]-Table1[[#This Row],[Total_Cost]]</f>
        <v>14278.403597395773</v>
      </c>
      <c r="V1108" s="4">
        <f>Table1[[#This Row],[Net_Profit]]/Table1[[#This Row],[Net_Sales]]</f>
        <v>0.37718629383319607</v>
      </c>
      <c r="W1108" t="s">
        <v>33</v>
      </c>
      <c r="X1108" t="s">
        <v>1151</v>
      </c>
      <c r="Y1108">
        <v>10</v>
      </c>
      <c r="Z1108" t="str">
        <f>IF(Table1[[#This Row],[Month_No]]&lt;=6, "H1","H2")</f>
        <v>H2</v>
      </c>
    </row>
    <row r="1109" spans="1:26" x14ac:dyDescent="0.25">
      <c r="A1109" s="2">
        <v>45941</v>
      </c>
      <c r="B1109" t="s">
        <v>1191</v>
      </c>
      <c r="C1109" t="s">
        <v>55</v>
      </c>
      <c r="D1109" t="s">
        <v>85</v>
      </c>
      <c r="E1109" t="s">
        <v>57</v>
      </c>
      <c r="F1109" t="s">
        <v>39</v>
      </c>
      <c r="G1109" t="s">
        <v>86</v>
      </c>
      <c r="H1109" t="s">
        <v>59</v>
      </c>
      <c r="I1109">
        <v>35.734672895477132</v>
      </c>
      <c r="J1109" s="3">
        <v>2049.5500000000002</v>
      </c>
      <c r="K1109" s="3">
        <f>Table1[[#This Row],[Quantity]]*Table1[[#This Row],[Unit_Price]]</f>
        <v>73239.998832925165</v>
      </c>
      <c r="L1109" s="3">
        <v>1890.41</v>
      </c>
      <c r="M1109" s="3">
        <f>Table1[[#This Row],[Gross_Sales]]-Table1[[#This Row],[Discount]]</f>
        <v>71349.588832925161</v>
      </c>
      <c r="N1109" s="3">
        <v>43568.72</v>
      </c>
      <c r="O1109" s="3">
        <v>1799.33</v>
      </c>
      <c r="P1109" s="3">
        <v>3470.74</v>
      </c>
      <c r="Q1109" s="3">
        <v>1509.81</v>
      </c>
      <c r="R1109" s="3">
        <v>1297.9000000000001</v>
      </c>
      <c r="S1109" s="3">
        <f>SUM(Table1[[#This Row],[Product_Cost]:[Other_Cost]])</f>
        <v>51646.5</v>
      </c>
      <c r="T1109" s="3">
        <f>Table1[[#This Row],[Net_Sales]]-Table1[[#This Row],[Product_Cost]]</f>
        <v>27780.86883292516</v>
      </c>
      <c r="U1109" s="3">
        <f>Table1[[#This Row],[Net_Sales]]-Table1[[#This Row],[Total_Cost]]</f>
        <v>19703.088832925161</v>
      </c>
      <c r="V1109" s="4">
        <f>Table1[[#This Row],[Net_Profit]]/Table1[[#This Row],[Net_Sales]]</f>
        <v>0.27614859672229708</v>
      </c>
      <c r="W1109" t="s">
        <v>33</v>
      </c>
      <c r="X1109" t="s">
        <v>1151</v>
      </c>
      <c r="Y1109">
        <v>10</v>
      </c>
      <c r="Z1109" t="str">
        <f>IF(Table1[[#This Row],[Month_No]]&lt;=6, "H1","H2")</f>
        <v>H2</v>
      </c>
    </row>
    <row r="1110" spans="1:26" x14ac:dyDescent="0.25">
      <c r="A1110" s="2">
        <v>45941</v>
      </c>
      <c r="B1110" t="s">
        <v>1192</v>
      </c>
      <c r="C1110" t="s">
        <v>117</v>
      </c>
      <c r="D1110" t="s">
        <v>66</v>
      </c>
      <c r="E1110" t="s">
        <v>51</v>
      </c>
      <c r="F1110" t="s">
        <v>46</v>
      </c>
      <c r="G1110" t="s">
        <v>61</v>
      </c>
      <c r="H1110" t="s">
        <v>47</v>
      </c>
      <c r="I1110">
        <v>45.934442769515869</v>
      </c>
      <c r="J1110" s="3">
        <v>1630.42</v>
      </c>
      <c r="K1110" s="3">
        <f>Table1[[#This Row],[Quantity]]*Table1[[#This Row],[Unit_Price]]</f>
        <v>74892.434180274067</v>
      </c>
      <c r="L1110" s="3">
        <v>2326</v>
      </c>
      <c r="M1110" s="3">
        <f>Table1[[#This Row],[Gross_Sales]]-Table1[[#This Row],[Discount]]</f>
        <v>72566.434180274067</v>
      </c>
      <c r="N1110" s="3">
        <v>35597.31</v>
      </c>
      <c r="O1110" s="3">
        <v>1500.19</v>
      </c>
      <c r="P1110" s="3">
        <v>4213.03</v>
      </c>
      <c r="Q1110" s="3">
        <v>1474.35</v>
      </c>
      <c r="R1110" s="3">
        <v>913.72</v>
      </c>
      <c r="S1110" s="3">
        <f>SUM(Table1[[#This Row],[Product_Cost]:[Other_Cost]])</f>
        <v>43698.6</v>
      </c>
      <c r="T1110" s="3">
        <f>Table1[[#This Row],[Net_Sales]]-Table1[[#This Row],[Product_Cost]]</f>
        <v>36969.12418027407</v>
      </c>
      <c r="U1110" s="3">
        <f>Table1[[#This Row],[Net_Sales]]-Table1[[#This Row],[Total_Cost]]</f>
        <v>28867.834180274069</v>
      </c>
      <c r="V1110" s="4">
        <f>Table1[[#This Row],[Net_Profit]]/Table1[[#This Row],[Net_Sales]]</f>
        <v>0.39781249425262916</v>
      </c>
      <c r="W1110" t="s">
        <v>33</v>
      </c>
      <c r="X1110" t="s">
        <v>1151</v>
      </c>
      <c r="Y1110">
        <v>10</v>
      </c>
      <c r="Z1110" t="str">
        <f>IF(Table1[[#This Row],[Month_No]]&lt;=6, "H1","H2")</f>
        <v>H2</v>
      </c>
    </row>
    <row r="1111" spans="1:26" x14ac:dyDescent="0.25">
      <c r="A1111" s="2">
        <v>45941</v>
      </c>
      <c r="B1111" t="s">
        <v>1193</v>
      </c>
      <c r="C1111" t="s">
        <v>43</v>
      </c>
      <c r="D1111" t="s">
        <v>74</v>
      </c>
      <c r="E1111" t="s">
        <v>75</v>
      </c>
      <c r="F1111" t="s">
        <v>52</v>
      </c>
      <c r="G1111" t="s">
        <v>61</v>
      </c>
      <c r="H1111" t="s">
        <v>47</v>
      </c>
      <c r="I1111">
        <v>43.725644792783051</v>
      </c>
      <c r="J1111" s="3">
        <v>6195.95</v>
      </c>
      <c r="K1111" s="3">
        <f>Table1[[#This Row],[Quantity]]*Table1[[#This Row],[Unit_Price]]</f>
        <v>270921.90885384416</v>
      </c>
      <c r="L1111" s="3">
        <v>8165.95</v>
      </c>
      <c r="M1111" s="3">
        <f>Table1[[#This Row],[Gross_Sales]]-Table1[[#This Row],[Discount]]</f>
        <v>262755.95885384415</v>
      </c>
      <c r="N1111" s="3">
        <v>179471.94</v>
      </c>
      <c r="O1111" s="3">
        <v>5060.91</v>
      </c>
      <c r="P1111" s="3">
        <v>14269.11</v>
      </c>
      <c r="Q1111" s="3">
        <v>6436.34</v>
      </c>
      <c r="R1111" s="3">
        <v>5555.06</v>
      </c>
      <c r="S1111" s="3">
        <f>SUM(Table1[[#This Row],[Product_Cost]:[Other_Cost]])</f>
        <v>210793.36000000002</v>
      </c>
      <c r="T1111" s="3">
        <f>Table1[[#This Row],[Net_Sales]]-Table1[[#This Row],[Product_Cost]]</f>
        <v>83284.018853844143</v>
      </c>
      <c r="U1111" s="3">
        <f>Table1[[#This Row],[Net_Sales]]-Table1[[#This Row],[Total_Cost]]</f>
        <v>51962.598853844131</v>
      </c>
      <c r="V1111" s="4">
        <f>Table1[[#This Row],[Net_Profit]]/Table1[[#This Row],[Net_Sales]]</f>
        <v>0.19775992552369823</v>
      </c>
      <c r="W1111" t="s">
        <v>33</v>
      </c>
      <c r="X1111" t="s">
        <v>1151</v>
      </c>
      <c r="Y1111">
        <v>10</v>
      </c>
      <c r="Z1111" t="str">
        <f>IF(Table1[[#This Row],[Month_No]]&lt;=6, "H1","H2")</f>
        <v>H2</v>
      </c>
    </row>
    <row r="1112" spans="1:26" x14ac:dyDescent="0.25">
      <c r="A1112" s="2">
        <v>45941</v>
      </c>
      <c r="B1112" t="s">
        <v>1194</v>
      </c>
      <c r="C1112" t="s">
        <v>117</v>
      </c>
      <c r="D1112" t="s">
        <v>81</v>
      </c>
      <c r="E1112" t="s">
        <v>45</v>
      </c>
      <c r="F1112" t="s">
        <v>46</v>
      </c>
      <c r="G1112" t="s">
        <v>71</v>
      </c>
      <c r="H1112" t="s">
        <v>41</v>
      </c>
      <c r="I1112">
        <v>29.831858498118802</v>
      </c>
      <c r="J1112" s="3">
        <v>7332.79</v>
      </c>
      <c r="K1112" s="3">
        <f>Table1[[#This Row],[Quantity]]*Table1[[#This Row],[Unit_Price]]</f>
        <v>218750.75367642057</v>
      </c>
      <c r="L1112" s="3">
        <v>11485.6</v>
      </c>
      <c r="M1112" s="3">
        <f>Table1[[#This Row],[Gross_Sales]]-Table1[[#This Row],[Discount]]</f>
        <v>207265.15367642057</v>
      </c>
      <c r="N1112" s="3">
        <v>110158.01</v>
      </c>
      <c r="O1112" s="3">
        <v>4359.9399999999996</v>
      </c>
      <c r="P1112" s="3">
        <v>12719.33</v>
      </c>
      <c r="Q1112" s="3">
        <v>5810.79</v>
      </c>
      <c r="R1112" s="3">
        <v>3247.87</v>
      </c>
      <c r="S1112" s="3">
        <f>SUM(Table1[[#This Row],[Product_Cost]:[Other_Cost]])</f>
        <v>136295.94</v>
      </c>
      <c r="T1112" s="3">
        <f>Table1[[#This Row],[Net_Sales]]-Table1[[#This Row],[Product_Cost]]</f>
        <v>97107.143676420572</v>
      </c>
      <c r="U1112" s="3">
        <f>Table1[[#This Row],[Net_Sales]]-Table1[[#This Row],[Total_Cost]]</f>
        <v>70969.213676420564</v>
      </c>
      <c r="V1112" s="4">
        <f>Table1[[#This Row],[Net_Profit]]/Table1[[#This Row],[Net_Sales]]</f>
        <v>0.34240784047672912</v>
      </c>
      <c r="W1112" t="s">
        <v>33</v>
      </c>
      <c r="X1112" t="s">
        <v>1151</v>
      </c>
      <c r="Y1112">
        <v>10</v>
      </c>
      <c r="Z1112" t="str">
        <f>IF(Table1[[#This Row],[Month_No]]&lt;=6, "H1","H2")</f>
        <v>H2</v>
      </c>
    </row>
    <row r="1113" spans="1:26" x14ac:dyDescent="0.25">
      <c r="A1113" s="2">
        <v>45942</v>
      </c>
      <c r="B1113" t="s">
        <v>1195</v>
      </c>
      <c r="C1113" t="s">
        <v>63</v>
      </c>
      <c r="D1113" t="s">
        <v>68</v>
      </c>
      <c r="E1113" t="s">
        <v>29</v>
      </c>
      <c r="F1113" t="s">
        <v>52</v>
      </c>
      <c r="G1113" t="s">
        <v>71</v>
      </c>
      <c r="H1113" t="s">
        <v>47</v>
      </c>
      <c r="I1113">
        <v>137.9849105528439</v>
      </c>
      <c r="J1113" s="3">
        <v>384.88</v>
      </c>
      <c r="K1113" s="3">
        <f>Table1[[#This Row],[Quantity]]*Table1[[#This Row],[Unit_Price]]</f>
        <v>53107.632373578563</v>
      </c>
      <c r="L1113" s="3">
        <v>2110.37</v>
      </c>
      <c r="M1113" s="3">
        <f>Table1[[#This Row],[Gross_Sales]]-Table1[[#This Row],[Discount]]</f>
        <v>50997.26237357856</v>
      </c>
      <c r="N1113" s="3">
        <v>36085.46</v>
      </c>
      <c r="O1113" s="3">
        <v>907.99</v>
      </c>
      <c r="P1113" s="3">
        <v>3082.71</v>
      </c>
      <c r="Q1113" s="3">
        <v>1226.78</v>
      </c>
      <c r="R1113" s="3">
        <v>1073.44</v>
      </c>
      <c r="S1113" s="3">
        <f>SUM(Table1[[#This Row],[Product_Cost]:[Other_Cost]])</f>
        <v>42376.38</v>
      </c>
      <c r="T1113" s="3">
        <f>Table1[[#This Row],[Net_Sales]]-Table1[[#This Row],[Product_Cost]]</f>
        <v>14911.802373578561</v>
      </c>
      <c r="U1113" s="3">
        <f>Table1[[#This Row],[Net_Sales]]-Table1[[#This Row],[Total_Cost]]</f>
        <v>8620.8823735785627</v>
      </c>
      <c r="V1113" s="4">
        <f>Table1[[#This Row],[Net_Profit]]/Table1[[#This Row],[Net_Sales]]</f>
        <v>0.16904598349665531</v>
      </c>
      <c r="W1113" t="s">
        <v>33</v>
      </c>
      <c r="X1113" t="s">
        <v>1151</v>
      </c>
      <c r="Y1113">
        <v>10</v>
      </c>
      <c r="Z1113" t="str">
        <f>IF(Table1[[#This Row],[Month_No]]&lt;=6, "H1","H2")</f>
        <v>H2</v>
      </c>
    </row>
    <row r="1114" spans="1:26" x14ac:dyDescent="0.25">
      <c r="A1114" s="2">
        <v>45942</v>
      </c>
      <c r="B1114" t="s">
        <v>1196</v>
      </c>
      <c r="C1114" t="s">
        <v>55</v>
      </c>
      <c r="D1114" t="s">
        <v>28</v>
      </c>
      <c r="E1114" t="s">
        <v>29</v>
      </c>
      <c r="F1114" t="s">
        <v>52</v>
      </c>
      <c r="G1114" t="s">
        <v>61</v>
      </c>
      <c r="H1114" t="s">
        <v>47</v>
      </c>
      <c r="I1114">
        <v>26.88197219561377</v>
      </c>
      <c r="J1114" s="3">
        <v>1286.23</v>
      </c>
      <c r="K1114" s="3">
        <f>Table1[[#This Row],[Quantity]]*Table1[[#This Row],[Unit_Price]]</f>
        <v>34576.3990971643</v>
      </c>
      <c r="L1114" s="3">
        <v>1326.95</v>
      </c>
      <c r="M1114" s="3">
        <f>Table1[[#This Row],[Gross_Sales]]-Table1[[#This Row],[Discount]]</f>
        <v>33249.449097164303</v>
      </c>
      <c r="N1114" s="3">
        <v>17182.39</v>
      </c>
      <c r="O1114" s="3">
        <v>559.66</v>
      </c>
      <c r="P1114" s="3">
        <v>1693.66</v>
      </c>
      <c r="Q1114" s="3">
        <v>710.11</v>
      </c>
      <c r="R1114" s="3">
        <v>699.67</v>
      </c>
      <c r="S1114" s="3">
        <f>SUM(Table1[[#This Row],[Product_Cost]:[Other_Cost]])</f>
        <v>20845.489999999998</v>
      </c>
      <c r="T1114" s="3">
        <f>Table1[[#This Row],[Net_Sales]]-Table1[[#This Row],[Product_Cost]]</f>
        <v>16067.059097164303</v>
      </c>
      <c r="U1114" s="3">
        <f>Table1[[#This Row],[Net_Sales]]-Table1[[#This Row],[Total_Cost]]</f>
        <v>12403.959097164305</v>
      </c>
      <c r="V1114" s="4">
        <f>Table1[[#This Row],[Net_Profit]]/Table1[[#This Row],[Net_Sales]]</f>
        <v>0.37305758242539372</v>
      </c>
      <c r="W1114" t="s">
        <v>33</v>
      </c>
      <c r="X1114" t="s">
        <v>1151</v>
      </c>
      <c r="Y1114">
        <v>10</v>
      </c>
      <c r="Z1114" t="str">
        <f>IF(Table1[[#This Row],[Month_No]]&lt;=6, "H1","H2")</f>
        <v>H2</v>
      </c>
    </row>
    <row r="1115" spans="1:26" x14ac:dyDescent="0.25">
      <c r="A1115" s="2">
        <v>45943</v>
      </c>
      <c r="B1115" t="s">
        <v>1197</v>
      </c>
      <c r="C1115" t="s">
        <v>98</v>
      </c>
      <c r="D1115" t="s">
        <v>50</v>
      </c>
      <c r="E1115" t="s">
        <v>51</v>
      </c>
      <c r="F1115" t="s">
        <v>46</v>
      </c>
      <c r="G1115" t="s">
        <v>76</v>
      </c>
      <c r="H1115" t="s">
        <v>47</v>
      </c>
      <c r="I1115">
        <v>57.841865412724083</v>
      </c>
      <c r="J1115" s="3">
        <v>898.85</v>
      </c>
      <c r="K1115" s="3">
        <f>Table1[[#This Row],[Quantity]]*Table1[[#This Row],[Unit_Price]]</f>
        <v>51991.160726227041</v>
      </c>
      <c r="L1115" s="3">
        <v>1430.98</v>
      </c>
      <c r="M1115" s="3">
        <f>Table1[[#This Row],[Gross_Sales]]-Table1[[#This Row],[Discount]]</f>
        <v>50560.180726227038</v>
      </c>
      <c r="N1115" s="3">
        <v>31112.6</v>
      </c>
      <c r="O1115" s="3">
        <v>1262.1199999999999</v>
      </c>
      <c r="P1115" s="3">
        <v>2558.41</v>
      </c>
      <c r="Q1115" s="3">
        <v>966.67</v>
      </c>
      <c r="R1115" s="3">
        <v>896.31</v>
      </c>
      <c r="S1115" s="3">
        <f>SUM(Table1[[#This Row],[Product_Cost]:[Other_Cost]])</f>
        <v>36796.109999999993</v>
      </c>
      <c r="T1115" s="3">
        <f>Table1[[#This Row],[Net_Sales]]-Table1[[#This Row],[Product_Cost]]</f>
        <v>19447.580726227039</v>
      </c>
      <c r="U1115" s="3">
        <f>Table1[[#This Row],[Net_Sales]]-Table1[[#This Row],[Total_Cost]]</f>
        <v>13764.070726227044</v>
      </c>
      <c r="V1115" s="4">
        <f>Table1[[#This Row],[Net_Profit]]/Table1[[#This Row],[Net_Sales]]</f>
        <v>0.27223143842694414</v>
      </c>
      <c r="W1115" t="s">
        <v>33</v>
      </c>
      <c r="X1115" t="s">
        <v>1151</v>
      </c>
      <c r="Y1115">
        <v>10</v>
      </c>
      <c r="Z1115" t="str">
        <f>IF(Table1[[#This Row],[Month_No]]&lt;=6, "H1","H2")</f>
        <v>H2</v>
      </c>
    </row>
    <row r="1116" spans="1:26" x14ac:dyDescent="0.25">
      <c r="A1116" s="2">
        <v>45943</v>
      </c>
      <c r="B1116" t="s">
        <v>1198</v>
      </c>
      <c r="C1116" t="s">
        <v>27</v>
      </c>
      <c r="D1116" t="s">
        <v>183</v>
      </c>
      <c r="E1116" t="s">
        <v>38</v>
      </c>
      <c r="F1116" t="s">
        <v>52</v>
      </c>
      <c r="G1116" t="s">
        <v>71</v>
      </c>
      <c r="H1116" t="s">
        <v>32</v>
      </c>
      <c r="I1116">
        <v>44.631103924383197</v>
      </c>
      <c r="J1116" s="3">
        <v>7322.26</v>
      </c>
      <c r="K1116" s="3">
        <f>Table1[[#This Row],[Quantity]]*Table1[[#This Row],[Unit_Price]]</f>
        <v>326800.54702135414</v>
      </c>
      <c r="L1116" s="3">
        <v>16886.7</v>
      </c>
      <c r="M1116" s="3">
        <f>Table1[[#This Row],[Gross_Sales]]-Table1[[#This Row],[Discount]]</f>
        <v>309913.84702135413</v>
      </c>
      <c r="N1116" s="3">
        <v>172055.77</v>
      </c>
      <c r="O1116" s="3">
        <v>6058.43</v>
      </c>
      <c r="P1116" s="3">
        <v>17970.38</v>
      </c>
      <c r="Q1116" s="3">
        <v>7822.42</v>
      </c>
      <c r="R1116" s="3">
        <v>4214.38</v>
      </c>
      <c r="S1116" s="3">
        <f>SUM(Table1[[#This Row],[Product_Cost]:[Other_Cost]])</f>
        <v>208121.38</v>
      </c>
      <c r="T1116" s="3">
        <f>Table1[[#This Row],[Net_Sales]]-Table1[[#This Row],[Product_Cost]]</f>
        <v>137858.07702135414</v>
      </c>
      <c r="U1116" s="3">
        <f>Table1[[#This Row],[Net_Sales]]-Table1[[#This Row],[Total_Cost]]</f>
        <v>101792.46702135412</v>
      </c>
      <c r="V1116" s="4">
        <f>Table1[[#This Row],[Net_Profit]]/Table1[[#This Row],[Net_Sales]]</f>
        <v>0.32845407844697005</v>
      </c>
      <c r="W1116" t="s">
        <v>33</v>
      </c>
      <c r="X1116" t="s">
        <v>1151</v>
      </c>
      <c r="Y1116">
        <v>10</v>
      </c>
      <c r="Z1116" t="str">
        <f>IF(Table1[[#This Row],[Month_No]]&lt;=6, "H1","H2")</f>
        <v>H2</v>
      </c>
    </row>
    <row r="1117" spans="1:26" x14ac:dyDescent="0.25">
      <c r="A1117" s="2">
        <v>45943</v>
      </c>
      <c r="B1117" t="s">
        <v>1199</v>
      </c>
      <c r="C1117" t="s">
        <v>36</v>
      </c>
      <c r="D1117" t="s">
        <v>81</v>
      </c>
      <c r="E1117" t="s">
        <v>45</v>
      </c>
      <c r="F1117" t="s">
        <v>30</v>
      </c>
      <c r="G1117" t="s">
        <v>40</v>
      </c>
      <c r="H1117" t="s">
        <v>41</v>
      </c>
      <c r="I1117">
        <v>30.81527209405316</v>
      </c>
      <c r="J1117" s="3">
        <v>7214.98</v>
      </c>
      <c r="K1117" s="3">
        <f>Table1[[#This Row],[Quantity]]*Table1[[#This Row],[Unit_Price]]</f>
        <v>222331.57185315166</v>
      </c>
      <c r="L1117" s="3">
        <v>8855.74</v>
      </c>
      <c r="M1117" s="3">
        <f>Table1[[#This Row],[Gross_Sales]]-Table1[[#This Row],[Discount]]</f>
        <v>213475.83185315167</v>
      </c>
      <c r="N1117" s="3">
        <v>112260.18</v>
      </c>
      <c r="O1117" s="3">
        <v>4462.33</v>
      </c>
      <c r="P1117" s="3">
        <v>10753.91</v>
      </c>
      <c r="Q1117" s="3">
        <v>5569.43</v>
      </c>
      <c r="R1117" s="3">
        <v>4635.0600000000004</v>
      </c>
      <c r="S1117" s="3">
        <f>SUM(Table1[[#This Row],[Product_Cost]:[Other_Cost]])</f>
        <v>137680.91</v>
      </c>
      <c r="T1117" s="3">
        <f>Table1[[#This Row],[Net_Sales]]-Table1[[#This Row],[Product_Cost]]</f>
        <v>101215.65185315168</v>
      </c>
      <c r="U1117" s="3">
        <f>Table1[[#This Row],[Net_Sales]]-Table1[[#This Row],[Total_Cost]]</f>
        <v>75794.921853151667</v>
      </c>
      <c r="V1117" s="4">
        <f>Table1[[#This Row],[Net_Profit]]/Table1[[#This Row],[Net_Sales]]</f>
        <v>0.35505153531988759</v>
      </c>
      <c r="W1117" t="s">
        <v>33</v>
      </c>
      <c r="X1117" t="s">
        <v>1151</v>
      </c>
      <c r="Y1117">
        <v>10</v>
      </c>
      <c r="Z1117" t="str">
        <f>IF(Table1[[#This Row],[Month_No]]&lt;=6, "H1","H2")</f>
        <v>H2</v>
      </c>
    </row>
    <row r="1118" spans="1:26" x14ac:dyDescent="0.25">
      <c r="A1118" s="2">
        <v>45944</v>
      </c>
      <c r="B1118" t="s">
        <v>1200</v>
      </c>
      <c r="C1118" t="s">
        <v>36</v>
      </c>
      <c r="D1118" t="s">
        <v>68</v>
      </c>
      <c r="E1118" t="s">
        <v>29</v>
      </c>
      <c r="F1118" t="s">
        <v>52</v>
      </c>
      <c r="G1118" t="s">
        <v>71</v>
      </c>
      <c r="H1118" t="s">
        <v>32</v>
      </c>
      <c r="I1118">
        <v>98.340394166229217</v>
      </c>
      <c r="J1118" s="3">
        <v>402.86</v>
      </c>
      <c r="K1118" s="3">
        <f>Table1[[#This Row],[Quantity]]*Table1[[#This Row],[Unit_Price]]</f>
        <v>39617.4111938071</v>
      </c>
      <c r="L1118" s="3">
        <v>2257.41</v>
      </c>
      <c r="M1118" s="3">
        <f>Table1[[#This Row],[Gross_Sales]]-Table1[[#This Row],[Discount]]</f>
        <v>37360.001193807097</v>
      </c>
      <c r="N1118" s="3">
        <v>27017.09</v>
      </c>
      <c r="O1118" s="3">
        <v>648.46</v>
      </c>
      <c r="P1118" s="3">
        <v>1833.47</v>
      </c>
      <c r="Q1118" s="3">
        <v>902.63</v>
      </c>
      <c r="R1118" s="3">
        <v>811.42</v>
      </c>
      <c r="S1118" s="3">
        <f>SUM(Table1[[#This Row],[Product_Cost]:[Other_Cost]])</f>
        <v>31213.07</v>
      </c>
      <c r="T1118" s="3">
        <f>Table1[[#This Row],[Net_Sales]]-Table1[[#This Row],[Product_Cost]]</f>
        <v>10342.911193807096</v>
      </c>
      <c r="U1118" s="3">
        <f>Table1[[#This Row],[Net_Sales]]-Table1[[#This Row],[Total_Cost]]</f>
        <v>6146.9311938070969</v>
      </c>
      <c r="V1118" s="4">
        <f>Table1[[#This Row],[Net_Profit]]/Table1[[#This Row],[Net_Sales]]</f>
        <v>0.16453241427695753</v>
      </c>
      <c r="W1118" t="s">
        <v>33</v>
      </c>
      <c r="X1118" t="s">
        <v>1151</v>
      </c>
      <c r="Y1118">
        <v>10</v>
      </c>
      <c r="Z1118" t="str">
        <f>IF(Table1[[#This Row],[Month_No]]&lt;=6, "H1","H2")</f>
        <v>H2</v>
      </c>
    </row>
    <row r="1119" spans="1:26" x14ac:dyDescent="0.25">
      <c r="A1119" s="2">
        <v>45944</v>
      </c>
      <c r="B1119" t="s">
        <v>1201</v>
      </c>
      <c r="C1119" t="s">
        <v>70</v>
      </c>
      <c r="D1119" t="s">
        <v>28</v>
      </c>
      <c r="E1119" t="s">
        <v>29</v>
      </c>
      <c r="F1119" t="s">
        <v>52</v>
      </c>
      <c r="G1119" t="s">
        <v>40</v>
      </c>
      <c r="H1119" t="s">
        <v>47</v>
      </c>
      <c r="I1119">
        <v>99.673915194096296</v>
      </c>
      <c r="J1119" s="3">
        <v>1287.4100000000001</v>
      </c>
      <c r="K1119" s="3">
        <f>Table1[[#This Row],[Quantity]]*Table1[[#This Row],[Unit_Price]]</f>
        <v>128321.19516003152</v>
      </c>
      <c r="L1119" s="3">
        <v>4933.47</v>
      </c>
      <c r="M1119" s="3">
        <f>Table1[[#This Row],[Gross_Sales]]-Table1[[#This Row],[Discount]]</f>
        <v>123387.72516003152</v>
      </c>
      <c r="N1119" s="3">
        <v>65253.91</v>
      </c>
      <c r="O1119" s="3">
        <v>2286.21</v>
      </c>
      <c r="P1119" s="3">
        <v>7199.42</v>
      </c>
      <c r="Q1119" s="3">
        <v>2568.79</v>
      </c>
      <c r="R1119" s="3">
        <v>1595.07</v>
      </c>
      <c r="S1119" s="3">
        <f>SUM(Table1[[#This Row],[Product_Cost]:[Other_Cost]])</f>
        <v>78903.400000000009</v>
      </c>
      <c r="T1119" s="3">
        <f>Table1[[#This Row],[Net_Sales]]-Table1[[#This Row],[Product_Cost]]</f>
        <v>58133.815160031518</v>
      </c>
      <c r="U1119" s="3">
        <f>Table1[[#This Row],[Net_Sales]]-Table1[[#This Row],[Total_Cost]]</f>
        <v>44484.325160031512</v>
      </c>
      <c r="V1119" s="4">
        <f>Table1[[#This Row],[Net_Profit]]/Table1[[#This Row],[Net_Sales]]</f>
        <v>0.36052472077215292</v>
      </c>
      <c r="W1119" t="s">
        <v>33</v>
      </c>
      <c r="X1119" t="s">
        <v>1151</v>
      </c>
      <c r="Y1119">
        <v>10</v>
      </c>
      <c r="Z1119" t="str">
        <f>IF(Table1[[#This Row],[Month_No]]&lt;=6, "H1","H2")</f>
        <v>H2</v>
      </c>
    </row>
    <row r="1120" spans="1:26" x14ac:dyDescent="0.25">
      <c r="A1120" s="2">
        <v>45944</v>
      </c>
      <c r="B1120" t="s">
        <v>1202</v>
      </c>
      <c r="C1120" t="s">
        <v>107</v>
      </c>
      <c r="D1120" t="s">
        <v>66</v>
      </c>
      <c r="E1120" t="s">
        <v>51</v>
      </c>
      <c r="F1120" t="s">
        <v>52</v>
      </c>
      <c r="G1120" t="s">
        <v>71</v>
      </c>
      <c r="H1120" t="s">
        <v>41</v>
      </c>
      <c r="I1120">
        <v>19.50231591635136</v>
      </c>
      <c r="J1120" s="3">
        <v>1616.36</v>
      </c>
      <c r="K1120" s="3">
        <f>Table1[[#This Row],[Quantity]]*Table1[[#This Row],[Unit_Price]]</f>
        <v>31522.763354553685</v>
      </c>
      <c r="L1120" s="3">
        <v>1156.18</v>
      </c>
      <c r="M1120" s="3">
        <f>Table1[[#This Row],[Gross_Sales]]-Table1[[#This Row],[Discount]]</f>
        <v>30366.583354553684</v>
      </c>
      <c r="N1120" s="3">
        <v>14168.99</v>
      </c>
      <c r="O1120" s="3">
        <v>529.28</v>
      </c>
      <c r="P1120" s="3">
        <v>1775.33</v>
      </c>
      <c r="Q1120" s="3">
        <v>642.13</v>
      </c>
      <c r="R1120" s="3">
        <v>537.99</v>
      </c>
      <c r="S1120" s="3">
        <f>SUM(Table1[[#This Row],[Product_Cost]:[Other_Cost]])</f>
        <v>17653.72</v>
      </c>
      <c r="T1120" s="3">
        <f>Table1[[#This Row],[Net_Sales]]-Table1[[#This Row],[Product_Cost]]</f>
        <v>16197.593354553685</v>
      </c>
      <c r="U1120" s="3">
        <f>Table1[[#This Row],[Net_Sales]]-Table1[[#This Row],[Total_Cost]]</f>
        <v>12712.863354553683</v>
      </c>
      <c r="V1120" s="4">
        <f>Table1[[#This Row],[Net_Profit]]/Table1[[#This Row],[Net_Sales]]</f>
        <v>0.41864648406839289</v>
      </c>
      <c r="W1120" t="s">
        <v>33</v>
      </c>
      <c r="X1120" t="s">
        <v>1151</v>
      </c>
      <c r="Y1120">
        <v>10</v>
      </c>
      <c r="Z1120" t="str">
        <f>IF(Table1[[#This Row],[Month_No]]&lt;=6, "H1","H2")</f>
        <v>H2</v>
      </c>
    </row>
    <row r="1121" spans="1:26" x14ac:dyDescent="0.25">
      <c r="A1121" s="2">
        <v>45944</v>
      </c>
      <c r="B1121" t="s">
        <v>1203</v>
      </c>
      <c r="C1121" t="s">
        <v>55</v>
      </c>
      <c r="D1121" t="s">
        <v>44</v>
      </c>
      <c r="E1121" t="s">
        <v>45</v>
      </c>
      <c r="F1121" t="s">
        <v>39</v>
      </c>
      <c r="G1121" t="s">
        <v>64</v>
      </c>
      <c r="H1121" t="s">
        <v>59</v>
      </c>
      <c r="I1121">
        <v>49.893402506669467</v>
      </c>
      <c r="J1121" s="3">
        <v>4706.45</v>
      </c>
      <c r="K1121" s="3">
        <f>Table1[[#This Row],[Quantity]]*Table1[[#This Row],[Unit_Price]]</f>
        <v>234820.80422751451</v>
      </c>
      <c r="L1121" s="3">
        <v>8765.2000000000007</v>
      </c>
      <c r="M1121" s="3">
        <f>Table1[[#This Row],[Gross_Sales]]-Table1[[#This Row],[Discount]]</f>
        <v>226055.6042275145</v>
      </c>
      <c r="N1121" s="3">
        <v>152069.34</v>
      </c>
      <c r="O1121" s="3">
        <v>6141.71</v>
      </c>
      <c r="P1121" s="3">
        <v>11971.62</v>
      </c>
      <c r="Q1121" s="3">
        <v>4934.2700000000004</v>
      </c>
      <c r="R1121" s="3">
        <v>4633.97</v>
      </c>
      <c r="S1121" s="3">
        <f>SUM(Table1[[#This Row],[Product_Cost]:[Other_Cost]])</f>
        <v>179750.90999999997</v>
      </c>
      <c r="T1121" s="3">
        <f>Table1[[#This Row],[Net_Sales]]-Table1[[#This Row],[Product_Cost]]</f>
        <v>73986.264227514504</v>
      </c>
      <c r="U1121" s="3">
        <f>Table1[[#This Row],[Net_Sales]]-Table1[[#This Row],[Total_Cost]]</f>
        <v>46304.694227514527</v>
      </c>
      <c r="V1121" s="4">
        <f>Table1[[#This Row],[Net_Profit]]/Table1[[#This Row],[Net_Sales]]</f>
        <v>0.20483763004128397</v>
      </c>
      <c r="W1121" t="s">
        <v>33</v>
      </c>
      <c r="X1121" t="s">
        <v>1151</v>
      </c>
      <c r="Y1121">
        <v>10</v>
      </c>
      <c r="Z1121" t="str">
        <f>IF(Table1[[#This Row],[Month_No]]&lt;=6, "H1","H2")</f>
        <v>H2</v>
      </c>
    </row>
    <row r="1122" spans="1:26" x14ac:dyDescent="0.25">
      <c r="A1122" s="2">
        <v>45945</v>
      </c>
      <c r="B1122" t="s">
        <v>1204</v>
      </c>
      <c r="C1122" t="s">
        <v>83</v>
      </c>
      <c r="D1122" t="s">
        <v>68</v>
      </c>
      <c r="E1122" t="s">
        <v>29</v>
      </c>
      <c r="F1122" t="s">
        <v>39</v>
      </c>
      <c r="G1122" t="s">
        <v>61</v>
      </c>
      <c r="H1122" t="s">
        <v>59</v>
      </c>
      <c r="I1122">
        <v>104.87582516753891</v>
      </c>
      <c r="J1122" s="3">
        <v>387.25</v>
      </c>
      <c r="K1122" s="3">
        <f>Table1[[#This Row],[Quantity]]*Table1[[#This Row],[Unit_Price]]</f>
        <v>40613.163296129438</v>
      </c>
      <c r="L1122" s="3">
        <v>1020.73</v>
      </c>
      <c r="M1122" s="3">
        <f>Table1[[#This Row],[Gross_Sales]]-Table1[[#This Row],[Discount]]</f>
        <v>39592.433296129435</v>
      </c>
      <c r="N1122" s="3">
        <v>28283.69</v>
      </c>
      <c r="O1122" s="3">
        <v>1138.5999999999999</v>
      </c>
      <c r="P1122" s="3">
        <v>2403.84</v>
      </c>
      <c r="Q1122" s="3">
        <v>970.21</v>
      </c>
      <c r="R1122" s="3">
        <v>531.71</v>
      </c>
      <c r="S1122" s="3">
        <f>SUM(Table1[[#This Row],[Product_Cost]:[Other_Cost]])</f>
        <v>33328.049999999996</v>
      </c>
      <c r="T1122" s="3">
        <f>Table1[[#This Row],[Net_Sales]]-Table1[[#This Row],[Product_Cost]]</f>
        <v>11308.743296129436</v>
      </c>
      <c r="U1122" s="3">
        <f>Table1[[#This Row],[Net_Sales]]-Table1[[#This Row],[Total_Cost]]</f>
        <v>6264.3832961294393</v>
      </c>
      <c r="V1122" s="4">
        <f>Table1[[#This Row],[Net_Profit]]/Table1[[#This Row],[Net_Sales]]</f>
        <v>0.15822173012897003</v>
      </c>
      <c r="W1122" t="s">
        <v>33</v>
      </c>
      <c r="X1122" t="s">
        <v>1151</v>
      </c>
      <c r="Y1122">
        <v>10</v>
      </c>
      <c r="Z1122" t="str">
        <f>IF(Table1[[#This Row],[Month_No]]&lt;=6, "H1","H2")</f>
        <v>H2</v>
      </c>
    </row>
    <row r="1123" spans="1:26" x14ac:dyDescent="0.25">
      <c r="A1123" s="2">
        <v>45945</v>
      </c>
      <c r="B1123" t="s">
        <v>1205</v>
      </c>
      <c r="C1123" t="s">
        <v>55</v>
      </c>
      <c r="D1123" t="s">
        <v>74</v>
      </c>
      <c r="E1123" t="s">
        <v>75</v>
      </c>
      <c r="F1123" t="s">
        <v>52</v>
      </c>
      <c r="G1123" t="s">
        <v>71</v>
      </c>
      <c r="H1123" t="s">
        <v>47</v>
      </c>
      <c r="I1123">
        <v>48.310506736208907</v>
      </c>
      <c r="J1123" s="3">
        <v>5868.36</v>
      </c>
      <c r="K1123" s="3">
        <f>Table1[[#This Row],[Quantity]]*Table1[[#This Row],[Unit_Price]]</f>
        <v>283503.44531049888</v>
      </c>
      <c r="L1123" s="3">
        <v>10154.36</v>
      </c>
      <c r="M1123" s="3">
        <f>Table1[[#This Row],[Gross_Sales]]-Table1[[#This Row],[Discount]]</f>
        <v>273349.08531049889</v>
      </c>
      <c r="N1123" s="3">
        <v>182399.35</v>
      </c>
      <c r="O1123" s="3">
        <v>5273.08</v>
      </c>
      <c r="P1123" s="3">
        <v>15786.13</v>
      </c>
      <c r="Q1123" s="3">
        <v>5287.77</v>
      </c>
      <c r="R1123" s="3">
        <v>4314.58</v>
      </c>
      <c r="S1123" s="3">
        <f>SUM(Table1[[#This Row],[Product_Cost]:[Other_Cost]])</f>
        <v>213060.90999999997</v>
      </c>
      <c r="T1123" s="3">
        <f>Table1[[#This Row],[Net_Sales]]-Table1[[#This Row],[Product_Cost]]</f>
        <v>90949.735310498887</v>
      </c>
      <c r="U1123" s="3">
        <f>Table1[[#This Row],[Net_Sales]]-Table1[[#This Row],[Total_Cost]]</f>
        <v>60288.175310498918</v>
      </c>
      <c r="V1123" s="4">
        <f>Table1[[#This Row],[Net_Profit]]/Table1[[#This Row],[Net_Sales]]</f>
        <v>0.22055378470360423</v>
      </c>
      <c r="W1123" t="s">
        <v>33</v>
      </c>
      <c r="X1123" t="s">
        <v>1151</v>
      </c>
      <c r="Y1123">
        <v>10</v>
      </c>
      <c r="Z1123" t="str">
        <f>IF(Table1[[#This Row],[Month_No]]&lt;=6, "H1","H2")</f>
        <v>H2</v>
      </c>
    </row>
    <row r="1124" spans="1:26" x14ac:dyDescent="0.25">
      <c r="A1124" s="2">
        <v>45945</v>
      </c>
      <c r="B1124" t="s">
        <v>1206</v>
      </c>
      <c r="C1124" t="s">
        <v>49</v>
      </c>
      <c r="D1124" t="s">
        <v>28</v>
      </c>
      <c r="E1124" t="s">
        <v>29</v>
      </c>
      <c r="F1124" t="s">
        <v>39</v>
      </c>
      <c r="G1124" t="s">
        <v>58</v>
      </c>
      <c r="H1124" t="s">
        <v>59</v>
      </c>
      <c r="I1124">
        <v>109.7266638323273</v>
      </c>
      <c r="J1124" s="3">
        <v>1277.1500000000001</v>
      </c>
      <c r="K1124" s="3">
        <f>Table1[[#This Row],[Quantity]]*Table1[[#This Row],[Unit_Price]]</f>
        <v>140137.40871345683</v>
      </c>
      <c r="L1124" s="3">
        <v>6288.39</v>
      </c>
      <c r="M1124" s="3">
        <f>Table1[[#This Row],[Gross_Sales]]-Table1[[#This Row],[Discount]]</f>
        <v>133849.01871345681</v>
      </c>
      <c r="N1124" s="3">
        <v>73612.399999999994</v>
      </c>
      <c r="O1124" s="3">
        <v>4004.79</v>
      </c>
      <c r="P1124" s="3">
        <v>7215.75</v>
      </c>
      <c r="Q1124" s="3">
        <v>3582.19</v>
      </c>
      <c r="R1124" s="3">
        <v>2040.77</v>
      </c>
      <c r="S1124" s="3">
        <f>SUM(Table1[[#This Row],[Product_Cost]:[Other_Cost]])</f>
        <v>90455.9</v>
      </c>
      <c r="T1124" s="3">
        <f>Table1[[#This Row],[Net_Sales]]-Table1[[#This Row],[Product_Cost]]</f>
        <v>60236.618713456817</v>
      </c>
      <c r="U1124" s="3">
        <f>Table1[[#This Row],[Net_Sales]]-Table1[[#This Row],[Total_Cost]]</f>
        <v>43393.118713456817</v>
      </c>
      <c r="V1124" s="4">
        <f>Table1[[#This Row],[Net_Profit]]/Table1[[#This Row],[Net_Sales]]</f>
        <v>0.32419452253402431</v>
      </c>
      <c r="W1124" t="s">
        <v>33</v>
      </c>
      <c r="X1124" t="s">
        <v>1151</v>
      </c>
      <c r="Y1124">
        <v>10</v>
      </c>
      <c r="Z1124" t="str">
        <f>IF(Table1[[#This Row],[Month_No]]&lt;=6, "H1","H2")</f>
        <v>H2</v>
      </c>
    </row>
    <row r="1125" spans="1:26" x14ac:dyDescent="0.25">
      <c r="A1125" s="2">
        <v>45945</v>
      </c>
      <c r="B1125" t="s">
        <v>1207</v>
      </c>
      <c r="C1125" t="s">
        <v>117</v>
      </c>
      <c r="D1125" t="s">
        <v>37</v>
      </c>
      <c r="E1125" t="s">
        <v>38</v>
      </c>
      <c r="F1125" t="s">
        <v>30</v>
      </c>
      <c r="G1125" t="s">
        <v>40</v>
      </c>
      <c r="H1125" t="s">
        <v>59</v>
      </c>
      <c r="I1125">
        <v>53.415088264171978</v>
      </c>
      <c r="J1125" s="3">
        <v>4916.26</v>
      </c>
      <c r="K1125" s="3">
        <f>Table1[[#This Row],[Quantity]]*Table1[[#This Row],[Unit_Price]]</f>
        <v>262602.46182961814</v>
      </c>
      <c r="L1125" s="3">
        <v>7504.73</v>
      </c>
      <c r="M1125" s="3">
        <f>Table1[[#This Row],[Gross_Sales]]-Table1[[#This Row],[Discount]]</f>
        <v>255097.73182961813</v>
      </c>
      <c r="N1125" s="3">
        <v>173116.37</v>
      </c>
      <c r="O1125" s="3">
        <v>5719.55</v>
      </c>
      <c r="P1125" s="3">
        <v>15643.13</v>
      </c>
      <c r="Q1125" s="3">
        <v>6714.5</v>
      </c>
      <c r="R1125" s="3">
        <v>4752.3999999999996</v>
      </c>
      <c r="S1125" s="3">
        <f>SUM(Table1[[#This Row],[Product_Cost]:[Other_Cost]])</f>
        <v>205945.94999999998</v>
      </c>
      <c r="T1125" s="3">
        <f>Table1[[#This Row],[Net_Sales]]-Table1[[#This Row],[Product_Cost]]</f>
        <v>81981.361829618138</v>
      </c>
      <c r="U1125" s="3">
        <f>Table1[[#This Row],[Net_Sales]]-Table1[[#This Row],[Total_Cost]]</f>
        <v>49151.78182961815</v>
      </c>
      <c r="V1125" s="4">
        <f>Table1[[#This Row],[Net_Profit]]/Table1[[#This Row],[Net_Sales]]</f>
        <v>0.19267823934415468</v>
      </c>
      <c r="W1125" t="s">
        <v>33</v>
      </c>
      <c r="X1125" t="s">
        <v>1151</v>
      </c>
      <c r="Y1125">
        <v>10</v>
      </c>
      <c r="Z1125" t="str">
        <f>IF(Table1[[#This Row],[Month_No]]&lt;=6, "H1","H2")</f>
        <v>H2</v>
      </c>
    </row>
    <row r="1126" spans="1:26" x14ac:dyDescent="0.25">
      <c r="A1126" s="2">
        <v>45945</v>
      </c>
      <c r="B1126" t="s">
        <v>1208</v>
      </c>
      <c r="C1126" t="s">
        <v>36</v>
      </c>
      <c r="D1126" t="s">
        <v>28</v>
      </c>
      <c r="E1126" t="s">
        <v>29</v>
      </c>
      <c r="F1126" t="s">
        <v>52</v>
      </c>
      <c r="G1126" t="s">
        <v>86</v>
      </c>
      <c r="H1126" t="s">
        <v>41</v>
      </c>
      <c r="I1126">
        <v>53.325499266898113</v>
      </c>
      <c r="J1126" s="3">
        <v>1266.6099999999999</v>
      </c>
      <c r="K1126" s="3">
        <f>Table1[[#This Row],[Quantity]]*Table1[[#This Row],[Unit_Price]]</f>
        <v>67542.610626445807</v>
      </c>
      <c r="L1126" s="3">
        <v>3164.95</v>
      </c>
      <c r="M1126" s="3">
        <f>Table1[[#This Row],[Gross_Sales]]-Table1[[#This Row],[Discount]]</f>
        <v>64377.66062644581</v>
      </c>
      <c r="N1126" s="3">
        <v>35634.620000000003</v>
      </c>
      <c r="O1126" s="3">
        <v>1001.96</v>
      </c>
      <c r="P1126" s="3">
        <v>3889.04</v>
      </c>
      <c r="Q1126" s="3">
        <v>1248.19</v>
      </c>
      <c r="R1126" s="3">
        <v>967.73</v>
      </c>
      <c r="S1126" s="3">
        <f>SUM(Table1[[#This Row],[Product_Cost]:[Other_Cost]])</f>
        <v>42741.540000000008</v>
      </c>
      <c r="T1126" s="3">
        <f>Table1[[#This Row],[Net_Sales]]-Table1[[#This Row],[Product_Cost]]</f>
        <v>28743.040626445807</v>
      </c>
      <c r="U1126" s="3">
        <f>Table1[[#This Row],[Net_Sales]]-Table1[[#This Row],[Total_Cost]]</f>
        <v>21636.120626445801</v>
      </c>
      <c r="V1126" s="4">
        <f>Table1[[#This Row],[Net_Profit]]/Table1[[#This Row],[Net_Sales]]</f>
        <v>0.33608118741670867</v>
      </c>
      <c r="W1126" t="s">
        <v>33</v>
      </c>
      <c r="X1126" t="s">
        <v>1151</v>
      </c>
      <c r="Y1126">
        <v>10</v>
      </c>
      <c r="Z1126" t="str">
        <f>IF(Table1[[#This Row],[Month_No]]&lt;=6, "H1","H2")</f>
        <v>H2</v>
      </c>
    </row>
    <row r="1127" spans="1:26" x14ac:dyDescent="0.25">
      <c r="A1127" s="2">
        <v>45945</v>
      </c>
      <c r="B1127" t="s">
        <v>1209</v>
      </c>
      <c r="C1127" t="s">
        <v>49</v>
      </c>
      <c r="D1127" t="s">
        <v>37</v>
      </c>
      <c r="E1127" t="s">
        <v>38</v>
      </c>
      <c r="F1127" t="s">
        <v>52</v>
      </c>
      <c r="G1127" t="s">
        <v>58</v>
      </c>
      <c r="H1127" t="s">
        <v>41</v>
      </c>
      <c r="I1127">
        <v>44.931320960179761</v>
      </c>
      <c r="J1127" s="3">
        <v>4801.79</v>
      </c>
      <c r="K1127" s="3">
        <f>Table1[[#This Row],[Quantity]]*Table1[[#This Row],[Unit_Price]]</f>
        <v>215750.76767338158</v>
      </c>
      <c r="L1127" s="3">
        <v>9504.76</v>
      </c>
      <c r="M1127" s="3">
        <f>Table1[[#This Row],[Gross_Sales]]-Table1[[#This Row],[Discount]]</f>
        <v>206246.00767338157</v>
      </c>
      <c r="N1127" s="3">
        <v>133758.70000000001</v>
      </c>
      <c r="O1127" s="3">
        <v>3636.16</v>
      </c>
      <c r="P1127" s="3">
        <v>10201.65</v>
      </c>
      <c r="Q1127" s="3">
        <v>6189.89</v>
      </c>
      <c r="R1127" s="3">
        <v>3515.43</v>
      </c>
      <c r="S1127" s="3">
        <f>SUM(Table1[[#This Row],[Product_Cost]:[Other_Cost]])</f>
        <v>157301.83000000002</v>
      </c>
      <c r="T1127" s="3">
        <f>Table1[[#This Row],[Net_Sales]]-Table1[[#This Row],[Product_Cost]]</f>
        <v>72487.307673381554</v>
      </c>
      <c r="U1127" s="3">
        <f>Table1[[#This Row],[Net_Sales]]-Table1[[#This Row],[Total_Cost]]</f>
        <v>48944.17767338155</v>
      </c>
      <c r="V1127" s="4">
        <f>Table1[[#This Row],[Net_Profit]]/Table1[[#This Row],[Net_Sales]]</f>
        <v>0.23730969741189498</v>
      </c>
      <c r="W1127" t="s">
        <v>33</v>
      </c>
      <c r="X1127" t="s">
        <v>1151</v>
      </c>
      <c r="Y1127">
        <v>10</v>
      </c>
      <c r="Z1127" t="str">
        <f>IF(Table1[[#This Row],[Month_No]]&lt;=6, "H1","H2")</f>
        <v>H2</v>
      </c>
    </row>
    <row r="1128" spans="1:26" x14ac:dyDescent="0.25">
      <c r="A1128" s="2">
        <v>45945</v>
      </c>
      <c r="B1128" t="s">
        <v>1210</v>
      </c>
      <c r="C1128" t="s">
        <v>27</v>
      </c>
      <c r="D1128" t="s">
        <v>66</v>
      </c>
      <c r="E1128" t="s">
        <v>51</v>
      </c>
      <c r="F1128" t="s">
        <v>39</v>
      </c>
      <c r="G1128" t="s">
        <v>61</v>
      </c>
      <c r="H1128" t="s">
        <v>47</v>
      </c>
      <c r="I1128">
        <v>47.63168764421642</v>
      </c>
      <c r="J1128" s="3">
        <v>1570.67</v>
      </c>
      <c r="K1128" s="3">
        <f>Table1[[#This Row],[Quantity]]*Table1[[#This Row],[Unit_Price]]</f>
        <v>74813.662832141403</v>
      </c>
      <c r="L1128" s="3">
        <v>2195.9499999999998</v>
      </c>
      <c r="M1128" s="3">
        <f>Table1[[#This Row],[Gross_Sales]]-Table1[[#This Row],[Discount]]</f>
        <v>72617.712832141406</v>
      </c>
      <c r="N1128" s="3">
        <v>34798.82</v>
      </c>
      <c r="O1128" s="3">
        <v>2418.38</v>
      </c>
      <c r="P1128" s="3">
        <v>3652.5</v>
      </c>
      <c r="Q1128" s="3">
        <v>1578</v>
      </c>
      <c r="R1128" s="3">
        <v>1555.58</v>
      </c>
      <c r="S1128" s="3">
        <f>SUM(Table1[[#This Row],[Product_Cost]:[Other_Cost]])</f>
        <v>44003.28</v>
      </c>
      <c r="T1128" s="3">
        <f>Table1[[#This Row],[Net_Sales]]-Table1[[#This Row],[Product_Cost]]</f>
        <v>37818.892832141406</v>
      </c>
      <c r="U1128" s="3">
        <f>Table1[[#This Row],[Net_Sales]]-Table1[[#This Row],[Total_Cost]]</f>
        <v>28614.432832141407</v>
      </c>
      <c r="V1128" s="4">
        <f>Table1[[#This Row],[Net_Profit]]/Table1[[#This Row],[Net_Sales]]</f>
        <v>0.39404205552830823</v>
      </c>
      <c r="W1128" t="s">
        <v>33</v>
      </c>
      <c r="X1128" t="s">
        <v>1151</v>
      </c>
      <c r="Y1128">
        <v>10</v>
      </c>
      <c r="Z1128" t="str">
        <f>IF(Table1[[#This Row],[Month_No]]&lt;=6, "H1","H2")</f>
        <v>H2</v>
      </c>
    </row>
    <row r="1129" spans="1:26" x14ac:dyDescent="0.25">
      <c r="A1129" s="2">
        <v>45946</v>
      </c>
      <c r="B1129" t="s">
        <v>1211</v>
      </c>
      <c r="C1129" t="s">
        <v>70</v>
      </c>
      <c r="D1129" t="s">
        <v>100</v>
      </c>
      <c r="E1129" t="s">
        <v>75</v>
      </c>
      <c r="F1129" t="s">
        <v>52</v>
      </c>
      <c r="G1129" t="s">
        <v>40</v>
      </c>
      <c r="H1129" t="s">
        <v>32</v>
      </c>
      <c r="I1129">
        <v>63.338244676288078</v>
      </c>
      <c r="J1129" s="3">
        <v>7734.54</v>
      </c>
      <c r="K1129" s="3">
        <f>Table1[[#This Row],[Quantity]]*Table1[[#This Row],[Unit_Price]]</f>
        <v>489892.18697853718</v>
      </c>
      <c r="L1129" s="3">
        <v>23203.3</v>
      </c>
      <c r="M1129" s="3">
        <f>Table1[[#This Row],[Gross_Sales]]-Table1[[#This Row],[Discount]]</f>
        <v>466688.88697853719</v>
      </c>
      <c r="N1129" s="3">
        <v>249201.71</v>
      </c>
      <c r="O1129" s="3">
        <v>6617.43</v>
      </c>
      <c r="P1129" s="3">
        <v>28788.97</v>
      </c>
      <c r="Q1129" s="3">
        <v>13190.07</v>
      </c>
      <c r="R1129" s="3">
        <v>7366.48</v>
      </c>
      <c r="S1129" s="3">
        <f>SUM(Table1[[#This Row],[Product_Cost]:[Other_Cost]])</f>
        <v>305164.65999999997</v>
      </c>
      <c r="T1129" s="3">
        <f>Table1[[#This Row],[Net_Sales]]-Table1[[#This Row],[Product_Cost]]</f>
        <v>217487.1769785372</v>
      </c>
      <c r="U1129" s="3">
        <f>Table1[[#This Row],[Net_Sales]]-Table1[[#This Row],[Total_Cost]]</f>
        <v>161524.22697853722</v>
      </c>
      <c r="V1129" s="4">
        <f>Table1[[#This Row],[Net_Profit]]/Table1[[#This Row],[Net_Sales]]</f>
        <v>0.34610686366304161</v>
      </c>
      <c r="W1129" t="s">
        <v>33</v>
      </c>
      <c r="X1129" t="s">
        <v>1151</v>
      </c>
      <c r="Y1129">
        <v>10</v>
      </c>
      <c r="Z1129" t="str">
        <f>IF(Table1[[#This Row],[Month_No]]&lt;=6, "H1","H2")</f>
        <v>H2</v>
      </c>
    </row>
    <row r="1130" spans="1:26" x14ac:dyDescent="0.25">
      <c r="A1130" s="2">
        <v>45946</v>
      </c>
      <c r="B1130" t="s">
        <v>1212</v>
      </c>
      <c r="C1130" t="s">
        <v>78</v>
      </c>
      <c r="D1130" t="s">
        <v>28</v>
      </c>
      <c r="E1130" t="s">
        <v>29</v>
      </c>
      <c r="F1130" t="s">
        <v>39</v>
      </c>
      <c r="G1130" t="s">
        <v>64</v>
      </c>
      <c r="H1130" t="s">
        <v>47</v>
      </c>
      <c r="I1130">
        <v>70.764902717296096</v>
      </c>
      <c r="J1130" s="3">
        <v>1231.2</v>
      </c>
      <c r="K1130" s="3">
        <f>Table1[[#This Row],[Quantity]]*Table1[[#This Row],[Unit_Price]]</f>
        <v>87125.748225534961</v>
      </c>
      <c r="L1130" s="3">
        <v>2508.59</v>
      </c>
      <c r="M1130" s="3">
        <f>Table1[[#This Row],[Gross_Sales]]-Table1[[#This Row],[Discount]]</f>
        <v>84617.158225534964</v>
      </c>
      <c r="N1130" s="3">
        <v>45879.55</v>
      </c>
      <c r="O1130" s="3">
        <v>2418.59</v>
      </c>
      <c r="P1130" s="3">
        <v>5149.55</v>
      </c>
      <c r="Q1130" s="3">
        <v>2005.59</v>
      </c>
      <c r="R1130" s="3">
        <v>1675.41</v>
      </c>
      <c r="S1130" s="3">
        <f>SUM(Table1[[#This Row],[Product_Cost]:[Other_Cost]])</f>
        <v>57128.69</v>
      </c>
      <c r="T1130" s="3">
        <f>Table1[[#This Row],[Net_Sales]]-Table1[[#This Row],[Product_Cost]]</f>
        <v>38737.608225534961</v>
      </c>
      <c r="U1130" s="3">
        <f>Table1[[#This Row],[Net_Sales]]-Table1[[#This Row],[Total_Cost]]</f>
        <v>27488.468225534962</v>
      </c>
      <c r="V1130" s="4">
        <f>Table1[[#This Row],[Net_Profit]]/Table1[[#This Row],[Net_Sales]]</f>
        <v>0.32485690611670476</v>
      </c>
      <c r="W1130" t="s">
        <v>33</v>
      </c>
      <c r="X1130" t="s">
        <v>1151</v>
      </c>
      <c r="Y1130">
        <v>10</v>
      </c>
      <c r="Z1130" t="str">
        <f>IF(Table1[[#This Row],[Month_No]]&lt;=6, "H1","H2")</f>
        <v>H2</v>
      </c>
    </row>
    <row r="1131" spans="1:26" x14ac:dyDescent="0.25">
      <c r="A1131" s="2">
        <v>45946</v>
      </c>
      <c r="B1131" t="s">
        <v>1213</v>
      </c>
      <c r="C1131" t="s">
        <v>117</v>
      </c>
      <c r="D1131" t="s">
        <v>81</v>
      </c>
      <c r="E1131" t="s">
        <v>45</v>
      </c>
      <c r="F1131" t="s">
        <v>52</v>
      </c>
      <c r="G1131" t="s">
        <v>58</v>
      </c>
      <c r="H1131" t="s">
        <v>41</v>
      </c>
      <c r="I1131">
        <v>61.534437414721189</v>
      </c>
      <c r="J1131" s="3">
        <v>7215.41</v>
      </c>
      <c r="K1131" s="3">
        <f>Table1[[#This Row],[Quantity]]*Table1[[#This Row],[Unit_Price]]</f>
        <v>443996.19506655342</v>
      </c>
      <c r="L1131" s="3">
        <v>15288.43</v>
      </c>
      <c r="M1131" s="3">
        <f>Table1[[#This Row],[Gross_Sales]]-Table1[[#This Row],[Discount]]</f>
        <v>428707.76506655343</v>
      </c>
      <c r="N1131" s="3">
        <v>224684.34</v>
      </c>
      <c r="O1131" s="3">
        <v>7490.05</v>
      </c>
      <c r="P1131" s="3">
        <v>25461.279999999999</v>
      </c>
      <c r="Q1131" s="3">
        <v>9990.65</v>
      </c>
      <c r="R1131" s="3">
        <v>7921.4</v>
      </c>
      <c r="S1131" s="3">
        <f>SUM(Table1[[#This Row],[Product_Cost]:[Other_Cost]])</f>
        <v>275547.72000000003</v>
      </c>
      <c r="T1131" s="3">
        <f>Table1[[#This Row],[Net_Sales]]-Table1[[#This Row],[Product_Cost]]</f>
        <v>204023.42506655343</v>
      </c>
      <c r="U1131" s="3">
        <f>Table1[[#This Row],[Net_Sales]]-Table1[[#This Row],[Total_Cost]]</f>
        <v>153160.0450665534</v>
      </c>
      <c r="V1131" s="4">
        <f>Table1[[#This Row],[Net_Profit]]/Table1[[#This Row],[Net_Sales]]</f>
        <v>0.3572597875449644</v>
      </c>
      <c r="W1131" t="s">
        <v>33</v>
      </c>
      <c r="X1131" t="s">
        <v>1151</v>
      </c>
      <c r="Y1131">
        <v>10</v>
      </c>
      <c r="Z1131" t="str">
        <f>IF(Table1[[#This Row],[Month_No]]&lt;=6, "H1","H2")</f>
        <v>H2</v>
      </c>
    </row>
    <row r="1132" spans="1:26" x14ac:dyDescent="0.25">
      <c r="A1132" s="2">
        <v>45946</v>
      </c>
      <c r="B1132" t="s">
        <v>1214</v>
      </c>
      <c r="C1132" t="s">
        <v>83</v>
      </c>
      <c r="D1132" t="s">
        <v>28</v>
      </c>
      <c r="E1132" t="s">
        <v>29</v>
      </c>
      <c r="F1132" t="s">
        <v>39</v>
      </c>
      <c r="G1132" t="s">
        <v>64</v>
      </c>
      <c r="H1132" t="s">
        <v>41</v>
      </c>
      <c r="I1132">
        <v>83.348046434289628</v>
      </c>
      <c r="J1132" s="3">
        <v>1298.44</v>
      </c>
      <c r="K1132" s="3">
        <f>Table1[[#This Row],[Quantity]]*Table1[[#This Row],[Unit_Price]]</f>
        <v>108222.43741213903</v>
      </c>
      <c r="L1132" s="3">
        <v>4717.03</v>
      </c>
      <c r="M1132" s="3">
        <f>Table1[[#This Row],[Gross_Sales]]-Table1[[#This Row],[Discount]]</f>
        <v>103505.40741213903</v>
      </c>
      <c r="N1132" s="3">
        <v>53141.440000000002</v>
      </c>
      <c r="O1132" s="3">
        <v>3139.29</v>
      </c>
      <c r="P1132" s="3">
        <v>6033.35</v>
      </c>
      <c r="Q1132" s="3">
        <v>3024.49</v>
      </c>
      <c r="R1132" s="3">
        <v>1876.77</v>
      </c>
      <c r="S1132" s="3">
        <f>SUM(Table1[[#This Row],[Product_Cost]:[Other_Cost]])</f>
        <v>67215.34</v>
      </c>
      <c r="T1132" s="3">
        <f>Table1[[#This Row],[Net_Sales]]-Table1[[#This Row],[Product_Cost]]</f>
        <v>50363.967412139027</v>
      </c>
      <c r="U1132" s="3">
        <f>Table1[[#This Row],[Net_Sales]]-Table1[[#This Row],[Total_Cost]]</f>
        <v>36290.067412139033</v>
      </c>
      <c r="V1132" s="4">
        <f>Table1[[#This Row],[Net_Profit]]/Table1[[#This Row],[Net_Sales]]</f>
        <v>0.35061035282571107</v>
      </c>
      <c r="W1132" t="s">
        <v>33</v>
      </c>
      <c r="X1132" t="s">
        <v>1151</v>
      </c>
      <c r="Y1132">
        <v>10</v>
      </c>
      <c r="Z1132" t="str">
        <f>IF(Table1[[#This Row],[Month_No]]&lt;=6, "H1","H2")</f>
        <v>H2</v>
      </c>
    </row>
    <row r="1133" spans="1:26" x14ac:dyDescent="0.25">
      <c r="A1133" s="2">
        <v>45946</v>
      </c>
      <c r="B1133" t="s">
        <v>1215</v>
      </c>
      <c r="C1133" t="s">
        <v>78</v>
      </c>
      <c r="D1133" t="s">
        <v>85</v>
      </c>
      <c r="E1133" t="s">
        <v>57</v>
      </c>
      <c r="F1133" t="s">
        <v>30</v>
      </c>
      <c r="G1133" t="s">
        <v>76</v>
      </c>
      <c r="H1133" t="s">
        <v>41</v>
      </c>
      <c r="I1133">
        <v>87.231479691449692</v>
      </c>
      <c r="J1133" s="3">
        <v>2061.98</v>
      </c>
      <c r="K1133" s="3">
        <f>Table1[[#This Row],[Quantity]]*Table1[[#This Row],[Unit_Price]]</f>
        <v>179869.56649417544</v>
      </c>
      <c r="L1133" s="3">
        <v>8097.44</v>
      </c>
      <c r="M1133" s="3">
        <f>Table1[[#This Row],[Gross_Sales]]-Table1[[#This Row],[Discount]]</f>
        <v>171772.12649417543</v>
      </c>
      <c r="N1133" s="3">
        <v>114485.23</v>
      </c>
      <c r="O1133" s="3">
        <v>3827.23</v>
      </c>
      <c r="P1133" s="3">
        <v>8416.18</v>
      </c>
      <c r="Q1133" s="3">
        <v>5414.43</v>
      </c>
      <c r="R1133" s="3">
        <v>2691.56</v>
      </c>
      <c r="S1133" s="3">
        <f>SUM(Table1[[#This Row],[Product_Cost]:[Other_Cost]])</f>
        <v>134834.62999999998</v>
      </c>
      <c r="T1133" s="3">
        <f>Table1[[#This Row],[Net_Sales]]-Table1[[#This Row],[Product_Cost]]</f>
        <v>57286.896494175438</v>
      </c>
      <c r="U1133" s="3">
        <f>Table1[[#This Row],[Net_Sales]]-Table1[[#This Row],[Total_Cost]]</f>
        <v>36937.496494175459</v>
      </c>
      <c r="V1133" s="4">
        <f>Table1[[#This Row],[Net_Profit]]/Table1[[#This Row],[Net_Sales]]</f>
        <v>0.21503777852705316</v>
      </c>
      <c r="W1133" t="s">
        <v>33</v>
      </c>
      <c r="X1133" t="s">
        <v>1151</v>
      </c>
      <c r="Y1133">
        <v>10</v>
      </c>
      <c r="Z1133" t="str">
        <f>IF(Table1[[#This Row],[Month_No]]&lt;=6, "H1","H2")</f>
        <v>H2</v>
      </c>
    </row>
    <row r="1134" spans="1:26" x14ac:dyDescent="0.25">
      <c r="A1134" s="2">
        <v>45946</v>
      </c>
      <c r="B1134" t="s">
        <v>1216</v>
      </c>
      <c r="C1134" t="s">
        <v>49</v>
      </c>
      <c r="D1134" t="s">
        <v>68</v>
      </c>
      <c r="E1134" t="s">
        <v>29</v>
      </c>
      <c r="F1134" t="s">
        <v>52</v>
      </c>
      <c r="G1134" t="s">
        <v>58</v>
      </c>
      <c r="H1134" t="s">
        <v>41</v>
      </c>
      <c r="I1134">
        <v>86.179565922088798</v>
      </c>
      <c r="J1134" s="3">
        <v>386.42</v>
      </c>
      <c r="K1134" s="3">
        <f>Table1[[#This Row],[Quantity]]*Table1[[#This Row],[Unit_Price]]</f>
        <v>33301.507863613551</v>
      </c>
      <c r="L1134" s="3">
        <v>1517.2</v>
      </c>
      <c r="M1134" s="3">
        <f>Table1[[#This Row],[Gross_Sales]]-Table1[[#This Row],[Discount]]</f>
        <v>31784.307863613551</v>
      </c>
      <c r="N1134" s="3">
        <v>22375.53</v>
      </c>
      <c r="O1134" s="3">
        <v>537.53</v>
      </c>
      <c r="P1134" s="3">
        <v>1687.23</v>
      </c>
      <c r="Q1134" s="3">
        <v>608.39</v>
      </c>
      <c r="R1134" s="3">
        <v>573.91999999999996</v>
      </c>
      <c r="S1134" s="3">
        <f>SUM(Table1[[#This Row],[Product_Cost]:[Other_Cost]])</f>
        <v>25782.599999999995</v>
      </c>
      <c r="T1134" s="3">
        <f>Table1[[#This Row],[Net_Sales]]-Table1[[#This Row],[Product_Cost]]</f>
        <v>9408.7778636135517</v>
      </c>
      <c r="U1134" s="3">
        <f>Table1[[#This Row],[Net_Sales]]-Table1[[#This Row],[Total_Cost]]</f>
        <v>6001.7078636135557</v>
      </c>
      <c r="V1134" s="4">
        <f>Table1[[#This Row],[Net_Profit]]/Table1[[#This Row],[Net_Sales]]</f>
        <v>0.18882613047189453</v>
      </c>
      <c r="W1134" t="s">
        <v>33</v>
      </c>
      <c r="X1134" t="s">
        <v>1151</v>
      </c>
      <c r="Y1134">
        <v>10</v>
      </c>
      <c r="Z1134" t="str">
        <f>IF(Table1[[#This Row],[Month_No]]&lt;=6, "H1","H2")</f>
        <v>H2</v>
      </c>
    </row>
    <row r="1135" spans="1:26" x14ac:dyDescent="0.25">
      <c r="A1135" s="2">
        <v>45946</v>
      </c>
      <c r="B1135" t="s">
        <v>1217</v>
      </c>
      <c r="C1135" t="s">
        <v>36</v>
      </c>
      <c r="D1135" t="s">
        <v>81</v>
      </c>
      <c r="E1135" t="s">
        <v>45</v>
      </c>
      <c r="F1135" t="s">
        <v>30</v>
      </c>
      <c r="G1135" t="s">
        <v>61</v>
      </c>
      <c r="H1135" t="s">
        <v>41</v>
      </c>
      <c r="I1135">
        <v>68.801678308798202</v>
      </c>
      <c r="J1135" s="3">
        <v>6998.89</v>
      </c>
      <c r="K1135" s="3">
        <f>Table1[[#This Row],[Quantity]]*Table1[[#This Row],[Unit_Price]]</f>
        <v>481535.3782986647</v>
      </c>
      <c r="L1135" s="3">
        <v>18752.88</v>
      </c>
      <c r="M1135" s="3">
        <f>Table1[[#This Row],[Gross_Sales]]-Table1[[#This Row],[Discount]]</f>
        <v>462782.49829866469</v>
      </c>
      <c r="N1135" s="3">
        <v>251023.15</v>
      </c>
      <c r="O1135" s="3">
        <v>12544.86</v>
      </c>
      <c r="P1135" s="3">
        <v>28646.29</v>
      </c>
      <c r="Q1135" s="3">
        <v>9488.91</v>
      </c>
      <c r="R1135" s="3">
        <v>9003.57</v>
      </c>
      <c r="S1135" s="3">
        <f>SUM(Table1[[#This Row],[Product_Cost]:[Other_Cost]])</f>
        <v>310706.77999999997</v>
      </c>
      <c r="T1135" s="3">
        <f>Table1[[#This Row],[Net_Sales]]-Table1[[#This Row],[Product_Cost]]</f>
        <v>211759.3482986647</v>
      </c>
      <c r="U1135" s="3">
        <f>Table1[[#This Row],[Net_Sales]]-Table1[[#This Row],[Total_Cost]]</f>
        <v>152075.71829866472</v>
      </c>
      <c r="V1135" s="4">
        <f>Table1[[#This Row],[Net_Profit]]/Table1[[#This Row],[Net_Sales]]</f>
        <v>0.32861164555216182</v>
      </c>
      <c r="W1135" t="s">
        <v>33</v>
      </c>
      <c r="X1135" t="s">
        <v>1151</v>
      </c>
      <c r="Y1135">
        <v>10</v>
      </c>
      <c r="Z1135" t="str">
        <f>IF(Table1[[#This Row],[Month_No]]&lt;=6, "H1","H2")</f>
        <v>H2</v>
      </c>
    </row>
    <row r="1136" spans="1:26" x14ac:dyDescent="0.25">
      <c r="A1136" s="2">
        <v>45947</v>
      </c>
      <c r="B1136" t="s">
        <v>1218</v>
      </c>
      <c r="C1136" t="s">
        <v>36</v>
      </c>
      <c r="D1136" t="s">
        <v>66</v>
      </c>
      <c r="E1136" t="s">
        <v>51</v>
      </c>
      <c r="F1136" t="s">
        <v>46</v>
      </c>
      <c r="G1136" t="s">
        <v>61</v>
      </c>
      <c r="H1136" t="s">
        <v>32</v>
      </c>
      <c r="I1136">
        <v>34.714595793257942</v>
      </c>
      <c r="J1136" s="3">
        <v>1634.26</v>
      </c>
      <c r="K1136" s="3">
        <f>Table1[[#This Row],[Quantity]]*Table1[[#This Row],[Unit_Price]]</f>
        <v>56732.675321089722</v>
      </c>
      <c r="L1136" s="3">
        <v>2615.8200000000002</v>
      </c>
      <c r="M1136" s="3">
        <f>Table1[[#This Row],[Gross_Sales]]-Table1[[#This Row],[Discount]]</f>
        <v>54116.855321089723</v>
      </c>
      <c r="N1136" s="3">
        <v>26883.94</v>
      </c>
      <c r="O1136" s="3">
        <v>1296.3399999999999</v>
      </c>
      <c r="P1136" s="3">
        <v>2747.83</v>
      </c>
      <c r="Q1136" s="3">
        <v>1447.16</v>
      </c>
      <c r="R1136" s="3">
        <v>997.88</v>
      </c>
      <c r="S1136" s="3">
        <f>SUM(Table1[[#This Row],[Product_Cost]:[Other_Cost]])</f>
        <v>33373.15</v>
      </c>
      <c r="T1136" s="3">
        <f>Table1[[#This Row],[Net_Sales]]-Table1[[#This Row],[Product_Cost]]</f>
        <v>27232.915321089724</v>
      </c>
      <c r="U1136" s="3">
        <f>Table1[[#This Row],[Net_Sales]]-Table1[[#This Row],[Total_Cost]]</f>
        <v>20743.705321089721</v>
      </c>
      <c r="V1136" s="4">
        <f>Table1[[#This Row],[Net_Profit]]/Table1[[#This Row],[Net_Sales]]</f>
        <v>0.38331320617230602</v>
      </c>
      <c r="W1136" t="s">
        <v>33</v>
      </c>
      <c r="X1136" t="s">
        <v>1151</v>
      </c>
      <c r="Y1136">
        <v>10</v>
      </c>
      <c r="Z1136" t="str">
        <f>IF(Table1[[#This Row],[Month_No]]&lt;=6, "H1","H2")</f>
        <v>H2</v>
      </c>
    </row>
    <row r="1137" spans="1:26" x14ac:dyDescent="0.25">
      <c r="A1137" s="2">
        <v>45947</v>
      </c>
      <c r="B1137" t="s">
        <v>1219</v>
      </c>
      <c r="C1137" t="s">
        <v>78</v>
      </c>
      <c r="D1137" t="s">
        <v>183</v>
      </c>
      <c r="E1137" t="s">
        <v>38</v>
      </c>
      <c r="F1137" t="s">
        <v>30</v>
      </c>
      <c r="G1137" t="s">
        <v>86</v>
      </c>
      <c r="H1137" t="s">
        <v>41</v>
      </c>
      <c r="I1137">
        <v>35.669122396037672</v>
      </c>
      <c r="J1137" s="3">
        <v>6973.01</v>
      </c>
      <c r="K1137" s="3">
        <f>Table1[[#This Row],[Quantity]]*Table1[[#This Row],[Unit_Price]]</f>
        <v>248721.14715879466</v>
      </c>
      <c r="L1137" s="3">
        <v>13140.43</v>
      </c>
      <c r="M1137" s="3">
        <f>Table1[[#This Row],[Gross_Sales]]-Table1[[#This Row],[Discount]]</f>
        <v>235580.71715879467</v>
      </c>
      <c r="N1137" s="3">
        <v>124913.77</v>
      </c>
      <c r="O1137" s="3">
        <v>5326.06</v>
      </c>
      <c r="P1137" s="3">
        <v>12115.82</v>
      </c>
      <c r="Q1137" s="3">
        <v>7052.59</v>
      </c>
      <c r="R1137" s="3">
        <v>4779.0600000000004</v>
      </c>
      <c r="S1137" s="3">
        <f>SUM(Table1[[#This Row],[Product_Cost]:[Other_Cost]])</f>
        <v>154187.29999999999</v>
      </c>
      <c r="T1137" s="3">
        <f>Table1[[#This Row],[Net_Sales]]-Table1[[#This Row],[Product_Cost]]</f>
        <v>110666.94715879466</v>
      </c>
      <c r="U1137" s="3">
        <f>Table1[[#This Row],[Net_Sales]]-Table1[[#This Row],[Total_Cost]]</f>
        <v>81393.417158794677</v>
      </c>
      <c r="V1137" s="4">
        <f>Table1[[#This Row],[Net_Profit]]/Table1[[#This Row],[Net_Sales]]</f>
        <v>0.34550118592232204</v>
      </c>
      <c r="W1137" t="s">
        <v>72</v>
      </c>
      <c r="X1137" t="s">
        <v>1151</v>
      </c>
      <c r="Y1137">
        <v>10</v>
      </c>
      <c r="Z1137" t="str">
        <f>IF(Table1[[#This Row],[Month_No]]&lt;=6, "H1","H2")</f>
        <v>H2</v>
      </c>
    </row>
    <row r="1138" spans="1:26" x14ac:dyDescent="0.25">
      <c r="A1138" s="2">
        <v>45947</v>
      </c>
      <c r="B1138" t="s">
        <v>1220</v>
      </c>
      <c r="C1138" t="s">
        <v>70</v>
      </c>
      <c r="D1138" t="s">
        <v>85</v>
      </c>
      <c r="E1138" t="s">
        <v>57</v>
      </c>
      <c r="F1138" t="s">
        <v>52</v>
      </c>
      <c r="G1138" t="s">
        <v>61</v>
      </c>
      <c r="H1138" t="s">
        <v>47</v>
      </c>
      <c r="I1138">
        <v>46.157371573957207</v>
      </c>
      <c r="J1138" s="3">
        <v>1965.88</v>
      </c>
      <c r="K1138" s="3">
        <f>Table1[[#This Row],[Quantity]]*Table1[[#This Row],[Unit_Price]]</f>
        <v>90739.853629810998</v>
      </c>
      <c r="L1138" s="3">
        <v>4015.98</v>
      </c>
      <c r="M1138" s="3">
        <f>Table1[[#This Row],[Gross_Sales]]-Table1[[#This Row],[Discount]]</f>
        <v>86723.873629811002</v>
      </c>
      <c r="N1138" s="3">
        <v>57095.39</v>
      </c>
      <c r="O1138" s="3">
        <v>1757.56</v>
      </c>
      <c r="P1138" s="3">
        <v>4165.03</v>
      </c>
      <c r="Q1138" s="3">
        <v>1763.29</v>
      </c>
      <c r="R1138" s="3">
        <v>1174</v>
      </c>
      <c r="S1138" s="3">
        <f>SUM(Table1[[#This Row],[Product_Cost]:[Other_Cost]])</f>
        <v>65955.26999999999</v>
      </c>
      <c r="T1138" s="3">
        <f>Table1[[#This Row],[Net_Sales]]-Table1[[#This Row],[Product_Cost]]</f>
        <v>29628.483629811002</v>
      </c>
      <c r="U1138" s="3">
        <f>Table1[[#This Row],[Net_Sales]]-Table1[[#This Row],[Total_Cost]]</f>
        <v>20768.603629811012</v>
      </c>
      <c r="V1138" s="4">
        <f>Table1[[#This Row],[Net_Profit]]/Table1[[#This Row],[Net_Sales]]</f>
        <v>0.23947965837485244</v>
      </c>
      <c r="W1138" t="s">
        <v>33</v>
      </c>
      <c r="X1138" t="s">
        <v>1151</v>
      </c>
      <c r="Y1138">
        <v>10</v>
      </c>
      <c r="Z1138" t="str">
        <f>IF(Table1[[#This Row],[Month_No]]&lt;=6, "H1","H2")</f>
        <v>H2</v>
      </c>
    </row>
    <row r="1139" spans="1:26" x14ac:dyDescent="0.25">
      <c r="A1139" s="2">
        <v>45948</v>
      </c>
      <c r="B1139" t="s">
        <v>1221</v>
      </c>
      <c r="C1139" t="s">
        <v>27</v>
      </c>
      <c r="D1139" t="s">
        <v>66</v>
      </c>
      <c r="E1139" t="s">
        <v>51</v>
      </c>
      <c r="F1139" t="s">
        <v>52</v>
      </c>
      <c r="G1139" t="s">
        <v>64</v>
      </c>
      <c r="H1139" t="s">
        <v>41</v>
      </c>
      <c r="I1139">
        <v>32.129989957146947</v>
      </c>
      <c r="J1139" s="3">
        <v>1598.97</v>
      </c>
      <c r="K1139" s="3">
        <f>Table1[[#This Row],[Quantity]]*Table1[[#This Row],[Unit_Price]]</f>
        <v>51374.890041779254</v>
      </c>
      <c r="L1139" s="3">
        <v>2663.22</v>
      </c>
      <c r="M1139" s="3">
        <f>Table1[[#This Row],[Gross_Sales]]-Table1[[#This Row],[Discount]]</f>
        <v>48711.670041779253</v>
      </c>
      <c r="N1139" s="3">
        <v>22909.22</v>
      </c>
      <c r="O1139" s="3">
        <v>1018.83</v>
      </c>
      <c r="P1139" s="3">
        <v>2673.24</v>
      </c>
      <c r="Q1139" s="3">
        <v>965.74</v>
      </c>
      <c r="R1139" s="3">
        <v>738.53</v>
      </c>
      <c r="S1139" s="3">
        <f>SUM(Table1[[#This Row],[Product_Cost]:[Other_Cost]])</f>
        <v>28305.56</v>
      </c>
      <c r="T1139" s="3">
        <f>Table1[[#This Row],[Net_Sales]]-Table1[[#This Row],[Product_Cost]]</f>
        <v>25802.450041779251</v>
      </c>
      <c r="U1139" s="3">
        <f>Table1[[#This Row],[Net_Sales]]-Table1[[#This Row],[Total_Cost]]</f>
        <v>20406.110041779251</v>
      </c>
      <c r="V1139" s="4">
        <f>Table1[[#This Row],[Net_Profit]]/Table1[[#This Row],[Net_Sales]]</f>
        <v>0.41891624787812126</v>
      </c>
      <c r="W1139" t="s">
        <v>33</v>
      </c>
      <c r="X1139" t="s">
        <v>1151</v>
      </c>
      <c r="Y1139">
        <v>10</v>
      </c>
      <c r="Z1139" t="str">
        <f>IF(Table1[[#This Row],[Month_No]]&lt;=6, "H1","H2")</f>
        <v>H2</v>
      </c>
    </row>
    <row r="1140" spans="1:26" x14ac:dyDescent="0.25">
      <c r="A1140" s="2">
        <v>45948</v>
      </c>
      <c r="B1140" t="s">
        <v>1222</v>
      </c>
      <c r="C1140" t="s">
        <v>27</v>
      </c>
      <c r="D1140" t="s">
        <v>74</v>
      </c>
      <c r="E1140" t="s">
        <v>75</v>
      </c>
      <c r="F1140" t="s">
        <v>39</v>
      </c>
      <c r="G1140" t="s">
        <v>61</v>
      </c>
      <c r="H1140" t="s">
        <v>59</v>
      </c>
      <c r="I1140">
        <v>33.627183274120618</v>
      </c>
      <c r="J1140" s="3">
        <v>6113.88</v>
      </c>
      <c r="K1140" s="3">
        <f>Table1[[#This Row],[Quantity]]*Table1[[#This Row],[Unit_Price]]</f>
        <v>205592.56327598056</v>
      </c>
      <c r="L1140" s="3">
        <v>5561.3</v>
      </c>
      <c r="M1140" s="3">
        <f>Table1[[#This Row],[Gross_Sales]]-Table1[[#This Row],[Discount]]</f>
        <v>200031.26327598057</v>
      </c>
      <c r="N1140" s="3">
        <v>137374.03</v>
      </c>
      <c r="O1140" s="3">
        <v>6306.44</v>
      </c>
      <c r="P1140" s="3">
        <v>11757.32</v>
      </c>
      <c r="Q1140" s="3">
        <v>4092.81</v>
      </c>
      <c r="R1140" s="3">
        <v>2822.15</v>
      </c>
      <c r="S1140" s="3">
        <f>SUM(Table1[[#This Row],[Product_Cost]:[Other_Cost]])</f>
        <v>162352.75</v>
      </c>
      <c r="T1140" s="3">
        <f>Table1[[#This Row],[Net_Sales]]-Table1[[#This Row],[Product_Cost]]</f>
        <v>62657.233275980572</v>
      </c>
      <c r="U1140" s="3">
        <f>Table1[[#This Row],[Net_Sales]]-Table1[[#This Row],[Total_Cost]]</f>
        <v>37678.513275980571</v>
      </c>
      <c r="V1140" s="4">
        <f>Table1[[#This Row],[Net_Profit]]/Table1[[#This Row],[Net_Sales]]</f>
        <v>0.18836312213854295</v>
      </c>
      <c r="W1140" t="s">
        <v>33</v>
      </c>
      <c r="X1140" t="s">
        <v>1151</v>
      </c>
      <c r="Y1140">
        <v>10</v>
      </c>
      <c r="Z1140" t="str">
        <f>IF(Table1[[#This Row],[Month_No]]&lt;=6, "H1","H2")</f>
        <v>H2</v>
      </c>
    </row>
    <row r="1141" spans="1:26" x14ac:dyDescent="0.25">
      <c r="A1141" s="2">
        <v>45948</v>
      </c>
      <c r="B1141" t="s">
        <v>1223</v>
      </c>
      <c r="C1141" t="s">
        <v>27</v>
      </c>
      <c r="D1141" t="s">
        <v>37</v>
      </c>
      <c r="E1141" t="s">
        <v>38</v>
      </c>
      <c r="F1141" t="s">
        <v>52</v>
      </c>
      <c r="G1141" t="s">
        <v>40</v>
      </c>
      <c r="H1141" t="s">
        <v>32</v>
      </c>
      <c r="I1141">
        <v>84.220618948089353</v>
      </c>
      <c r="J1141" s="3">
        <v>4620.2299999999996</v>
      </c>
      <c r="K1141" s="3">
        <f>Table1[[#This Row],[Quantity]]*Table1[[#This Row],[Unit_Price]]</f>
        <v>389118.63028253085</v>
      </c>
      <c r="L1141" s="3">
        <v>21594.65</v>
      </c>
      <c r="M1141" s="3">
        <f>Table1[[#This Row],[Gross_Sales]]-Table1[[#This Row],[Discount]]</f>
        <v>367523.98028253083</v>
      </c>
      <c r="N1141" s="3">
        <v>238278.1</v>
      </c>
      <c r="O1141" s="3">
        <v>6517.26</v>
      </c>
      <c r="P1141" s="3">
        <v>17898.810000000001</v>
      </c>
      <c r="Q1141" s="3">
        <v>6765.99</v>
      </c>
      <c r="R1141" s="3">
        <v>5673.87</v>
      </c>
      <c r="S1141" s="3">
        <f>SUM(Table1[[#This Row],[Product_Cost]:[Other_Cost]])</f>
        <v>275134.03000000003</v>
      </c>
      <c r="T1141" s="3">
        <f>Table1[[#This Row],[Net_Sales]]-Table1[[#This Row],[Product_Cost]]</f>
        <v>129245.88028253082</v>
      </c>
      <c r="U1141" s="3">
        <f>Table1[[#This Row],[Net_Sales]]-Table1[[#This Row],[Total_Cost]]</f>
        <v>92389.950282530801</v>
      </c>
      <c r="V1141" s="4">
        <f>Table1[[#This Row],[Net_Profit]]/Table1[[#This Row],[Net_Sales]]</f>
        <v>0.2513848217781785</v>
      </c>
      <c r="W1141" t="s">
        <v>33</v>
      </c>
      <c r="X1141" t="s">
        <v>1151</v>
      </c>
      <c r="Y1141">
        <v>10</v>
      </c>
      <c r="Z1141" t="str">
        <f>IF(Table1[[#This Row],[Month_No]]&lt;=6, "H1","H2")</f>
        <v>H2</v>
      </c>
    </row>
    <row r="1142" spans="1:26" x14ac:dyDescent="0.25">
      <c r="A1142" s="2">
        <v>45948</v>
      </c>
      <c r="B1142" t="s">
        <v>1224</v>
      </c>
      <c r="C1142" t="s">
        <v>70</v>
      </c>
      <c r="D1142" t="s">
        <v>28</v>
      </c>
      <c r="E1142" t="s">
        <v>29</v>
      </c>
      <c r="F1142" t="s">
        <v>52</v>
      </c>
      <c r="G1142" t="s">
        <v>71</v>
      </c>
      <c r="H1142" t="s">
        <v>59</v>
      </c>
      <c r="I1142">
        <v>108.7782701878964</v>
      </c>
      <c r="J1142" s="3">
        <v>1257.06</v>
      </c>
      <c r="K1142" s="3">
        <f>Table1[[#This Row],[Quantity]]*Table1[[#This Row],[Unit_Price]]</f>
        <v>136740.81232239705</v>
      </c>
      <c r="L1142" s="3">
        <v>4378.62</v>
      </c>
      <c r="M1142" s="3">
        <f>Table1[[#This Row],[Gross_Sales]]-Table1[[#This Row],[Discount]]</f>
        <v>132362.19232239705</v>
      </c>
      <c r="N1142" s="3">
        <v>69454.83</v>
      </c>
      <c r="O1142" s="3">
        <v>2626.55</v>
      </c>
      <c r="P1142" s="3">
        <v>7056.13</v>
      </c>
      <c r="Q1142" s="3">
        <v>3062.21</v>
      </c>
      <c r="R1142" s="3">
        <v>2517.73</v>
      </c>
      <c r="S1142" s="3">
        <f>SUM(Table1[[#This Row],[Product_Cost]:[Other_Cost]])</f>
        <v>84717.450000000012</v>
      </c>
      <c r="T1142" s="3">
        <f>Table1[[#This Row],[Net_Sales]]-Table1[[#This Row],[Product_Cost]]</f>
        <v>62907.36232239705</v>
      </c>
      <c r="U1142" s="3">
        <f>Table1[[#This Row],[Net_Sales]]-Table1[[#This Row],[Total_Cost]]</f>
        <v>47644.74232239704</v>
      </c>
      <c r="V1142" s="4">
        <f>Table1[[#This Row],[Net_Profit]]/Table1[[#This Row],[Net_Sales]]</f>
        <v>0.35995733741209013</v>
      </c>
      <c r="W1142" t="s">
        <v>33</v>
      </c>
      <c r="X1142" t="s">
        <v>1151</v>
      </c>
      <c r="Y1142">
        <v>10</v>
      </c>
      <c r="Z1142" t="str">
        <f>IF(Table1[[#This Row],[Month_No]]&lt;=6, "H1","H2")</f>
        <v>H2</v>
      </c>
    </row>
    <row r="1143" spans="1:26" x14ac:dyDescent="0.25">
      <c r="A1143" s="2">
        <v>45948</v>
      </c>
      <c r="B1143" t="s">
        <v>1225</v>
      </c>
      <c r="C1143" t="s">
        <v>63</v>
      </c>
      <c r="D1143" t="s">
        <v>28</v>
      </c>
      <c r="E1143" t="s">
        <v>29</v>
      </c>
      <c r="F1143" t="s">
        <v>46</v>
      </c>
      <c r="G1143" t="s">
        <v>61</v>
      </c>
      <c r="H1143" t="s">
        <v>59</v>
      </c>
      <c r="I1143">
        <v>53.203651452186612</v>
      </c>
      <c r="J1143" s="3">
        <v>1269.32</v>
      </c>
      <c r="K1143" s="3">
        <f>Table1[[#This Row],[Quantity]]*Table1[[#This Row],[Unit_Price]]</f>
        <v>67532.458861289502</v>
      </c>
      <c r="L1143" s="3">
        <v>2931.53</v>
      </c>
      <c r="M1143" s="3">
        <f>Table1[[#This Row],[Gross_Sales]]-Table1[[#This Row],[Discount]]</f>
        <v>64600.928861289503</v>
      </c>
      <c r="N1143" s="3">
        <v>36129.19</v>
      </c>
      <c r="O1143" s="3">
        <v>1413.7</v>
      </c>
      <c r="P1143" s="3">
        <v>3852</v>
      </c>
      <c r="Q1143" s="3">
        <v>1435.81</v>
      </c>
      <c r="R1143" s="3">
        <v>1259.74</v>
      </c>
      <c r="S1143" s="3">
        <f>SUM(Table1[[#This Row],[Product_Cost]:[Other_Cost]])</f>
        <v>44090.439999999995</v>
      </c>
      <c r="T1143" s="3">
        <f>Table1[[#This Row],[Net_Sales]]-Table1[[#This Row],[Product_Cost]]</f>
        <v>28471.738861289501</v>
      </c>
      <c r="U1143" s="3">
        <f>Table1[[#This Row],[Net_Sales]]-Table1[[#This Row],[Total_Cost]]</f>
        <v>20510.488861289508</v>
      </c>
      <c r="V1143" s="4">
        <f>Table1[[#This Row],[Net_Profit]]/Table1[[#This Row],[Net_Sales]]</f>
        <v>0.31749526241843107</v>
      </c>
      <c r="W1143" t="s">
        <v>33</v>
      </c>
      <c r="X1143" t="s">
        <v>1151</v>
      </c>
      <c r="Y1143">
        <v>10</v>
      </c>
      <c r="Z1143" t="str">
        <f>IF(Table1[[#This Row],[Month_No]]&lt;=6, "H1","H2")</f>
        <v>H2</v>
      </c>
    </row>
    <row r="1144" spans="1:26" x14ac:dyDescent="0.25">
      <c r="A1144" s="2">
        <v>45948</v>
      </c>
      <c r="B1144" t="s">
        <v>1226</v>
      </c>
      <c r="C1144" t="s">
        <v>36</v>
      </c>
      <c r="D1144" t="s">
        <v>28</v>
      </c>
      <c r="E1144" t="s">
        <v>29</v>
      </c>
      <c r="F1144" t="s">
        <v>52</v>
      </c>
      <c r="G1144" t="s">
        <v>58</v>
      </c>
      <c r="H1144" t="s">
        <v>41</v>
      </c>
      <c r="I1144">
        <v>29.305730485087061</v>
      </c>
      <c r="J1144" s="3">
        <v>1215.6500000000001</v>
      </c>
      <c r="K1144" s="3">
        <f>Table1[[#This Row],[Quantity]]*Table1[[#This Row],[Unit_Price]]</f>
        <v>35625.511264196088</v>
      </c>
      <c r="L1144" s="3">
        <v>1076.54</v>
      </c>
      <c r="M1144" s="3">
        <f>Table1[[#This Row],[Gross_Sales]]-Table1[[#This Row],[Discount]]</f>
        <v>34548.971264196087</v>
      </c>
      <c r="N1144" s="3">
        <v>17854.919999999998</v>
      </c>
      <c r="O1144" s="3">
        <v>712.13</v>
      </c>
      <c r="P1144" s="3">
        <v>1951.75</v>
      </c>
      <c r="Q1144" s="3">
        <v>956.01</v>
      </c>
      <c r="R1144" s="3">
        <v>496.19</v>
      </c>
      <c r="S1144" s="3">
        <f>SUM(Table1[[#This Row],[Product_Cost]:[Other_Cost]])</f>
        <v>21970.999999999996</v>
      </c>
      <c r="T1144" s="3">
        <f>Table1[[#This Row],[Net_Sales]]-Table1[[#This Row],[Product_Cost]]</f>
        <v>16694.051264196089</v>
      </c>
      <c r="U1144" s="3">
        <f>Table1[[#This Row],[Net_Sales]]-Table1[[#This Row],[Total_Cost]]</f>
        <v>12577.97126419609</v>
      </c>
      <c r="V1144" s="4">
        <f>Table1[[#This Row],[Net_Profit]]/Table1[[#This Row],[Net_Sales]]</f>
        <v>0.36406210674153816</v>
      </c>
      <c r="W1144" t="s">
        <v>33</v>
      </c>
      <c r="X1144" t="s">
        <v>1151</v>
      </c>
      <c r="Y1144">
        <v>10</v>
      </c>
      <c r="Z1144" t="str">
        <f>IF(Table1[[#This Row],[Month_No]]&lt;=6, "H1","H2")</f>
        <v>H2</v>
      </c>
    </row>
    <row r="1145" spans="1:26" x14ac:dyDescent="0.25">
      <c r="A1145" s="2">
        <v>45949</v>
      </c>
      <c r="B1145" t="s">
        <v>1227</v>
      </c>
      <c r="C1145" t="s">
        <v>55</v>
      </c>
      <c r="D1145" t="s">
        <v>28</v>
      </c>
      <c r="E1145" t="s">
        <v>29</v>
      </c>
      <c r="F1145" t="s">
        <v>30</v>
      </c>
      <c r="G1145" t="s">
        <v>61</v>
      </c>
      <c r="H1145" t="s">
        <v>59</v>
      </c>
      <c r="I1145">
        <v>58.24826933480086</v>
      </c>
      <c r="J1145" s="3">
        <v>1254.68</v>
      </c>
      <c r="K1145" s="3">
        <f>Table1[[#This Row],[Quantity]]*Table1[[#This Row],[Unit_Price]]</f>
        <v>73082.938568987942</v>
      </c>
      <c r="L1145" s="3">
        <v>1755.53</v>
      </c>
      <c r="M1145" s="3">
        <f>Table1[[#This Row],[Gross_Sales]]-Table1[[#This Row],[Discount]]</f>
        <v>71327.408568987943</v>
      </c>
      <c r="N1145" s="3">
        <v>39736.51</v>
      </c>
      <c r="O1145" s="3">
        <v>2123.29</v>
      </c>
      <c r="P1145" s="3">
        <v>4236.4799999999996</v>
      </c>
      <c r="Q1145" s="3">
        <v>1604.78</v>
      </c>
      <c r="R1145" s="3">
        <v>1459.98</v>
      </c>
      <c r="S1145" s="3">
        <f>SUM(Table1[[#This Row],[Product_Cost]:[Other_Cost]])</f>
        <v>49161.04</v>
      </c>
      <c r="T1145" s="3">
        <f>Table1[[#This Row],[Net_Sales]]-Table1[[#This Row],[Product_Cost]]</f>
        <v>31590.898568987941</v>
      </c>
      <c r="U1145" s="3">
        <f>Table1[[#This Row],[Net_Sales]]-Table1[[#This Row],[Total_Cost]]</f>
        <v>22166.368568987942</v>
      </c>
      <c r="V1145" s="4">
        <f>Table1[[#This Row],[Net_Profit]]/Table1[[#This Row],[Net_Sales]]</f>
        <v>0.31076929631543543</v>
      </c>
      <c r="W1145" t="s">
        <v>72</v>
      </c>
      <c r="X1145" t="s">
        <v>1151</v>
      </c>
      <c r="Y1145">
        <v>10</v>
      </c>
      <c r="Z1145" t="str">
        <f>IF(Table1[[#This Row],[Month_No]]&lt;=6, "H1","H2")</f>
        <v>H2</v>
      </c>
    </row>
    <row r="1146" spans="1:26" x14ac:dyDescent="0.25">
      <c r="A1146" s="2">
        <v>45949</v>
      </c>
      <c r="B1146" t="s">
        <v>1228</v>
      </c>
      <c r="C1146" t="s">
        <v>27</v>
      </c>
      <c r="D1146" t="s">
        <v>66</v>
      </c>
      <c r="E1146" t="s">
        <v>51</v>
      </c>
      <c r="F1146" t="s">
        <v>46</v>
      </c>
      <c r="G1146" t="s">
        <v>58</v>
      </c>
      <c r="H1146" t="s">
        <v>41</v>
      </c>
      <c r="I1146">
        <v>53.274610830874657</v>
      </c>
      <c r="J1146" s="3">
        <v>1609.97</v>
      </c>
      <c r="K1146" s="3">
        <f>Table1[[#This Row],[Quantity]]*Table1[[#This Row],[Unit_Price]]</f>
        <v>85770.525199383279</v>
      </c>
      <c r="L1146" s="3">
        <v>4229.66</v>
      </c>
      <c r="M1146" s="3">
        <f>Table1[[#This Row],[Gross_Sales]]-Table1[[#This Row],[Discount]]</f>
        <v>81540.865199383275</v>
      </c>
      <c r="N1146" s="3">
        <v>40660.160000000003</v>
      </c>
      <c r="O1146" s="3">
        <v>1520.07</v>
      </c>
      <c r="P1146" s="3">
        <v>4804.96</v>
      </c>
      <c r="Q1146" s="3">
        <v>2069.64</v>
      </c>
      <c r="R1146" s="3">
        <v>1665.63</v>
      </c>
      <c r="S1146" s="3">
        <f>SUM(Table1[[#This Row],[Product_Cost]:[Other_Cost]])</f>
        <v>50720.46</v>
      </c>
      <c r="T1146" s="3">
        <f>Table1[[#This Row],[Net_Sales]]-Table1[[#This Row],[Product_Cost]]</f>
        <v>40880.705199383272</v>
      </c>
      <c r="U1146" s="3">
        <f>Table1[[#This Row],[Net_Sales]]-Table1[[#This Row],[Total_Cost]]</f>
        <v>30820.405199383276</v>
      </c>
      <c r="V1146" s="4">
        <f>Table1[[#This Row],[Net_Profit]]/Table1[[#This Row],[Net_Sales]]</f>
        <v>0.3779749592308273</v>
      </c>
      <c r="W1146" t="s">
        <v>72</v>
      </c>
      <c r="X1146" t="s">
        <v>1151</v>
      </c>
      <c r="Y1146">
        <v>10</v>
      </c>
      <c r="Z1146" t="str">
        <f>IF(Table1[[#This Row],[Month_No]]&lt;=6, "H1","H2")</f>
        <v>H2</v>
      </c>
    </row>
    <row r="1147" spans="1:26" x14ac:dyDescent="0.25">
      <c r="A1147" s="2">
        <v>45949</v>
      </c>
      <c r="B1147" t="s">
        <v>1229</v>
      </c>
      <c r="C1147" t="s">
        <v>27</v>
      </c>
      <c r="D1147" t="s">
        <v>100</v>
      </c>
      <c r="E1147" t="s">
        <v>75</v>
      </c>
      <c r="F1147" t="s">
        <v>52</v>
      </c>
      <c r="G1147" t="s">
        <v>58</v>
      </c>
      <c r="H1147" t="s">
        <v>59</v>
      </c>
      <c r="I1147">
        <v>31.490029103120481</v>
      </c>
      <c r="J1147" s="3">
        <v>7585.32</v>
      </c>
      <c r="K1147" s="3">
        <f>Table1[[#This Row],[Quantity]]*Table1[[#This Row],[Unit_Price]]</f>
        <v>238861.94755648184</v>
      </c>
      <c r="L1147" s="3">
        <v>8817.11</v>
      </c>
      <c r="M1147" s="3">
        <f>Table1[[#This Row],[Gross_Sales]]-Table1[[#This Row],[Discount]]</f>
        <v>230044.83755648183</v>
      </c>
      <c r="N1147" s="3">
        <v>134797.04</v>
      </c>
      <c r="O1147" s="3">
        <v>3645.15</v>
      </c>
      <c r="P1147" s="3">
        <v>12987.9</v>
      </c>
      <c r="Q1147" s="3">
        <v>4314.49</v>
      </c>
      <c r="R1147" s="3">
        <v>3943.69</v>
      </c>
      <c r="S1147" s="3">
        <f>SUM(Table1[[#This Row],[Product_Cost]:[Other_Cost]])</f>
        <v>159688.26999999999</v>
      </c>
      <c r="T1147" s="3">
        <f>Table1[[#This Row],[Net_Sales]]-Table1[[#This Row],[Product_Cost]]</f>
        <v>95247.797556481819</v>
      </c>
      <c r="U1147" s="3">
        <f>Table1[[#This Row],[Net_Sales]]-Table1[[#This Row],[Total_Cost]]</f>
        <v>70356.567556481838</v>
      </c>
      <c r="V1147" s="4">
        <f>Table1[[#This Row],[Net_Profit]]/Table1[[#This Row],[Net_Sales]]</f>
        <v>0.30583849785026157</v>
      </c>
      <c r="W1147" t="s">
        <v>33</v>
      </c>
      <c r="X1147" t="s">
        <v>1151</v>
      </c>
      <c r="Y1147">
        <v>10</v>
      </c>
      <c r="Z1147" t="str">
        <f>IF(Table1[[#This Row],[Month_No]]&lt;=6, "H1","H2")</f>
        <v>H2</v>
      </c>
    </row>
    <row r="1148" spans="1:26" x14ac:dyDescent="0.25">
      <c r="A1148" s="2">
        <v>45949</v>
      </c>
      <c r="B1148" t="s">
        <v>1230</v>
      </c>
      <c r="C1148" t="s">
        <v>117</v>
      </c>
      <c r="D1148" t="s">
        <v>66</v>
      </c>
      <c r="E1148" t="s">
        <v>51</v>
      </c>
      <c r="F1148" t="s">
        <v>52</v>
      </c>
      <c r="G1148" t="s">
        <v>86</v>
      </c>
      <c r="H1148" t="s">
        <v>41</v>
      </c>
      <c r="I1148">
        <v>39.953585392871219</v>
      </c>
      <c r="J1148" s="3">
        <v>1604.71</v>
      </c>
      <c r="K1148" s="3">
        <f>Table1[[#This Row],[Quantity]]*Table1[[#This Row],[Unit_Price]]</f>
        <v>64113.918015794377</v>
      </c>
      <c r="L1148" s="3">
        <v>2812.21</v>
      </c>
      <c r="M1148" s="3">
        <f>Table1[[#This Row],[Gross_Sales]]-Table1[[#This Row],[Discount]]</f>
        <v>61301.708015794378</v>
      </c>
      <c r="N1148" s="3">
        <v>30550.240000000002</v>
      </c>
      <c r="O1148" s="3">
        <v>1076.0899999999999</v>
      </c>
      <c r="P1148" s="3">
        <v>2959.8</v>
      </c>
      <c r="Q1148" s="3">
        <v>1139.3399999999999</v>
      </c>
      <c r="R1148" s="3">
        <v>1069.9000000000001</v>
      </c>
      <c r="S1148" s="3">
        <f>SUM(Table1[[#This Row],[Product_Cost]:[Other_Cost]])</f>
        <v>36795.370000000003</v>
      </c>
      <c r="T1148" s="3">
        <f>Table1[[#This Row],[Net_Sales]]-Table1[[#This Row],[Product_Cost]]</f>
        <v>30751.468015794377</v>
      </c>
      <c r="U1148" s="3">
        <f>Table1[[#This Row],[Net_Sales]]-Table1[[#This Row],[Total_Cost]]</f>
        <v>24506.338015794376</v>
      </c>
      <c r="V1148" s="4">
        <f>Table1[[#This Row],[Net_Profit]]/Table1[[#This Row],[Net_Sales]]</f>
        <v>0.39976599036164406</v>
      </c>
      <c r="W1148" t="s">
        <v>33</v>
      </c>
      <c r="X1148" t="s">
        <v>1151</v>
      </c>
      <c r="Y1148">
        <v>10</v>
      </c>
      <c r="Z1148" t="str">
        <f>IF(Table1[[#This Row],[Month_No]]&lt;=6, "H1","H2")</f>
        <v>H2</v>
      </c>
    </row>
    <row r="1149" spans="1:26" x14ac:dyDescent="0.25">
      <c r="A1149" s="2">
        <v>45950</v>
      </c>
      <c r="B1149" t="s">
        <v>1231</v>
      </c>
      <c r="C1149" t="s">
        <v>36</v>
      </c>
      <c r="D1149" t="s">
        <v>66</v>
      </c>
      <c r="E1149" t="s">
        <v>51</v>
      </c>
      <c r="F1149" t="s">
        <v>39</v>
      </c>
      <c r="G1149" t="s">
        <v>71</v>
      </c>
      <c r="H1149" t="s">
        <v>41</v>
      </c>
      <c r="I1149">
        <v>54.500801157418479</v>
      </c>
      <c r="J1149" s="3">
        <v>1539.68</v>
      </c>
      <c r="K1149" s="3">
        <f>Table1[[#This Row],[Quantity]]*Table1[[#This Row],[Unit_Price]]</f>
        <v>83913.793526054083</v>
      </c>
      <c r="L1149" s="3">
        <v>4318.8100000000004</v>
      </c>
      <c r="M1149" s="3">
        <f>Table1[[#This Row],[Gross_Sales]]-Table1[[#This Row],[Discount]]</f>
        <v>79594.983526054086</v>
      </c>
      <c r="N1149" s="3">
        <v>39017.4</v>
      </c>
      <c r="O1149" s="3">
        <v>2332.64</v>
      </c>
      <c r="P1149" s="3">
        <v>4862.87</v>
      </c>
      <c r="Q1149" s="3">
        <v>2320.7600000000002</v>
      </c>
      <c r="R1149" s="3">
        <v>1228.56</v>
      </c>
      <c r="S1149" s="3">
        <f>SUM(Table1[[#This Row],[Product_Cost]:[Other_Cost]])</f>
        <v>49762.23</v>
      </c>
      <c r="T1149" s="3">
        <f>Table1[[#This Row],[Net_Sales]]-Table1[[#This Row],[Product_Cost]]</f>
        <v>40577.583526054084</v>
      </c>
      <c r="U1149" s="3">
        <f>Table1[[#This Row],[Net_Sales]]-Table1[[#This Row],[Total_Cost]]</f>
        <v>29832.753526054083</v>
      </c>
      <c r="V1149" s="4">
        <f>Table1[[#This Row],[Net_Profit]]/Table1[[#This Row],[Net_Sales]]</f>
        <v>0.37480695647469831</v>
      </c>
      <c r="W1149" t="s">
        <v>33</v>
      </c>
      <c r="X1149" t="s">
        <v>1151</v>
      </c>
      <c r="Y1149">
        <v>10</v>
      </c>
      <c r="Z1149" t="str">
        <f>IF(Table1[[#This Row],[Month_No]]&lt;=6, "H1","H2")</f>
        <v>H2</v>
      </c>
    </row>
    <row r="1150" spans="1:26" x14ac:dyDescent="0.25">
      <c r="A1150" s="2">
        <v>45950</v>
      </c>
      <c r="B1150" t="s">
        <v>1232</v>
      </c>
      <c r="C1150" t="s">
        <v>27</v>
      </c>
      <c r="D1150" t="s">
        <v>74</v>
      </c>
      <c r="E1150" t="s">
        <v>75</v>
      </c>
      <c r="F1150" t="s">
        <v>52</v>
      </c>
      <c r="G1150" t="s">
        <v>31</v>
      </c>
      <c r="H1150" t="s">
        <v>41</v>
      </c>
      <c r="I1150">
        <v>86.732437504314106</v>
      </c>
      <c r="J1150" s="3">
        <v>5761.97</v>
      </c>
      <c r="K1150" s="3">
        <f>Table1[[#This Row],[Quantity]]*Table1[[#This Row],[Unit_Price]]</f>
        <v>499749.70292673277</v>
      </c>
      <c r="L1150" s="3">
        <v>20092.189999999999</v>
      </c>
      <c r="M1150" s="3">
        <f>Table1[[#This Row],[Gross_Sales]]-Table1[[#This Row],[Discount]]</f>
        <v>479657.51292673277</v>
      </c>
      <c r="N1150" s="3">
        <v>347290.42</v>
      </c>
      <c r="O1150" s="3">
        <v>9822.82</v>
      </c>
      <c r="P1150" s="3">
        <v>23943.38</v>
      </c>
      <c r="Q1150" s="3">
        <v>11012.33</v>
      </c>
      <c r="R1150" s="3">
        <v>10549.47</v>
      </c>
      <c r="S1150" s="3">
        <f>SUM(Table1[[#This Row],[Product_Cost]:[Other_Cost]])</f>
        <v>402618.42</v>
      </c>
      <c r="T1150" s="3">
        <f>Table1[[#This Row],[Net_Sales]]-Table1[[#This Row],[Product_Cost]]</f>
        <v>132367.09292673279</v>
      </c>
      <c r="U1150" s="3">
        <f>Table1[[#This Row],[Net_Sales]]-Table1[[#This Row],[Total_Cost]]</f>
        <v>77039.092926732788</v>
      </c>
      <c r="V1150" s="4">
        <f>Table1[[#This Row],[Net_Profit]]/Table1[[#This Row],[Net_Sales]]</f>
        <v>0.16061270979925302</v>
      </c>
      <c r="W1150" t="s">
        <v>33</v>
      </c>
      <c r="X1150" t="s">
        <v>1151</v>
      </c>
      <c r="Y1150">
        <v>10</v>
      </c>
      <c r="Z1150" t="str">
        <f>IF(Table1[[#This Row],[Month_No]]&lt;=6, "H1","H2")</f>
        <v>H2</v>
      </c>
    </row>
    <row r="1151" spans="1:26" x14ac:dyDescent="0.25">
      <c r="A1151" s="2">
        <v>45950</v>
      </c>
      <c r="B1151" t="s">
        <v>1233</v>
      </c>
      <c r="C1151" t="s">
        <v>27</v>
      </c>
      <c r="D1151" t="s">
        <v>56</v>
      </c>
      <c r="E1151" t="s">
        <v>57</v>
      </c>
      <c r="F1151" t="s">
        <v>52</v>
      </c>
      <c r="G1151" t="s">
        <v>40</v>
      </c>
      <c r="H1151" t="s">
        <v>41</v>
      </c>
      <c r="I1151">
        <v>10.835593413330569</v>
      </c>
      <c r="J1151" s="3">
        <v>3278.53</v>
      </c>
      <c r="K1151" s="3">
        <f>Table1[[#This Row],[Quantity]]*Table1[[#This Row],[Unit_Price]]</f>
        <v>35524.81807340667</v>
      </c>
      <c r="L1151" s="3">
        <v>1923.95</v>
      </c>
      <c r="M1151" s="3">
        <f>Table1[[#This Row],[Gross_Sales]]-Table1[[#This Row],[Discount]]</f>
        <v>33600.868073406673</v>
      </c>
      <c r="N1151" s="3">
        <v>17168.77</v>
      </c>
      <c r="O1151" s="3">
        <v>600.67999999999995</v>
      </c>
      <c r="P1151" s="3">
        <v>1734.77</v>
      </c>
      <c r="Q1151" s="3">
        <v>834.1</v>
      </c>
      <c r="R1151" s="3">
        <v>440.04</v>
      </c>
      <c r="S1151" s="3">
        <f>SUM(Table1[[#This Row],[Product_Cost]:[Other_Cost]])</f>
        <v>20778.36</v>
      </c>
      <c r="T1151" s="3">
        <f>Table1[[#This Row],[Net_Sales]]-Table1[[#This Row],[Product_Cost]]</f>
        <v>16432.098073406672</v>
      </c>
      <c r="U1151" s="3">
        <f>Table1[[#This Row],[Net_Sales]]-Table1[[#This Row],[Total_Cost]]</f>
        <v>12822.508073406672</v>
      </c>
      <c r="V1151" s="4">
        <f>Table1[[#This Row],[Net_Profit]]/Table1[[#This Row],[Net_Sales]]</f>
        <v>0.38161240493530629</v>
      </c>
      <c r="W1151" t="s">
        <v>33</v>
      </c>
      <c r="X1151" t="s">
        <v>1151</v>
      </c>
      <c r="Y1151">
        <v>10</v>
      </c>
      <c r="Z1151" t="str">
        <f>IF(Table1[[#This Row],[Month_No]]&lt;=6, "H1","H2")</f>
        <v>H2</v>
      </c>
    </row>
    <row r="1152" spans="1:26" x14ac:dyDescent="0.25">
      <c r="A1152" s="2">
        <v>45950</v>
      </c>
      <c r="B1152" t="s">
        <v>1234</v>
      </c>
      <c r="C1152" t="s">
        <v>78</v>
      </c>
      <c r="D1152" t="s">
        <v>81</v>
      </c>
      <c r="E1152" t="s">
        <v>45</v>
      </c>
      <c r="F1152" t="s">
        <v>46</v>
      </c>
      <c r="G1152" t="s">
        <v>40</v>
      </c>
      <c r="H1152" t="s">
        <v>32</v>
      </c>
      <c r="I1152">
        <v>23.566219922644692</v>
      </c>
      <c r="J1152" s="3">
        <v>7280</v>
      </c>
      <c r="K1152" s="3">
        <f>Table1[[#This Row],[Quantity]]*Table1[[#This Row],[Unit_Price]]</f>
        <v>171562.08103685334</v>
      </c>
      <c r="L1152" s="3">
        <v>10196.77</v>
      </c>
      <c r="M1152" s="3">
        <f>Table1[[#This Row],[Gross_Sales]]-Table1[[#This Row],[Discount]]</f>
        <v>161365.31103685335</v>
      </c>
      <c r="N1152" s="3">
        <v>85510.74</v>
      </c>
      <c r="O1152" s="3">
        <v>3206.18</v>
      </c>
      <c r="P1152" s="3">
        <v>9541.77</v>
      </c>
      <c r="Q1152" s="3">
        <v>3231.33</v>
      </c>
      <c r="R1152" s="3">
        <v>2944.06</v>
      </c>
      <c r="S1152" s="3">
        <f>SUM(Table1[[#This Row],[Product_Cost]:[Other_Cost]])</f>
        <v>104434.08</v>
      </c>
      <c r="T1152" s="3">
        <f>Table1[[#This Row],[Net_Sales]]-Table1[[#This Row],[Product_Cost]]</f>
        <v>75854.571036853347</v>
      </c>
      <c r="U1152" s="3">
        <f>Table1[[#This Row],[Net_Sales]]-Table1[[#This Row],[Total_Cost]]</f>
        <v>56931.231036853351</v>
      </c>
      <c r="V1152" s="4">
        <f>Table1[[#This Row],[Net_Profit]]/Table1[[#This Row],[Net_Sales]]</f>
        <v>0.3528096012150414</v>
      </c>
      <c r="W1152" t="s">
        <v>72</v>
      </c>
      <c r="X1152" t="s">
        <v>1151</v>
      </c>
      <c r="Y1152">
        <v>10</v>
      </c>
      <c r="Z1152" t="str">
        <f>IF(Table1[[#This Row],[Month_No]]&lt;=6, "H1","H2")</f>
        <v>H2</v>
      </c>
    </row>
    <row r="1153" spans="1:26" x14ac:dyDescent="0.25">
      <c r="A1153" s="2">
        <v>45950</v>
      </c>
      <c r="B1153" t="s">
        <v>1235</v>
      </c>
      <c r="C1153" t="s">
        <v>63</v>
      </c>
      <c r="D1153" t="s">
        <v>56</v>
      </c>
      <c r="E1153" t="s">
        <v>57</v>
      </c>
      <c r="F1153" t="s">
        <v>39</v>
      </c>
      <c r="G1153" t="s">
        <v>61</v>
      </c>
      <c r="H1153" t="s">
        <v>32</v>
      </c>
      <c r="I1153">
        <v>27.281882038718361</v>
      </c>
      <c r="J1153" s="3">
        <v>3490.46</v>
      </c>
      <c r="K1153" s="3">
        <f>Table1[[#This Row],[Quantity]]*Table1[[#This Row],[Unit_Price]]</f>
        <v>95226.317980864886</v>
      </c>
      <c r="L1153" s="3">
        <v>5587.19</v>
      </c>
      <c r="M1153" s="3">
        <f>Table1[[#This Row],[Gross_Sales]]-Table1[[#This Row],[Discount]]</f>
        <v>89639.127980864883</v>
      </c>
      <c r="N1153" s="3">
        <v>44224.62</v>
      </c>
      <c r="O1153" s="3">
        <v>2705.35</v>
      </c>
      <c r="P1153" s="3">
        <v>4738.01</v>
      </c>
      <c r="Q1153" s="3">
        <v>2861.63</v>
      </c>
      <c r="R1153" s="3">
        <v>1158.25</v>
      </c>
      <c r="S1153" s="3">
        <f>SUM(Table1[[#This Row],[Product_Cost]:[Other_Cost]])</f>
        <v>55687.86</v>
      </c>
      <c r="T1153" s="3">
        <f>Table1[[#This Row],[Net_Sales]]-Table1[[#This Row],[Product_Cost]]</f>
        <v>45414.507980864881</v>
      </c>
      <c r="U1153" s="3">
        <f>Table1[[#This Row],[Net_Sales]]-Table1[[#This Row],[Total_Cost]]</f>
        <v>33951.267980864883</v>
      </c>
      <c r="V1153" s="4">
        <f>Table1[[#This Row],[Net_Profit]]/Table1[[#This Row],[Net_Sales]]</f>
        <v>0.3787550006969323</v>
      </c>
      <c r="W1153" t="s">
        <v>33</v>
      </c>
      <c r="X1153" t="s">
        <v>1151</v>
      </c>
      <c r="Y1153">
        <v>10</v>
      </c>
      <c r="Z1153" t="str">
        <f>IF(Table1[[#This Row],[Month_No]]&lt;=6, "H1","H2")</f>
        <v>H2</v>
      </c>
    </row>
    <row r="1154" spans="1:26" x14ac:dyDescent="0.25">
      <c r="A1154" s="2">
        <v>45951</v>
      </c>
      <c r="B1154" t="s">
        <v>1236</v>
      </c>
      <c r="C1154" t="s">
        <v>63</v>
      </c>
      <c r="D1154" t="s">
        <v>81</v>
      </c>
      <c r="E1154" t="s">
        <v>45</v>
      </c>
      <c r="F1154" t="s">
        <v>39</v>
      </c>
      <c r="G1154" t="s">
        <v>86</v>
      </c>
      <c r="H1154" t="s">
        <v>41</v>
      </c>
      <c r="I1154">
        <v>50.585015875830877</v>
      </c>
      <c r="J1154" s="3">
        <v>6830.95</v>
      </c>
      <c r="K1154" s="3">
        <f>Table1[[#This Row],[Quantity]]*Table1[[#This Row],[Unit_Price]]</f>
        <v>345543.71419700689</v>
      </c>
      <c r="L1154" s="3">
        <v>11891.57</v>
      </c>
      <c r="M1154" s="3">
        <f>Table1[[#This Row],[Gross_Sales]]-Table1[[#This Row],[Discount]]</f>
        <v>333652.14419700688</v>
      </c>
      <c r="N1154" s="3">
        <v>171450.49</v>
      </c>
      <c r="O1154" s="3">
        <v>9403.66</v>
      </c>
      <c r="P1154" s="3">
        <v>18456.59</v>
      </c>
      <c r="Q1154" s="3">
        <v>6956.24</v>
      </c>
      <c r="R1154" s="3">
        <v>5948.39</v>
      </c>
      <c r="S1154" s="3">
        <f>SUM(Table1[[#This Row],[Product_Cost]:[Other_Cost]])</f>
        <v>212215.37</v>
      </c>
      <c r="T1154" s="3">
        <f>Table1[[#This Row],[Net_Sales]]-Table1[[#This Row],[Product_Cost]]</f>
        <v>162201.65419700689</v>
      </c>
      <c r="U1154" s="3">
        <f>Table1[[#This Row],[Net_Sales]]-Table1[[#This Row],[Total_Cost]]</f>
        <v>121436.77419700689</v>
      </c>
      <c r="V1154" s="4">
        <f>Table1[[#This Row],[Net_Profit]]/Table1[[#This Row],[Net_Sales]]</f>
        <v>0.36396221726452871</v>
      </c>
      <c r="W1154" t="s">
        <v>33</v>
      </c>
      <c r="X1154" t="s">
        <v>1151</v>
      </c>
      <c r="Y1154">
        <v>10</v>
      </c>
      <c r="Z1154" t="str">
        <f>IF(Table1[[#This Row],[Month_No]]&lt;=6, "H1","H2")</f>
        <v>H2</v>
      </c>
    </row>
    <row r="1155" spans="1:26" x14ac:dyDescent="0.25">
      <c r="A1155" s="2">
        <v>45951</v>
      </c>
      <c r="B1155" t="s">
        <v>1237</v>
      </c>
      <c r="C1155" t="s">
        <v>27</v>
      </c>
      <c r="D1155" t="s">
        <v>66</v>
      </c>
      <c r="E1155" t="s">
        <v>51</v>
      </c>
      <c r="F1155" t="s">
        <v>52</v>
      </c>
      <c r="G1155" t="s">
        <v>86</v>
      </c>
      <c r="H1155" t="s">
        <v>41</v>
      </c>
      <c r="I1155">
        <v>47.911704750846638</v>
      </c>
      <c r="J1155" s="3">
        <v>1567.35</v>
      </c>
      <c r="K1155" s="3">
        <f>Table1[[#This Row],[Quantity]]*Table1[[#This Row],[Unit_Price]]</f>
        <v>75094.410441239481</v>
      </c>
      <c r="L1155" s="3">
        <v>2525.02</v>
      </c>
      <c r="M1155" s="3">
        <f>Table1[[#This Row],[Gross_Sales]]-Table1[[#This Row],[Discount]]</f>
        <v>72569.390441239477</v>
      </c>
      <c r="N1155" s="3">
        <v>35387.980000000003</v>
      </c>
      <c r="O1155" s="3">
        <v>1114.58</v>
      </c>
      <c r="P1155" s="3">
        <v>4454.96</v>
      </c>
      <c r="Q1155" s="3">
        <v>1882.76</v>
      </c>
      <c r="R1155" s="3">
        <v>1364.93</v>
      </c>
      <c r="S1155" s="3">
        <f>SUM(Table1[[#This Row],[Product_Cost]:[Other_Cost]])</f>
        <v>44205.210000000006</v>
      </c>
      <c r="T1155" s="3">
        <f>Table1[[#This Row],[Net_Sales]]-Table1[[#This Row],[Product_Cost]]</f>
        <v>37181.410441239474</v>
      </c>
      <c r="U1155" s="3">
        <f>Table1[[#This Row],[Net_Sales]]-Table1[[#This Row],[Total_Cost]]</f>
        <v>28364.18044123947</v>
      </c>
      <c r="V1155" s="4">
        <f>Table1[[#This Row],[Net_Profit]]/Table1[[#This Row],[Net_Sales]]</f>
        <v>0.39085598306363578</v>
      </c>
      <c r="W1155" t="s">
        <v>33</v>
      </c>
      <c r="X1155" t="s">
        <v>1151</v>
      </c>
      <c r="Y1155">
        <v>10</v>
      </c>
      <c r="Z1155" t="str">
        <f>IF(Table1[[#This Row],[Month_No]]&lt;=6, "H1","H2")</f>
        <v>H2</v>
      </c>
    </row>
    <row r="1156" spans="1:26" x14ac:dyDescent="0.25">
      <c r="A1156" s="2">
        <v>45951</v>
      </c>
      <c r="B1156" t="s">
        <v>1238</v>
      </c>
      <c r="C1156" t="s">
        <v>27</v>
      </c>
      <c r="D1156" t="s">
        <v>66</v>
      </c>
      <c r="E1156" t="s">
        <v>51</v>
      </c>
      <c r="F1156" t="s">
        <v>52</v>
      </c>
      <c r="G1156" t="s">
        <v>61</v>
      </c>
      <c r="H1156" t="s">
        <v>41</v>
      </c>
      <c r="I1156">
        <v>36.568787466989527</v>
      </c>
      <c r="J1156" s="3">
        <v>1559.59</v>
      </c>
      <c r="K1156" s="3">
        <f>Table1[[#This Row],[Quantity]]*Table1[[#This Row],[Unit_Price]]</f>
        <v>57032.315245642196</v>
      </c>
      <c r="L1156" s="3">
        <v>2270.8000000000002</v>
      </c>
      <c r="M1156" s="3">
        <f>Table1[[#This Row],[Gross_Sales]]-Table1[[#This Row],[Discount]]</f>
        <v>54761.515245642193</v>
      </c>
      <c r="N1156" s="3">
        <v>28301.55</v>
      </c>
      <c r="O1156" s="3">
        <v>945.36</v>
      </c>
      <c r="P1156" s="3">
        <v>2656.33</v>
      </c>
      <c r="Q1156" s="3">
        <v>1178.7</v>
      </c>
      <c r="R1156" s="3">
        <v>1047.4000000000001</v>
      </c>
      <c r="S1156" s="3">
        <f>SUM(Table1[[#This Row],[Product_Cost]:[Other_Cost]])</f>
        <v>34129.339999999997</v>
      </c>
      <c r="T1156" s="3">
        <f>Table1[[#This Row],[Net_Sales]]-Table1[[#This Row],[Product_Cost]]</f>
        <v>26459.965245642194</v>
      </c>
      <c r="U1156" s="3">
        <f>Table1[[#This Row],[Net_Sales]]-Table1[[#This Row],[Total_Cost]]</f>
        <v>20632.175245642196</v>
      </c>
      <c r="V1156" s="4">
        <f>Table1[[#This Row],[Net_Profit]]/Table1[[#This Row],[Net_Sales]]</f>
        <v>0.37676414089517113</v>
      </c>
      <c r="W1156" t="s">
        <v>33</v>
      </c>
      <c r="X1156" t="s">
        <v>1151</v>
      </c>
      <c r="Y1156">
        <v>10</v>
      </c>
      <c r="Z1156" t="str">
        <f>IF(Table1[[#This Row],[Month_No]]&lt;=6, "H1","H2")</f>
        <v>H2</v>
      </c>
    </row>
    <row r="1157" spans="1:26" x14ac:dyDescent="0.25">
      <c r="A1157" s="2">
        <v>45951</v>
      </c>
      <c r="B1157" t="s">
        <v>1239</v>
      </c>
      <c r="C1157" t="s">
        <v>43</v>
      </c>
      <c r="D1157" t="s">
        <v>74</v>
      </c>
      <c r="E1157" t="s">
        <v>75</v>
      </c>
      <c r="F1157" t="s">
        <v>39</v>
      </c>
      <c r="G1157" t="s">
        <v>64</v>
      </c>
      <c r="H1157" t="s">
        <v>59</v>
      </c>
      <c r="I1157">
        <v>65.031658540832979</v>
      </c>
      <c r="J1157" s="3">
        <v>5952.13</v>
      </c>
      <c r="K1157" s="3">
        <f>Table1[[#This Row],[Quantity]]*Table1[[#This Row],[Unit_Price]]</f>
        <v>387076.88575064822</v>
      </c>
      <c r="L1157" s="3">
        <v>11219.03</v>
      </c>
      <c r="M1157" s="3">
        <f>Table1[[#This Row],[Gross_Sales]]-Table1[[#This Row],[Discount]]</f>
        <v>375857.85575064819</v>
      </c>
      <c r="N1157" s="3">
        <v>248946.29</v>
      </c>
      <c r="O1157" s="3">
        <v>11823.22</v>
      </c>
      <c r="P1157" s="3">
        <v>20405.75</v>
      </c>
      <c r="Q1157" s="3">
        <v>7042.08</v>
      </c>
      <c r="R1157" s="3">
        <v>7412.26</v>
      </c>
      <c r="S1157" s="3">
        <f>SUM(Table1[[#This Row],[Product_Cost]:[Other_Cost]])</f>
        <v>295629.60000000003</v>
      </c>
      <c r="T1157" s="3">
        <f>Table1[[#This Row],[Net_Sales]]-Table1[[#This Row],[Product_Cost]]</f>
        <v>126911.56575064818</v>
      </c>
      <c r="U1157" s="3">
        <f>Table1[[#This Row],[Net_Sales]]-Table1[[#This Row],[Total_Cost]]</f>
        <v>80228.255750648153</v>
      </c>
      <c r="V1157" s="4">
        <f>Table1[[#This Row],[Net_Profit]]/Table1[[#This Row],[Net_Sales]]</f>
        <v>0.21345371534251828</v>
      </c>
      <c r="W1157" t="s">
        <v>72</v>
      </c>
      <c r="X1157" t="s">
        <v>1151</v>
      </c>
      <c r="Y1157">
        <v>10</v>
      </c>
      <c r="Z1157" t="str">
        <f>IF(Table1[[#This Row],[Month_No]]&lt;=6, "H1","H2")</f>
        <v>H2</v>
      </c>
    </row>
    <row r="1158" spans="1:26" x14ac:dyDescent="0.25">
      <c r="A1158" s="2">
        <v>45952</v>
      </c>
      <c r="B1158" t="s">
        <v>1240</v>
      </c>
      <c r="C1158" t="s">
        <v>36</v>
      </c>
      <c r="D1158" t="s">
        <v>56</v>
      </c>
      <c r="E1158" t="s">
        <v>57</v>
      </c>
      <c r="F1158" t="s">
        <v>39</v>
      </c>
      <c r="G1158" t="s">
        <v>64</v>
      </c>
      <c r="H1158" t="s">
        <v>47</v>
      </c>
      <c r="I1158">
        <v>45.109308891023559</v>
      </c>
      <c r="J1158" s="3">
        <v>3556.08</v>
      </c>
      <c r="K1158" s="3">
        <f>Table1[[#This Row],[Quantity]]*Table1[[#This Row],[Unit_Price]]</f>
        <v>160412.31116119106</v>
      </c>
      <c r="L1158" s="3">
        <v>4706.9799999999996</v>
      </c>
      <c r="M1158" s="3">
        <f>Table1[[#This Row],[Gross_Sales]]-Table1[[#This Row],[Discount]]</f>
        <v>155705.33116119105</v>
      </c>
      <c r="N1158" s="3">
        <v>76255.899999999994</v>
      </c>
      <c r="O1158" s="3">
        <v>4522.34</v>
      </c>
      <c r="P1158" s="3">
        <v>8800.33</v>
      </c>
      <c r="Q1158" s="3">
        <v>4251.16</v>
      </c>
      <c r="R1158" s="3">
        <v>2412.3200000000002</v>
      </c>
      <c r="S1158" s="3">
        <f>SUM(Table1[[#This Row],[Product_Cost]:[Other_Cost]])</f>
        <v>96242.05</v>
      </c>
      <c r="T1158" s="3">
        <f>Table1[[#This Row],[Net_Sales]]-Table1[[#This Row],[Product_Cost]]</f>
        <v>79449.431161191053</v>
      </c>
      <c r="U1158" s="3">
        <f>Table1[[#This Row],[Net_Sales]]-Table1[[#This Row],[Total_Cost]]</f>
        <v>59463.281161191044</v>
      </c>
      <c r="V1158" s="4">
        <f>Table1[[#This Row],[Net_Profit]]/Table1[[#This Row],[Net_Sales]]</f>
        <v>0.38189624412816531</v>
      </c>
      <c r="W1158" t="s">
        <v>33</v>
      </c>
      <c r="X1158" t="s">
        <v>1151</v>
      </c>
      <c r="Y1158">
        <v>10</v>
      </c>
      <c r="Z1158" t="str">
        <f>IF(Table1[[#This Row],[Month_No]]&lt;=6, "H1","H2")</f>
        <v>H2</v>
      </c>
    </row>
    <row r="1159" spans="1:26" x14ac:dyDescent="0.25">
      <c r="A1159" s="2">
        <v>45952</v>
      </c>
      <c r="B1159" t="s">
        <v>1241</v>
      </c>
      <c r="C1159" t="s">
        <v>117</v>
      </c>
      <c r="D1159" t="s">
        <v>100</v>
      </c>
      <c r="E1159" t="s">
        <v>75</v>
      </c>
      <c r="F1159" t="s">
        <v>30</v>
      </c>
      <c r="G1159" t="s">
        <v>40</v>
      </c>
      <c r="H1159" t="s">
        <v>47</v>
      </c>
      <c r="I1159">
        <v>63.94078173155382</v>
      </c>
      <c r="J1159" s="3">
        <v>7116.6</v>
      </c>
      <c r="K1159" s="3">
        <f>Table1[[#This Row],[Quantity]]*Table1[[#This Row],[Unit_Price]]</f>
        <v>455040.96727077593</v>
      </c>
      <c r="L1159" s="3">
        <v>20175.61</v>
      </c>
      <c r="M1159" s="3">
        <f>Table1[[#This Row],[Gross_Sales]]-Table1[[#This Row],[Discount]]</f>
        <v>434865.35727077594</v>
      </c>
      <c r="N1159" s="3">
        <v>237839.39</v>
      </c>
      <c r="O1159" s="3">
        <v>9769.27</v>
      </c>
      <c r="P1159" s="3">
        <v>24816.86</v>
      </c>
      <c r="Q1159" s="3">
        <v>10082.18</v>
      </c>
      <c r="R1159" s="3">
        <v>7880.66</v>
      </c>
      <c r="S1159" s="3">
        <f>SUM(Table1[[#This Row],[Product_Cost]:[Other_Cost]])</f>
        <v>290388.36</v>
      </c>
      <c r="T1159" s="3">
        <f>Table1[[#This Row],[Net_Sales]]-Table1[[#This Row],[Product_Cost]]</f>
        <v>197025.96727077593</v>
      </c>
      <c r="U1159" s="3">
        <f>Table1[[#This Row],[Net_Sales]]-Table1[[#This Row],[Total_Cost]]</f>
        <v>144476.99727077596</v>
      </c>
      <c r="V1159" s="4">
        <f>Table1[[#This Row],[Net_Profit]]/Table1[[#This Row],[Net_Sales]]</f>
        <v>0.33223386240172498</v>
      </c>
      <c r="W1159" t="s">
        <v>33</v>
      </c>
      <c r="X1159" t="s">
        <v>1151</v>
      </c>
      <c r="Y1159">
        <v>10</v>
      </c>
      <c r="Z1159" t="str">
        <f>IF(Table1[[#This Row],[Month_No]]&lt;=6, "H1","H2")</f>
        <v>H2</v>
      </c>
    </row>
    <row r="1160" spans="1:26" x14ac:dyDescent="0.25">
      <c r="A1160" s="2">
        <v>45952</v>
      </c>
      <c r="B1160" t="s">
        <v>1242</v>
      </c>
      <c r="C1160" t="s">
        <v>27</v>
      </c>
      <c r="D1160" t="s">
        <v>50</v>
      </c>
      <c r="E1160" t="s">
        <v>51</v>
      </c>
      <c r="F1160" t="s">
        <v>52</v>
      </c>
      <c r="G1160" t="s">
        <v>64</v>
      </c>
      <c r="H1160" t="s">
        <v>59</v>
      </c>
      <c r="I1160">
        <v>63.838145778854432</v>
      </c>
      <c r="J1160" s="3">
        <v>878.58</v>
      </c>
      <c r="K1160" s="3">
        <f>Table1[[#This Row],[Quantity]]*Table1[[#This Row],[Unit_Price]]</f>
        <v>56086.918118385933</v>
      </c>
      <c r="L1160" s="3">
        <v>1126.1400000000001</v>
      </c>
      <c r="M1160" s="3">
        <f>Table1[[#This Row],[Gross_Sales]]-Table1[[#This Row],[Discount]]</f>
        <v>54960.778118385933</v>
      </c>
      <c r="N1160" s="3">
        <v>34878.44</v>
      </c>
      <c r="O1160" s="3">
        <v>910.46</v>
      </c>
      <c r="P1160" s="3">
        <v>3042.77</v>
      </c>
      <c r="Q1160" s="3">
        <v>1314.91</v>
      </c>
      <c r="R1160" s="3">
        <v>839.39</v>
      </c>
      <c r="S1160" s="3">
        <f>SUM(Table1[[#This Row],[Product_Cost]:[Other_Cost]])</f>
        <v>40985.97</v>
      </c>
      <c r="T1160" s="3">
        <f>Table1[[#This Row],[Net_Sales]]-Table1[[#This Row],[Product_Cost]]</f>
        <v>20082.338118385931</v>
      </c>
      <c r="U1160" s="3">
        <f>Table1[[#This Row],[Net_Sales]]-Table1[[#This Row],[Total_Cost]]</f>
        <v>13974.808118385932</v>
      </c>
      <c r="V1160" s="4">
        <f>Table1[[#This Row],[Net_Profit]]/Table1[[#This Row],[Net_Sales]]</f>
        <v>0.25426874576419006</v>
      </c>
      <c r="W1160" t="s">
        <v>33</v>
      </c>
      <c r="X1160" t="s">
        <v>1151</v>
      </c>
      <c r="Y1160">
        <v>10</v>
      </c>
      <c r="Z1160" t="str">
        <f>IF(Table1[[#This Row],[Month_No]]&lt;=6, "H1","H2")</f>
        <v>H2</v>
      </c>
    </row>
    <row r="1161" spans="1:26" x14ac:dyDescent="0.25">
      <c r="A1161" s="2">
        <v>45953</v>
      </c>
      <c r="B1161" t="s">
        <v>1243</v>
      </c>
      <c r="C1161" t="s">
        <v>98</v>
      </c>
      <c r="D1161" t="s">
        <v>66</v>
      </c>
      <c r="E1161" t="s">
        <v>51</v>
      </c>
      <c r="F1161" t="s">
        <v>39</v>
      </c>
      <c r="G1161" t="s">
        <v>61</v>
      </c>
      <c r="H1161" t="s">
        <v>41</v>
      </c>
      <c r="I1161">
        <v>44.175400348335863</v>
      </c>
      <c r="J1161" s="3">
        <v>1526.51</v>
      </c>
      <c r="K1161" s="3">
        <f>Table1[[#This Row],[Quantity]]*Table1[[#This Row],[Unit_Price]]</f>
        <v>67434.190385738184</v>
      </c>
      <c r="L1161" s="3">
        <v>3590.97</v>
      </c>
      <c r="M1161" s="3">
        <f>Table1[[#This Row],[Gross_Sales]]-Table1[[#This Row],[Discount]]</f>
        <v>63843.220385738183</v>
      </c>
      <c r="N1161" s="3">
        <v>30983.85</v>
      </c>
      <c r="O1161" s="3">
        <v>1965.91</v>
      </c>
      <c r="P1161" s="3">
        <v>3101.74</v>
      </c>
      <c r="Q1161" s="3">
        <v>1863.26</v>
      </c>
      <c r="R1161" s="3">
        <v>869.55</v>
      </c>
      <c r="S1161" s="3">
        <f>SUM(Table1[[#This Row],[Product_Cost]:[Other_Cost]])</f>
        <v>38784.310000000005</v>
      </c>
      <c r="T1161" s="3">
        <f>Table1[[#This Row],[Net_Sales]]-Table1[[#This Row],[Product_Cost]]</f>
        <v>32859.370385738184</v>
      </c>
      <c r="U1161" s="3">
        <f>Table1[[#This Row],[Net_Sales]]-Table1[[#This Row],[Total_Cost]]</f>
        <v>25058.910385738178</v>
      </c>
      <c r="V1161" s="4">
        <f>Table1[[#This Row],[Net_Profit]]/Table1[[#This Row],[Net_Sales]]</f>
        <v>0.39250699188313565</v>
      </c>
      <c r="W1161" t="s">
        <v>33</v>
      </c>
      <c r="X1161" t="s">
        <v>1151</v>
      </c>
      <c r="Y1161">
        <v>10</v>
      </c>
      <c r="Z1161" t="str">
        <f>IF(Table1[[#This Row],[Month_No]]&lt;=6, "H1","H2")</f>
        <v>H2</v>
      </c>
    </row>
    <row r="1162" spans="1:26" x14ac:dyDescent="0.25">
      <c r="A1162" s="2">
        <v>45953</v>
      </c>
      <c r="B1162" t="s">
        <v>1244</v>
      </c>
      <c r="C1162" t="s">
        <v>43</v>
      </c>
      <c r="D1162" t="s">
        <v>28</v>
      </c>
      <c r="E1162" t="s">
        <v>29</v>
      </c>
      <c r="F1162" t="s">
        <v>46</v>
      </c>
      <c r="G1162" t="s">
        <v>86</v>
      </c>
      <c r="H1162" t="s">
        <v>41</v>
      </c>
      <c r="I1162">
        <v>62.26306891225363</v>
      </c>
      <c r="J1162" s="3">
        <v>1241.54</v>
      </c>
      <c r="K1162" s="3">
        <f>Table1[[#This Row],[Quantity]]*Table1[[#This Row],[Unit_Price]]</f>
        <v>77302.090577319366</v>
      </c>
      <c r="L1162" s="3">
        <v>3454.99</v>
      </c>
      <c r="M1162" s="3">
        <f>Table1[[#This Row],[Gross_Sales]]-Table1[[#This Row],[Discount]]</f>
        <v>73847.100577319361</v>
      </c>
      <c r="N1162" s="3">
        <v>39395.68</v>
      </c>
      <c r="O1162" s="3">
        <v>1410.15</v>
      </c>
      <c r="P1162" s="3">
        <v>3957.97</v>
      </c>
      <c r="Q1162" s="3">
        <v>1720.08</v>
      </c>
      <c r="R1162" s="3">
        <v>1488.18</v>
      </c>
      <c r="S1162" s="3">
        <f>SUM(Table1[[#This Row],[Product_Cost]:[Other_Cost]])</f>
        <v>47972.060000000005</v>
      </c>
      <c r="T1162" s="3">
        <f>Table1[[#This Row],[Net_Sales]]-Table1[[#This Row],[Product_Cost]]</f>
        <v>34451.420577319361</v>
      </c>
      <c r="U1162" s="3">
        <f>Table1[[#This Row],[Net_Sales]]-Table1[[#This Row],[Total_Cost]]</f>
        <v>25875.040577319356</v>
      </c>
      <c r="V1162" s="4">
        <f>Table1[[#This Row],[Net_Profit]]/Table1[[#This Row],[Net_Sales]]</f>
        <v>0.35038668241588822</v>
      </c>
      <c r="W1162" t="s">
        <v>33</v>
      </c>
      <c r="X1162" t="s">
        <v>1151</v>
      </c>
      <c r="Y1162">
        <v>10</v>
      </c>
      <c r="Z1162" t="str">
        <f>IF(Table1[[#This Row],[Month_No]]&lt;=6, "H1","H2")</f>
        <v>H2</v>
      </c>
    </row>
    <row r="1163" spans="1:26" x14ac:dyDescent="0.25">
      <c r="A1163" s="2">
        <v>45954</v>
      </c>
      <c r="B1163" t="s">
        <v>1245</v>
      </c>
      <c r="C1163" t="s">
        <v>70</v>
      </c>
      <c r="D1163" t="s">
        <v>50</v>
      </c>
      <c r="E1163" t="s">
        <v>51</v>
      </c>
      <c r="F1163" t="s">
        <v>39</v>
      </c>
      <c r="G1163" t="s">
        <v>61</v>
      </c>
      <c r="H1163" t="s">
        <v>41</v>
      </c>
      <c r="I1163">
        <v>69.487576953504842</v>
      </c>
      <c r="J1163" s="3">
        <v>901.76</v>
      </c>
      <c r="K1163" s="3">
        <f>Table1[[#This Row],[Quantity]]*Table1[[#This Row],[Unit_Price]]</f>
        <v>62661.117393592525</v>
      </c>
      <c r="L1163" s="3">
        <v>2858.58</v>
      </c>
      <c r="M1163" s="3">
        <f>Table1[[#This Row],[Gross_Sales]]-Table1[[#This Row],[Discount]]</f>
        <v>59802.537393592524</v>
      </c>
      <c r="N1163" s="3">
        <v>36790.879999999997</v>
      </c>
      <c r="O1163" s="3">
        <v>1596.56</v>
      </c>
      <c r="P1163" s="3">
        <v>3131.26</v>
      </c>
      <c r="Q1163" s="3">
        <v>1624.14</v>
      </c>
      <c r="R1163" s="3">
        <v>936.59</v>
      </c>
      <c r="S1163" s="3">
        <f>SUM(Table1[[#This Row],[Product_Cost]:[Other_Cost]])</f>
        <v>44079.429999999993</v>
      </c>
      <c r="T1163" s="3">
        <f>Table1[[#This Row],[Net_Sales]]-Table1[[#This Row],[Product_Cost]]</f>
        <v>23011.657393592526</v>
      </c>
      <c r="U1163" s="3">
        <f>Table1[[#This Row],[Net_Sales]]-Table1[[#This Row],[Total_Cost]]</f>
        <v>15723.107393592531</v>
      </c>
      <c r="V1163" s="4">
        <f>Table1[[#This Row],[Net_Profit]]/Table1[[#This Row],[Net_Sales]]</f>
        <v>0.26291706136330539</v>
      </c>
      <c r="W1163" t="s">
        <v>72</v>
      </c>
      <c r="X1163" t="s">
        <v>1151</v>
      </c>
      <c r="Y1163">
        <v>10</v>
      </c>
      <c r="Z1163" t="str">
        <f>IF(Table1[[#This Row],[Month_No]]&lt;=6, "H1","H2")</f>
        <v>H2</v>
      </c>
    </row>
    <row r="1164" spans="1:26" x14ac:dyDescent="0.25">
      <c r="A1164" s="2">
        <v>45954</v>
      </c>
      <c r="B1164" t="s">
        <v>1246</v>
      </c>
      <c r="C1164" t="s">
        <v>98</v>
      </c>
      <c r="D1164" t="s">
        <v>183</v>
      </c>
      <c r="E1164" t="s">
        <v>38</v>
      </c>
      <c r="F1164" t="s">
        <v>52</v>
      </c>
      <c r="G1164" t="s">
        <v>31</v>
      </c>
      <c r="H1164" t="s">
        <v>47</v>
      </c>
      <c r="I1164">
        <v>48.845082611635377</v>
      </c>
      <c r="J1164" s="3">
        <v>7188.73</v>
      </c>
      <c r="K1164" s="3">
        <f>Table1[[#This Row],[Quantity]]*Table1[[#This Row],[Unit_Price]]</f>
        <v>351134.11072274158</v>
      </c>
      <c r="L1164" s="3">
        <v>16624.2</v>
      </c>
      <c r="M1164" s="3">
        <f>Table1[[#This Row],[Gross_Sales]]-Table1[[#This Row],[Discount]]</f>
        <v>334509.91072274157</v>
      </c>
      <c r="N1164" s="3">
        <v>174344.39</v>
      </c>
      <c r="O1164" s="3">
        <v>6521.34</v>
      </c>
      <c r="P1164" s="3">
        <v>16681.41</v>
      </c>
      <c r="Q1164" s="3">
        <v>9628.11</v>
      </c>
      <c r="R1164" s="3">
        <v>6528.03</v>
      </c>
      <c r="S1164" s="3">
        <f>SUM(Table1[[#This Row],[Product_Cost]:[Other_Cost]])</f>
        <v>213703.28</v>
      </c>
      <c r="T1164" s="3">
        <f>Table1[[#This Row],[Net_Sales]]-Table1[[#This Row],[Product_Cost]]</f>
        <v>160165.52072274155</v>
      </c>
      <c r="U1164" s="3">
        <f>Table1[[#This Row],[Net_Sales]]-Table1[[#This Row],[Total_Cost]]</f>
        <v>120806.63072274157</v>
      </c>
      <c r="V1164" s="4">
        <f>Table1[[#This Row],[Net_Profit]]/Table1[[#This Row],[Net_Sales]]</f>
        <v>0.36114514652712965</v>
      </c>
      <c r="W1164" t="s">
        <v>33</v>
      </c>
      <c r="X1164" t="s">
        <v>1151</v>
      </c>
      <c r="Y1164">
        <v>10</v>
      </c>
      <c r="Z1164" t="str">
        <f>IF(Table1[[#This Row],[Month_No]]&lt;=6, "H1","H2")</f>
        <v>H2</v>
      </c>
    </row>
    <row r="1165" spans="1:26" x14ac:dyDescent="0.25">
      <c r="A1165" s="2">
        <v>45954</v>
      </c>
      <c r="B1165" t="s">
        <v>1247</v>
      </c>
      <c r="C1165" t="s">
        <v>55</v>
      </c>
      <c r="D1165" t="s">
        <v>100</v>
      </c>
      <c r="E1165" t="s">
        <v>75</v>
      </c>
      <c r="F1165" t="s">
        <v>39</v>
      </c>
      <c r="G1165" t="s">
        <v>76</v>
      </c>
      <c r="H1165" t="s">
        <v>32</v>
      </c>
      <c r="I1165">
        <v>59.027224347990384</v>
      </c>
      <c r="J1165" s="3">
        <v>7613.11</v>
      </c>
      <c r="K1165" s="3">
        <f>Table1[[#This Row],[Quantity]]*Table1[[#This Row],[Unit_Price]]</f>
        <v>449380.75195592904</v>
      </c>
      <c r="L1165" s="3">
        <v>18220.02</v>
      </c>
      <c r="M1165" s="3">
        <f>Table1[[#This Row],[Gross_Sales]]-Table1[[#This Row],[Discount]]</f>
        <v>431160.73195592902</v>
      </c>
      <c r="N1165" s="3">
        <v>239676.87</v>
      </c>
      <c r="O1165" s="3">
        <v>11666.61</v>
      </c>
      <c r="P1165" s="3">
        <v>26648.14</v>
      </c>
      <c r="Q1165" s="3">
        <v>11930.04</v>
      </c>
      <c r="R1165" s="3">
        <v>7478.94</v>
      </c>
      <c r="S1165" s="3">
        <f>SUM(Table1[[#This Row],[Product_Cost]:[Other_Cost]])</f>
        <v>297400.59999999998</v>
      </c>
      <c r="T1165" s="3">
        <f>Table1[[#This Row],[Net_Sales]]-Table1[[#This Row],[Product_Cost]]</f>
        <v>191483.86195592902</v>
      </c>
      <c r="U1165" s="3">
        <f>Table1[[#This Row],[Net_Sales]]-Table1[[#This Row],[Total_Cost]]</f>
        <v>133760.13195592904</v>
      </c>
      <c r="V1165" s="4">
        <f>Table1[[#This Row],[Net_Profit]]/Table1[[#This Row],[Net_Sales]]</f>
        <v>0.31023263957535285</v>
      </c>
      <c r="W1165" t="s">
        <v>33</v>
      </c>
      <c r="X1165" t="s">
        <v>1151</v>
      </c>
      <c r="Y1165">
        <v>10</v>
      </c>
      <c r="Z1165" t="str">
        <f>IF(Table1[[#This Row],[Month_No]]&lt;=6, "H1","H2")</f>
        <v>H2</v>
      </c>
    </row>
    <row r="1166" spans="1:26" x14ac:dyDescent="0.25">
      <c r="A1166" s="2">
        <v>45954</v>
      </c>
      <c r="B1166" t="s">
        <v>1248</v>
      </c>
      <c r="C1166" t="s">
        <v>36</v>
      </c>
      <c r="D1166" t="s">
        <v>56</v>
      </c>
      <c r="E1166" t="s">
        <v>57</v>
      </c>
      <c r="F1166" t="s">
        <v>52</v>
      </c>
      <c r="G1166" t="s">
        <v>71</v>
      </c>
      <c r="H1166" t="s">
        <v>41</v>
      </c>
      <c r="I1166">
        <v>48.28407241392943</v>
      </c>
      <c r="J1166" s="3">
        <v>3444.68</v>
      </c>
      <c r="K1166" s="3">
        <f>Table1[[#This Row],[Quantity]]*Table1[[#This Row],[Unit_Price]]</f>
        <v>166323.17856281443</v>
      </c>
      <c r="L1166" s="3">
        <v>5622.19</v>
      </c>
      <c r="M1166" s="3">
        <f>Table1[[#This Row],[Gross_Sales]]-Table1[[#This Row],[Discount]]</f>
        <v>160700.98856281443</v>
      </c>
      <c r="N1166" s="3">
        <v>78000.56</v>
      </c>
      <c r="O1166" s="3">
        <v>3528.18</v>
      </c>
      <c r="P1166" s="3">
        <v>8890.0499999999993</v>
      </c>
      <c r="Q1166" s="3">
        <v>4685.3100000000004</v>
      </c>
      <c r="R1166" s="3">
        <v>2701.18</v>
      </c>
      <c r="S1166" s="3">
        <f>SUM(Table1[[#This Row],[Product_Cost]:[Other_Cost]])</f>
        <v>97805.279999999984</v>
      </c>
      <c r="T1166" s="3">
        <f>Table1[[#This Row],[Net_Sales]]-Table1[[#This Row],[Product_Cost]]</f>
        <v>82700.428562814428</v>
      </c>
      <c r="U1166" s="3">
        <f>Table1[[#This Row],[Net_Sales]]-Table1[[#This Row],[Total_Cost]]</f>
        <v>62895.708562814441</v>
      </c>
      <c r="V1166" s="4">
        <f>Table1[[#This Row],[Net_Profit]]/Table1[[#This Row],[Net_Sales]]</f>
        <v>0.39138345772048511</v>
      </c>
      <c r="W1166" t="s">
        <v>33</v>
      </c>
      <c r="X1166" t="s">
        <v>1151</v>
      </c>
      <c r="Y1166">
        <v>10</v>
      </c>
      <c r="Z1166" t="str">
        <f>IF(Table1[[#This Row],[Month_No]]&lt;=6, "H1","H2")</f>
        <v>H2</v>
      </c>
    </row>
    <row r="1167" spans="1:26" x14ac:dyDescent="0.25">
      <c r="A1167" s="2">
        <v>45955</v>
      </c>
      <c r="B1167" t="s">
        <v>1249</v>
      </c>
      <c r="C1167" t="s">
        <v>63</v>
      </c>
      <c r="D1167" t="s">
        <v>28</v>
      </c>
      <c r="E1167" t="s">
        <v>29</v>
      </c>
      <c r="F1167" t="s">
        <v>52</v>
      </c>
      <c r="G1167" t="s">
        <v>40</v>
      </c>
      <c r="H1167" t="s">
        <v>32</v>
      </c>
      <c r="I1167">
        <v>62.148692222841532</v>
      </c>
      <c r="J1167" s="3">
        <v>1302.23</v>
      </c>
      <c r="K1167" s="3">
        <f>Table1[[#This Row],[Quantity]]*Table1[[#This Row],[Unit_Price]]</f>
        <v>80931.89147335093</v>
      </c>
      <c r="L1167" s="3">
        <v>4358.6099999999997</v>
      </c>
      <c r="M1167" s="3">
        <f>Table1[[#This Row],[Gross_Sales]]-Table1[[#This Row],[Discount]]</f>
        <v>76573.281473350929</v>
      </c>
      <c r="N1167" s="3">
        <v>39640.559999999998</v>
      </c>
      <c r="O1167" s="3">
        <v>1430.52</v>
      </c>
      <c r="P1167" s="3">
        <v>4540.3999999999996</v>
      </c>
      <c r="Q1167" s="3">
        <v>2113.19</v>
      </c>
      <c r="R1167" s="3">
        <v>1079.3900000000001</v>
      </c>
      <c r="S1167" s="3">
        <f>SUM(Table1[[#This Row],[Product_Cost]:[Other_Cost]])</f>
        <v>48804.06</v>
      </c>
      <c r="T1167" s="3">
        <f>Table1[[#This Row],[Net_Sales]]-Table1[[#This Row],[Product_Cost]]</f>
        <v>36932.721473350932</v>
      </c>
      <c r="U1167" s="3">
        <f>Table1[[#This Row],[Net_Sales]]-Table1[[#This Row],[Total_Cost]]</f>
        <v>27769.221473350932</v>
      </c>
      <c r="V1167" s="4">
        <f>Table1[[#This Row],[Net_Profit]]/Table1[[#This Row],[Net_Sales]]</f>
        <v>0.36264896761692511</v>
      </c>
      <c r="W1167" t="s">
        <v>33</v>
      </c>
      <c r="X1167" t="s">
        <v>1151</v>
      </c>
      <c r="Y1167">
        <v>10</v>
      </c>
      <c r="Z1167" t="str">
        <f>IF(Table1[[#This Row],[Month_No]]&lt;=6, "H1","H2")</f>
        <v>H2</v>
      </c>
    </row>
    <row r="1168" spans="1:26" x14ac:dyDescent="0.25">
      <c r="A1168" s="2">
        <v>45955</v>
      </c>
      <c r="B1168" t="s">
        <v>1250</v>
      </c>
      <c r="C1168" t="s">
        <v>43</v>
      </c>
      <c r="D1168" t="s">
        <v>100</v>
      </c>
      <c r="E1168" t="s">
        <v>75</v>
      </c>
      <c r="F1168" t="s">
        <v>46</v>
      </c>
      <c r="G1168" t="s">
        <v>58</v>
      </c>
      <c r="H1168" t="s">
        <v>47</v>
      </c>
      <c r="I1168">
        <v>28.927994142368131</v>
      </c>
      <c r="J1168" s="3">
        <v>7166.12</v>
      </c>
      <c r="K1168" s="3">
        <f>Table1[[#This Row],[Quantity]]*Table1[[#This Row],[Unit_Price]]</f>
        <v>207301.47738350712</v>
      </c>
      <c r="L1168" s="3">
        <v>8500.7199999999993</v>
      </c>
      <c r="M1168" s="3">
        <f>Table1[[#This Row],[Gross_Sales]]-Table1[[#This Row],[Discount]]</f>
        <v>198800.75738350712</v>
      </c>
      <c r="N1168" s="3">
        <v>112652.7</v>
      </c>
      <c r="O1168" s="3">
        <v>4303.7299999999996</v>
      </c>
      <c r="P1168" s="3">
        <v>11052.86</v>
      </c>
      <c r="Q1168" s="3">
        <v>5265.18</v>
      </c>
      <c r="R1168" s="3">
        <v>2399.19</v>
      </c>
      <c r="S1168" s="3">
        <f>SUM(Table1[[#This Row],[Product_Cost]:[Other_Cost]])</f>
        <v>135673.66</v>
      </c>
      <c r="T1168" s="3">
        <f>Table1[[#This Row],[Net_Sales]]-Table1[[#This Row],[Product_Cost]]</f>
        <v>86148.057383507126</v>
      </c>
      <c r="U1168" s="3">
        <f>Table1[[#This Row],[Net_Sales]]-Table1[[#This Row],[Total_Cost]]</f>
        <v>63127.09738350712</v>
      </c>
      <c r="V1168" s="4">
        <f>Table1[[#This Row],[Net_Profit]]/Table1[[#This Row],[Net_Sales]]</f>
        <v>0.31753952155085835</v>
      </c>
      <c r="W1168" t="s">
        <v>33</v>
      </c>
      <c r="X1168" t="s">
        <v>1151</v>
      </c>
      <c r="Y1168">
        <v>10</v>
      </c>
      <c r="Z1168" t="str">
        <f>IF(Table1[[#This Row],[Month_No]]&lt;=6, "H1","H2")</f>
        <v>H2</v>
      </c>
    </row>
    <row r="1169" spans="1:26" x14ac:dyDescent="0.25">
      <c r="A1169" s="2">
        <v>45955</v>
      </c>
      <c r="B1169" t="s">
        <v>1251</v>
      </c>
      <c r="C1169" t="s">
        <v>43</v>
      </c>
      <c r="D1169" t="s">
        <v>74</v>
      </c>
      <c r="E1169" t="s">
        <v>75</v>
      </c>
      <c r="F1169" t="s">
        <v>52</v>
      </c>
      <c r="G1169" t="s">
        <v>31</v>
      </c>
      <c r="H1169" t="s">
        <v>32</v>
      </c>
      <c r="I1169">
        <v>67.108153504164264</v>
      </c>
      <c r="J1169" s="3">
        <v>6048.9</v>
      </c>
      <c r="K1169" s="3">
        <f>Table1[[#This Row],[Quantity]]*Table1[[#This Row],[Unit_Price]]</f>
        <v>405930.50973133917</v>
      </c>
      <c r="L1169" s="3">
        <v>20408.86</v>
      </c>
      <c r="M1169" s="3">
        <f>Table1[[#This Row],[Gross_Sales]]-Table1[[#This Row],[Discount]]</f>
        <v>385521.64973133919</v>
      </c>
      <c r="N1169" s="3">
        <v>252326.62</v>
      </c>
      <c r="O1169" s="3">
        <v>5634.66</v>
      </c>
      <c r="P1169" s="3">
        <v>18596.87</v>
      </c>
      <c r="Q1169" s="3">
        <v>9891.94</v>
      </c>
      <c r="R1169" s="3">
        <v>5366.03</v>
      </c>
      <c r="S1169" s="3">
        <f>SUM(Table1[[#This Row],[Product_Cost]:[Other_Cost]])</f>
        <v>291816.12000000005</v>
      </c>
      <c r="T1169" s="3">
        <f>Table1[[#This Row],[Net_Sales]]-Table1[[#This Row],[Product_Cost]]</f>
        <v>133195.02973133919</v>
      </c>
      <c r="U1169" s="3">
        <f>Table1[[#This Row],[Net_Sales]]-Table1[[#This Row],[Total_Cost]]</f>
        <v>93705.529731339135</v>
      </c>
      <c r="V1169" s="4">
        <f>Table1[[#This Row],[Net_Profit]]/Table1[[#This Row],[Net_Sales]]</f>
        <v>0.24306165372720384</v>
      </c>
      <c r="W1169" t="s">
        <v>33</v>
      </c>
      <c r="X1169" t="s">
        <v>1151</v>
      </c>
      <c r="Y1169">
        <v>10</v>
      </c>
      <c r="Z1169" t="str">
        <f>IF(Table1[[#This Row],[Month_No]]&lt;=6, "H1","H2")</f>
        <v>H2</v>
      </c>
    </row>
    <row r="1170" spans="1:26" x14ac:dyDescent="0.25">
      <c r="A1170" s="2">
        <v>45955</v>
      </c>
      <c r="B1170" t="s">
        <v>1252</v>
      </c>
      <c r="C1170" t="s">
        <v>98</v>
      </c>
      <c r="D1170" t="s">
        <v>74</v>
      </c>
      <c r="E1170" t="s">
        <v>75</v>
      </c>
      <c r="F1170" t="s">
        <v>39</v>
      </c>
      <c r="G1170" t="s">
        <v>86</v>
      </c>
      <c r="H1170" t="s">
        <v>41</v>
      </c>
      <c r="I1170">
        <v>67.941189757172381</v>
      </c>
      <c r="J1170" s="3">
        <v>5803.74</v>
      </c>
      <c r="K1170" s="3">
        <f>Table1[[#This Row],[Quantity]]*Table1[[#This Row],[Unit_Price]]</f>
        <v>394313.00064129161</v>
      </c>
      <c r="L1170" s="3">
        <v>14029.51</v>
      </c>
      <c r="M1170" s="3">
        <f>Table1[[#This Row],[Gross_Sales]]-Table1[[#This Row],[Discount]]</f>
        <v>380283.4906412916</v>
      </c>
      <c r="N1170" s="3">
        <v>254053</v>
      </c>
      <c r="O1170" s="3">
        <v>13011.04</v>
      </c>
      <c r="P1170" s="3">
        <v>21608.21</v>
      </c>
      <c r="Q1170" s="3">
        <v>10528.32</v>
      </c>
      <c r="R1170" s="3">
        <v>6900.78</v>
      </c>
      <c r="S1170" s="3">
        <f>SUM(Table1[[#This Row],[Product_Cost]:[Other_Cost]])</f>
        <v>306101.35000000003</v>
      </c>
      <c r="T1170" s="3">
        <f>Table1[[#This Row],[Net_Sales]]-Table1[[#This Row],[Product_Cost]]</f>
        <v>126230.4906412916</v>
      </c>
      <c r="U1170" s="3">
        <f>Table1[[#This Row],[Net_Sales]]-Table1[[#This Row],[Total_Cost]]</f>
        <v>74182.140641291568</v>
      </c>
      <c r="V1170" s="4">
        <f>Table1[[#This Row],[Net_Profit]]/Table1[[#This Row],[Net_Sales]]</f>
        <v>0.19507063142865974</v>
      </c>
      <c r="W1170" t="s">
        <v>33</v>
      </c>
      <c r="X1170" t="s">
        <v>1151</v>
      </c>
      <c r="Y1170">
        <v>10</v>
      </c>
      <c r="Z1170" t="str">
        <f>IF(Table1[[#This Row],[Month_No]]&lt;=6, "H1","H2")</f>
        <v>H2</v>
      </c>
    </row>
    <row r="1171" spans="1:26" x14ac:dyDescent="0.25">
      <c r="A1171" s="2">
        <v>45955</v>
      </c>
      <c r="B1171" t="s">
        <v>1253</v>
      </c>
      <c r="C1171" t="s">
        <v>70</v>
      </c>
      <c r="D1171" t="s">
        <v>100</v>
      </c>
      <c r="E1171" t="s">
        <v>75</v>
      </c>
      <c r="F1171" t="s">
        <v>52</v>
      </c>
      <c r="G1171" t="s">
        <v>61</v>
      </c>
      <c r="H1171" t="s">
        <v>47</v>
      </c>
      <c r="I1171">
        <v>55.436564420003059</v>
      </c>
      <c r="J1171" s="3">
        <v>7185.05</v>
      </c>
      <c r="K1171" s="3">
        <f>Table1[[#This Row],[Quantity]]*Table1[[#This Row],[Unit_Price]]</f>
        <v>398314.487185943</v>
      </c>
      <c r="L1171" s="3">
        <v>12058.24</v>
      </c>
      <c r="M1171" s="3">
        <f>Table1[[#This Row],[Gross_Sales]]-Table1[[#This Row],[Discount]]</f>
        <v>386256.24718594301</v>
      </c>
      <c r="N1171" s="3">
        <v>204168.47</v>
      </c>
      <c r="O1171" s="3">
        <v>8220.51</v>
      </c>
      <c r="P1171" s="3">
        <v>20521.28</v>
      </c>
      <c r="Q1171" s="3">
        <v>7503.31</v>
      </c>
      <c r="R1171" s="3">
        <v>5988.12</v>
      </c>
      <c r="S1171" s="3">
        <f>SUM(Table1[[#This Row],[Product_Cost]:[Other_Cost]])</f>
        <v>246401.69</v>
      </c>
      <c r="T1171" s="3">
        <f>Table1[[#This Row],[Net_Sales]]-Table1[[#This Row],[Product_Cost]]</f>
        <v>182087.77718594301</v>
      </c>
      <c r="U1171" s="3">
        <f>Table1[[#This Row],[Net_Sales]]-Table1[[#This Row],[Total_Cost]]</f>
        <v>139854.55718594301</v>
      </c>
      <c r="V1171" s="4">
        <f>Table1[[#This Row],[Net_Profit]]/Table1[[#This Row],[Net_Sales]]</f>
        <v>0.36207713973521133</v>
      </c>
      <c r="W1171" t="s">
        <v>33</v>
      </c>
      <c r="X1171" t="s">
        <v>1151</v>
      </c>
      <c r="Y1171">
        <v>10</v>
      </c>
      <c r="Z1171" t="str">
        <f>IF(Table1[[#This Row],[Month_No]]&lt;=6, "H1","H2")</f>
        <v>H2</v>
      </c>
    </row>
    <row r="1172" spans="1:26" x14ac:dyDescent="0.25">
      <c r="A1172" s="2">
        <v>45955</v>
      </c>
      <c r="B1172" t="s">
        <v>1254</v>
      </c>
      <c r="C1172" t="s">
        <v>27</v>
      </c>
      <c r="D1172" t="s">
        <v>44</v>
      </c>
      <c r="E1172" t="s">
        <v>45</v>
      </c>
      <c r="F1172" t="s">
        <v>39</v>
      </c>
      <c r="G1172" t="s">
        <v>64</v>
      </c>
      <c r="H1172" t="s">
        <v>32</v>
      </c>
      <c r="I1172">
        <v>62.268657808011511</v>
      </c>
      <c r="J1172" s="3">
        <v>4644.9399999999996</v>
      </c>
      <c r="K1172" s="3">
        <f>Table1[[#This Row],[Quantity]]*Table1[[#This Row],[Unit_Price]]</f>
        <v>289234.17939874495</v>
      </c>
      <c r="L1172" s="3">
        <v>17293.47</v>
      </c>
      <c r="M1172" s="3">
        <f>Table1[[#This Row],[Gross_Sales]]-Table1[[#This Row],[Discount]]</f>
        <v>271940.70939874498</v>
      </c>
      <c r="N1172" s="3">
        <v>185049.23</v>
      </c>
      <c r="O1172" s="3">
        <v>8119.1</v>
      </c>
      <c r="P1172" s="3">
        <v>15735.49</v>
      </c>
      <c r="Q1172" s="3">
        <v>8308.26</v>
      </c>
      <c r="R1172" s="3">
        <v>3324.36</v>
      </c>
      <c r="S1172" s="3">
        <f>SUM(Table1[[#This Row],[Product_Cost]:[Other_Cost]])</f>
        <v>220536.44</v>
      </c>
      <c r="T1172" s="3">
        <f>Table1[[#This Row],[Net_Sales]]-Table1[[#This Row],[Product_Cost]]</f>
        <v>86891.479398744967</v>
      </c>
      <c r="U1172" s="3">
        <f>Table1[[#This Row],[Net_Sales]]-Table1[[#This Row],[Total_Cost]]</f>
        <v>51404.269398744975</v>
      </c>
      <c r="V1172" s="4">
        <f>Table1[[#This Row],[Net_Profit]]/Table1[[#This Row],[Net_Sales]]</f>
        <v>0.18902748879488732</v>
      </c>
      <c r="W1172" t="s">
        <v>72</v>
      </c>
      <c r="X1172" t="s">
        <v>1151</v>
      </c>
      <c r="Y1172">
        <v>10</v>
      </c>
      <c r="Z1172" t="str">
        <f>IF(Table1[[#This Row],[Month_No]]&lt;=6, "H1","H2")</f>
        <v>H2</v>
      </c>
    </row>
    <row r="1173" spans="1:26" x14ac:dyDescent="0.25">
      <c r="A1173" s="2">
        <v>45955</v>
      </c>
      <c r="B1173" t="s">
        <v>1255</v>
      </c>
      <c r="C1173" t="s">
        <v>43</v>
      </c>
      <c r="D1173" t="s">
        <v>100</v>
      </c>
      <c r="E1173" t="s">
        <v>75</v>
      </c>
      <c r="F1173" t="s">
        <v>30</v>
      </c>
      <c r="G1173" t="s">
        <v>64</v>
      </c>
      <c r="H1173" t="s">
        <v>47</v>
      </c>
      <c r="I1173">
        <v>70.998568094433239</v>
      </c>
      <c r="J1173" s="3">
        <v>7598.73</v>
      </c>
      <c r="K1173" s="3">
        <f>Table1[[#This Row],[Quantity]]*Table1[[#This Row],[Unit_Price]]</f>
        <v>539498.94933621271</v>
      </c>
      <c r="L1173" s="3">
        <v>25347.67</v>
      </c>
      <c r="M1173" s="3">
        <f>Table1[[#This Row],[Gross_Sales]]-Table1[[#This Row],[Discount]]</f>
        <v>514151.27933621273</v>
      </c>
      <c r="N1173" s="3">
        <v>267919.8</v>
      </c>
      <c r="O1173" s="3">
        <v>10779.77</v>
      </c>
      <c r="P1173" s="3">
        <v>27654.81</v>
      </c>
      <c r="Q1173" s="3">
        <v>14591.32</v>
      </c>
      <c r="R1173" s="3">
        <v>6396.68</v>
      </c>
      <c r="S1173" s="3">
        <f>SUM(Table1[[#This Row],[Product_Cost]:[Other_Cost]])</f>
        <v>327342.38</v>
      </c>
      <c r="T1173" s="3">
        <f>Table1[[#This Row],[Net_Sales]]-Table1[[#This Row],[Product_Cost]]</f>
        <v>246231.47933621274</v>
      </c>
      <c r="U1173" s="3">
        <f>Table1[[#This Row],[Net_Sales]]-Table1[[#This Row],[Total_Cost]]</f>
        <v>186808.89933621272</v>
      </c>
      <c r="V1173" s="4">
        <f>Table1[[#This Row],[Net_Profit]]/Table1[[#This Row],[Net_Sales]]</f>
        <v>0.36333450259501354</v>
      </c>
      <c r="W1173" t="s">
        <v>33</v>
      </c>
      <c r="X1173" t="s">
        <v>1151</v>
      </c>
      <c r="Y1173">
        <v>10</v>
      </c>
      <c r="Z1173" t="str">
        <f>IF(Table1[[#This Row],[Month_No]]&lt;=6, "H1","H2")</f>
        <v>H2</v>
      </c>
    </row>
    <row r="1174" spans="1:26" x14ac:dyDescent="0.25">
      <c r="A1174" s="2">
        <v>45955</v>
      </c>
      <c r="B1174" t="s">
        <v>1256</v>
      </c>
      <c r="C1174" t="s">
        <v>83</v>
      </c>
      <c r="D1174" t="s">
        <v>68</v>
      </c>
      <c r="E1174" t="s">
        <v>29</v>
      </c>
      <c r="F1174" t="s">
        <v>52</v>
      </c>
      <c r="G1174" t="s">
        <v>71</v>
      </c>
      <c r="H1174" t="s">
        <v>32</v>
      </c>
      <c r="I1174">
        <v>117.5175547624499</v>
      </c>
      <c r="J1174" s="3">
        <v>391.16</v>
      </c>
      <c r="K1174" s="3">
        <f>Table1[[#This Row],[Quantity]]*Table1[[#This Row],[Unit_Price]]</f>
        <v>45968.166720879904</v>
      </c>
      <c r="L1174" s="3">
        <v>2488.0700000000002</v>
      </c>
      <c r="M1174" s="3">
        <f>Table1[[#This Row],[Gross_Sales]]-Table1[[#This Row],[Discount]]</f>
        <v>43480.096720879905</v>
      </c>
      <c r="N1174" s="3">
        <v>30350.86</v>
      </c>
      <c r="O1174" s="3">
        <v>784.67</v>
      </c>
      <c r="P1174" s="3">
        <v>2589.37</v>
      </c>
      <c r="Q1174" s="3">
        <v>897.78</v>
      </c>
      <c r="R1174" s="3">
        <v>644.33000000000004</v>
      </c>
      <c r="S1174" s="3">
        <f>SUM(Table1[[#This Row],[Product_Cost]:[Other_Cost]])</f>
        <v>35267.01</v>
      </c>
      <c r="T1174" s="3">
        <f>Table1[[#This Row],[Net_Sales]]-Table1[[#This Row],[Product_Cost]]</f>
        <v>13129.236720879904</v>
      </c>
      <c r="U1174" s="3">
        <f>Table1[[#This Row],[Net_Sales]]-Table1[[#This Row],[Total_Cost]]</f>
        <v>8213.0867208799027</v>
      </c>
      <c r="V1174" s="4">
        <f>Table1[[#This Row],[Net_Profit]]/Table1[[#This Row],[Net_Sales]]</f>
        <v>0.18889301865181535</v>
      </c>
      <c r="W1174" t="s">
        <v>33</v>
      </c>
      <c r="X1174" t="s">
        <v>1151</v>
      </c>
      <c r="Y1174">
        <v>10</v>
      </c>
      <c r="Z1174" t="str">
        <f>IF(Table1[[#This Row],[Month_No]]&lt;=6, "H1","H2")</f>
        <v>H2</v>
      </c>
    </row>
    <row r="1175" spans="1:26" x14ac:dyDescent="0.25">
      <c r="A1175" s="2">
        <v>45956</v>
      </c>
      <c r="B1175" t="s">
        <v>1257</v>
      </c>
      <c r="C1175" t="s">
        <v>43</v>
      </c>
      <c r="D1175" t="s">
        <v>68</v>
      </c>
      <c r="E1175" t="s">
        <v>29</v>
      </c>
      <c r="F1175" t="s">
        <v>52</v>
      </c>
      <c r="G1175" t="s">
        <v>61</v>
      </c>
      <c r="H1175" t="s">
        <v>47</v>
      </c>
      <c r="I1175">
        <v>131.16020714799899</v>
      </c>
      <c r="J1175" s="3">
        <v>396.91</v>
      </c>
      <c r="K1175" s="3">
        <f>Table1[[#This Row],[Quantity]]*Table1[[#This Row],[Unit_Price]]</f>
        <v>52058.797819112282</v>
      </c>
      <c r="L1175" s="3">
        <v>1757.15</v>
      </c>
      <c r="M1175" s="3">
        <f>Table1[[#This Row],[Gross_Sales]]-Table1[[#This Row],[Discount]]</f>
        <v>50301.647819112281</v>
      </c>
      <c r="N1175" s="3">
        <v>35775.910000000003</v>
      </c>
      <c r="O1175" s="3">
        <v>983.43</v>
      </c>
      <c r="P1175" s="3">
        <v>3014.56</v>
      </c>
      <c r="Q1175" s="3">
        <v>920.35</v>
      </c>
      <c r="R1175" s="3">
        <v>644.9</v>
      </c>
      <c r="S1175" s="3">
        <f>SUM(Table1[[#This Row],[Product_Cost]:[Other_Cost]])</f>
        <v>41339.15</v>
      </c>
      <c r="T1175" s="3">
        <f>Table1[[#This Row],[Net_Sales]]-Table1[[#This Row],[Product_Cost]]</f>
        <v>14525.737819112277</v>
      </c>
      <c r="U1175" s="3">
        <f>Table1[[#This Row],[Net_Sales]]-Table1[[#This Row],[Total_Cost]]</f>
        <v>8962.4978191122791</v>
      </c>
      <c r="V1175" s="4">
        <f>Table1[[#This Row],[Net_Profit]]/Table1[[#This Row],[Net_Sales]]</f>
        <v>0.17817503417267669</v>
      </c>
      <c r="W1175" t="s">
        <v>33</v>
      </c>
      <c r="X1175" t="s">
        <v>1151</v>
      </c>
      <c r="Y1175">
        <v>10</v>
      </c>
      <c r="Z1175" t="str">
        <f>IF(Table1[[#This Row],[Month_No]]&lt;=6, "H1","H2")</f>
        <v>H2</v>
      </c>
    </row>
    <row r="1176" spans="1:26" x14ac:dyDescent="0.25">
      <c r="A1176" s="2">
        <v>45956</v>
      </c>
      <c r="B1176" t="s">
        <v>1258</v>
      </c>
      <c r="C1176" t="s">
        <v>70</v>
      </c>
      <c r="D1176" t="s">
        <v>56</v>
      </c>
      <c r="E1176" t="s">
        <v>57</v>
      </c>
      <c r="F1176" t="s">
        <v>30</v>
      </c>
      <c r="G1176" t="s">
        <v>58</v>
      </c>
      <c r="H1176" t="s">
        <v>47</v>
      </c>
      <c r="I1176">
        <v>52.132792435420981</v>
      </c>
      <c r="J1176" s="3">
        <v>3492.84</v>
      </c>
      <c r="K1176" s="3">
        <f>Table1[[#This Row],[Quantity]]*Table1[[#This Row],[Unit_Price]]</f>
        <v>182091.50273013584</v>
      </c>
      <c r="L1176" s="3">
        <v>8909.6299999999992</v>
      </c>
      <c r="M1176" s="3">
        <f>Table1[[#This Row],[Gross_Sales]]-Table1[[#This Row],[Discount]]</f>
        <v>173181.87273013583</v>
      </c>
      <c r="N1176" s="3">
        <v>87806.68</v>
      </c>
      <c r="O1176" s="3">
        <v>4835.72</v>
      </c>
      <c r="P1176" s="3">
        <v>10537.13</v>
      </c>
      <c r="Q1176" s="3">
        <v>3638.56</v>
      </c>
      <c r="R1176" s="3">
        <v>3591.9</v>
      </c>
      <c r="S1176" s="3">
        <f>SUM(Table1[[#This Row],[Product_Cost]:[Other_Cost]])</f>
        <v>110409.98999999999</v>
      </c>
      <c r="T1176" s="3">
        <f>Table1[[#This Row],[Net_Sales]]-Table1[[#This Row],[Product_Cost]]</f>
        <v>85375.192730135837</v>
      </c>
      <c r="U1176" s="3">
        <f>Table1[[#This Row],[Net_Sales]]-Table1[[#This Row],[Total_Cost]]</f>
        <v>62771.88273013584</v>
      </c>
      <c r="V1176" s="4">
        <f>Table1[[#This Row],[Net_Profit]]/Table1[[#This Row],[Net_Sales]]</f>
        <v>0.36246220080984687</v>
      </c>
      <c r="W1176" t="s">
        <v>33</v>
      </c>
      <c r="X1176" t="s">
        <v>1151</v>
      </c>
      <c r="Y1176">
        <v>10</v>
      </c>
      <c r="Z1176" t="str">
        <f>IF(Table1[[#This Row],[Month_No]]&lt;=6, "H1","H2")</f>
        <v>H2</v>
      </c>
    </row>
    <row r="1177" spans="1:26" x14ac:dyDescent="0.25">
      <c r="A1177" s="2">
        <v>45956</v>
      </c>
      <c r="B1177" t="s">
        <v>1259</v>
      </c>
      <c r="C1177" t="s">
        <v>83</v>
      </c>
      <c r="D1177" t="s">
        <v>100</v>
      </c>
      <c r="E1177" t="s">
        <v>75</v>
      </c>
      <c r="F1177" t="s">
        <v>39</v>
      </c>
      <c r="G1177" t="s">
        <v>86</v>
      </c>
      <c r="H1177" t="s">
        <v>59</v>
      </c>
      <c r="I1177">
        <v>46.619837510441947</v>
      </c>
      <c r="J1177" s="3">
        <v>7091.86</v>
      </c>
      <c r="K1177" s="3">
        <f>Table1[[#This Row],[Quantity]]*Table1[[#This Row],[Unit_Price]]</f>
        <v>330621.36084680283</v>
      </c>
      <c r="L1177" s="3">
        <v>9526.06</v>
      </c>
      <c r="M1177" s="3">
        <f>Table1[[#This Row],[Gross_Sales]]-Table1[[#This Row],[Discount]]</f>
        <v>321095.30084680283</v>
      </c>
      <c r="N1177" s="3">
        <v>178079.31</v>
      </c>
      <c r="O1177" s="3">
        <v>10053.73</v>
      </c>
      <c r="P1177" s="3">
        <v>18479.79</v>
      </c>
      <c r="Q1177" s="3">
        <v>9504.81</v>
      </c>
      <c r="R1177" s="3">
        <v>6501.99</v>
      </c>
      <c r="S1177" s="3">
        <f>SUM(Table1[[#This Row],[Product_Cost]:[Other_Cost]])</f>
        <v>222619.63</v>
      </c>
      <c r="T1177" s="3">
        <f>Table1[[#This Row],[Net_Sales]]-Table1[[#This Row],[Product_Cost]]</f>
        <v>143015.99084680283</v>
      </c>
      <c r="U1177" s="3">
        <f>Table1[[#This Row],[Net_Sales]]-Table1[[#This Row],[Total_Cost]]</f>
        <v>98475.670846802823</v>
      </c>
      <c r="V1177" s="4">
        <f>Table1[[#This Row],[Net_Profit]]/Table1[[#This Row],[Net_Sales]]</f>
        <v>0.30668673937955376</v>
      </c>
      <c r="W1177" t="s">
        <v>33</v>
      </c>
      <c r="X1177" t="s">
        <v>1151</v>
      </c>
      <c r="Y1177">
        <v>10</v>
      </c>
      <c r="Z1177" t="str">
        <f>IF(Table1[[#This Row],[Month_No]]&lt;=6, "H1","H2")</f>
        <v>H2</v>
      </c>
    </row>
    <row r="1178" spans="1:26" x14ac:dyDescent="0.25">
      <c r="A1178" s="2">
        <v>45956</v>
      </c>
      <c r="B1178" t="s">
        <v>1260</v>
      </c>
      <c r="C1178" t="s">
        <v>70</v>
      </c>
      <c r="D1178" t="s">
        <v>85</v>
      </c>
      <c r="E1178" t="s">
        <v>57</v>
      </c>
      <c r="F1178" t="s">
        <v>52</v>
      </c>
      <c r="G1178" t="s">
        <v>61</v>
      </c>
      <c r="H1178" t="s">
        <v>47</v>
      </c>
      <c r="I1178">
        <v>61.626182304003429</v>
      </c>
      <c r="J1178" s="3">
        <v>2049.52</v>
      </c>
      <c r="K1178" s="3">
        <f>Table1[[#This Row],[Quantity]]*Table1[[#This Row],[Unit_Price]]</f>
        <v>126304.09315570111</v>
      </c>
      <c r="L1178" s="3">
        <v>5177.3</v>
      </c>
      <c r="M1178" s="3">
        <f>Table1[[#This Row],[Gross_Sales]]-Table1[[#This Row],[Discount]]</f>
        <v>121126.7931557011</v>
      </c>
      <c r="N1178" s="3">
        <v>78056.31</v>
      </c>
      <c r="O1178" s="3">
        <v>1939.62</v>
      </c>
      <c r="P1178" s="3">
        <v>7064.99</v>
      </c>
      <c r="Q1178" s="3">
        <v>2285.1999999999998</v>
      </c>
      <c r="R1178" s="3">
        <v>2014.75</v>
      </c>
      <c r="S1178" s="3">
        <f>SUM(Table1[[#This Row],[Product_Cost]:[Other_Cost]])</f>
        <v>91360.87</v>
      </c>
      <c r="T1178" s="3">
        <f>Table1[[#This Row],[Net_Sales]]-Table1[[#This Row],[Product_Cost]]</f>
        <v>43070.483155701106</v>
      </c>
      <c r="U1178" s="3">
        <f>Table1[[#This Row],[Net_Sales]]-Table1[[#This Row],[Total_Cost]]</f>
        <v>29765.923155701108</v>
      </c>
      <c r="V1178" s="4">
        <f>Table1[[#This Row],[Net_Profit]]/Table1[[#This Row],[Net_Sales]]</f>
        <v>0.24574185760403011</v>
      </c>
      <c r="W1178" t="s">
        <v>33</v>
      </c>
      <c r="X1178" t="s">
        <v>1151</v>
      </c>
      <c r="Y1178">
        <v>10</v>
      </c>
      <c r="Z1178" t="str">
        <f>IF(Table1[[#This Row],[Month_No]]&lt;=6, "H1","H2")</f>
        <v>H2</v>
      </c>
    </row>
    <row r="1179" spans="1:26" x14ac:dyDescent="0.25">
      <c r="A1179" s="2">
        <v>45957</v>
      </c>
      <c r="B1179" t="s">
        <v>1261</v>
      </c>
      <c r="C1179" t="s">
        <v>36</v>
      </c>
      <c r="D1179" t="s">
        <v>37</v>
      </c>
      <c r="E1179" t="s">
        <v>38</v>
      </c>
      <c r="F1179" t="s">
        <v>52</v>
      </c>
      <c r="G1179" t="s">
        <v>61</v>
      </c>
      <c r="H1179" t="s">
        <v>47</v>
      </c>
      <c r="I1179">
        <v>93.364185077088507</v>
      </c>
      <c r="J1179" s="3">
        <v>4781.7</v>
      </c>
      <c r="K1179" s="3">
        <f>Table1[[#This Row],[Quantity]]*Table1[[#This Row],[Unit_Price]]</f>
        <v>446439.5237831141</v>
      </c>
      <c r="L1179" s="3">
        <v>17719.240000000002</v>
      </c>
      <c r="M1179" s="3">
        <f>Table1[[#This Row],[Gross_Sales]]-Table1[[#This Row],[Discount]]</f>
        <v>428720.28378311411</v>
      </c>
      <c r="N1179" s="3">
        <v>303537.15000000002</v>
      </c>
      <c r="O1179" s="3">
        <v>7318.8</v>
      </c>
      <c r="P1179" s="3">
        <v>24161.32</v>
      </c>
      <c r="Q1179" s="3">
        <v>11153.97</v>
      </c>
      <c r="R1179" s="3">
        <v>5496.09</v>
      </c>
      <c r="S1179" s="3">
        <f>SUM(Table1[[#This Row],[Product_Cost]:[Other_Cost]])</f>
        <v>351667.33</v>
      </c>
      <c r="T1179" s="3">
        <f>Table1[[#This Row],[Net_Sales]]-Table1[[#This Row],[Product_Cost]]</f>
        <v>125183.13378311408</v>
      </c>
      <c r="U1179" s="3">
        <f>Table1[[#This Row],[Net_Sales]]-Table1[[#This Row],[Total_Cost]]</f>
        <v>77052.953783114091</v>
      </c>
      <c r="V1179" s="4">
        <f>Table1[[#This Row],[Net_Profit]]/Table1[[#This Row],[Net_Sales]]</f>
        <v>0.17972780084763731</v>
      </c>
      <c r="W1179" t="s">
        <v>33</v>
      </c>
      <c r="X1179" t="s">
        <v>1151</v>
      </c>
      <c r="Y1179">
        <v>10</v>
      </c>
      <c r="Z1179" t="str">
        <f>IF(Table1[[#This Row],[Month_No]]&lt;=6, "H1","H2")</f>
        <v>H2</v>
      </c>
    </row>
    <row r="1180" spans="1:26" x14ac:dyDescent="0.25">
      <c r="A1180" s="2">
        <v>45958</v>
      </c>
      <c r="B1180" t="s">
        <v>1262</v>
      </c>
      <c r="C1180" t="s">
        <v>70</v>
      </c>
      <c r="D1180" t="s">
        <v>81</v>
      </c>
      <c r="E1180" t="s">
        <v>45</v>
      </c>
      <c r="F1180" t="s">
        <v>52</v>
      </c>
      <c r="G1180" t="s">
        <v>64</v>
      </c>
      <c r="H1180" t="s">
        <v>59</v>
      </c>
      <c r="I1180">
        <v>50.33533660742674</v>
      </c>
      <c r="J1180" s="3">
        <v>7209.61</v>
      </c>
      <c r="K1180" s="3">
        <f>Table1[[#This Row],[Quantity]]*Table1[[#This Row],[Unit_Price]]</f>
        <v>362898.1461582699</v>
      </c>
      <c r="L1180" s="3">
        <v>15910.08</v>
      </c>
      <c r="M1180" s="3">
        <f>Table1[[#This Row],[Gross_Sales]]-Table1[[#This Row],[Discount]]</f>
        <v>346988.06615826988</v>
      </c>
      <c r="N1180" s="3">
        <v>185858.01</v>
      </c>
      <c r="O1180" s="3">
        <v>5495.8</v>
      </c>
      <c r="P1180" s="3">
        <v>17061.52</v>
      </c>
      <c r="Q1180" s="3">
        <v>9828.5400000000009</v>
      </c>
      <c r="R1180" s="3">
        <v>5836.24</v>
      </c>
      <c r="S1180" s="3">
        <f>SUM(Table1[[#This Row],[Product_Cost]:[Other_Cost]])</f>
        <v>224080.11</v>
      </c>
      <c r="T1180" s="3">
        <f>Table1[[#This Row],[Net_Sales]]-Table1[[#This Row],[Product_Cost]]</f>
        <v>161130.05615826987</v>
      </c>
      <c r="U1180" s="3">
        <f>Table1[[#This Row],[Net_Sales]]-Table1[[#This Row],[Total_Cost]]</f>
        <v>122907.9561582699</v>
      </c>
      <c r="V1180" s="4">
        <f>Table1[[#This Row],[Net_Profit]]/Table1[[#This Row],[Net_Sales]]</f>
        <v>0.35421378469600889</v>
      </c>
      <c r="W1180" t="s">
        <v>33</v>
      </c>
      <c r="X1180" t="s">
        <v>1151</v>
      </c>
      <c r="Y1180">
        <v>10</v>
      </c>
      <c r="Z1180" t="str">
        <f>IF(Table1[[#This Row],[Month_No]]&lt;=6, "H1","H2")</f>
        <v>H2</v>
      </c>
    </row>
    <row r="1181" spans="1:26" x14ac:dyDescent="0.25">
      <c r="A1181" s="2">
        <v>45958</v>
      </c>
      <c r="B1181" t="s">
        <v>1263</v>
      </c>
      <c r="C1181" t="s">
        <v>70</v>
      </c>
      <c r="D1181" t="s">
        <v>85</v>
      </c>
      <c r="E1181" t="s">
        <v>57</v>
      </c>
      <c r="F1181" t="s">
        <v>52</v>
      </c>
      <c r="G1181" t="s">
        <v>71</v>
      </c>
      <c r="H1181" t="s">
        <v>59</v>
      </c>
      <c r="I1181">
        <v>63.405240926017029</v>
      </c>
      <c r="J1181" s="3">
        <v>1990.65</v>
      </c>
      <c r="K1181" s="3">
        <f>Table1[[#This Row],[Quantity]]*Table1[[#This Row],[Unit_Price]]</f>
        <v>126217.6428493758</v>
      </c>
      <c r="L1181" s="3">
        <v>3976.54</v>
      </c>
      <c r="M1181" s="3">
        <f>Table1[[#This Row],[Gross_Sales]]-Table1[[#This Row],[Discount]]</f>
        <v>122241.10284937581</v>
      </c>
      <c r="N1181" s="3">
        <v>81415.14</v>
      </c>
      <c r="O1181" s="3">
        <v>2043.92</v>
      </c>
      <c r="P1181" s="3">
        <v>7361.97</v>
      </c>
      <c r="Q1181" s="3">
        <v>3644.5</v>
      </c>
      <c r="R1181" s="3">
        <v>1570.21</v>
      </c>
      <c r="S1181" s="3">
        <f>SUM(Table1[[#This Row],[Product_Cost]:[Other_Cost]])</f>
        <v>96035.74</v>
      </c>
      <c r="T1181" s="3">
        <f>Table1[[#This Row],[Net_Sales]]-Table1[[#This Row],[Product_Cost]]</f>
        <v>40825.962849375806</v>
      </c>
      <c r="U1181" s="3">
        <f>Table1[[#This Row],[Net_Sales]]-Table1[[#This Row],[Total_Cost]]</f>
        <v>26205.362849375801</v>
      </c>
      <c r="V1181" s="4">
        <f>Table1[[#This Row],[Net_Profit]]/Table1[[#This Row],[Net_Sales]]</f>
        <v>0.21437439812421991</v>
      </c>
      <c r="W1181" t="s">
        <v>33</v>
      </c>
      <c r="X1181" t="s">
        <v>1151</v>
      </c>
      <c r="Y1181">
        <v>10</v>
      </c>
      <c r="Z1181" t="str">
        <f>IF(Table1[[#This Row],[Month_No]]&lt;=6, "H1","H2")</f>
        <v>H2</v>
      </c>
    </row>
    <row r="1182" spans="1:26" x14ac:dyDescent="0.25">
      <c r="A1182" s="2">
        <v>45958</v>
      </c>
      <c r="B1182" t="s">
        <v>1264</v>
      </c>
      <c r="C1182" t="s">
        <v>78</v>
      </c>
      <c r="D1182" t="s">
        <v>44</v>
      </c>
      <c r="E1182" t="s">
        <v>45</v>
      </c>
      <c r="F1182" t="s">
        <v>46</v>
      </c>
      <c r="G1182" t="s">
        <v>40</v>
      </c>
      <c r="H1182" t="s">
        <v>41</v>
      </c>
      <c r="I1182">
        <v>70.609266128599472</v>
      </c>
      <c r="J1182" s="3">
        <v>4861.3900000000003</v>
      </c>
      <c r="K1182" s="3">
        <f>Table1[[#This Row],[Quantity]]*Table1[[#This Row],[Unit_Price]]</f>
        <v>343259.1802649122</v>
      </c>
      <c r="L1182" s="3">
        <v>17783.32</v>
      </c>
      <c r="M1182" s="3">
        <f>Table1[[#This Row],[Gross_Sales]]-Table1[[#This Row],[Discount]]</f>
        <v>325475.86026491219</v>
      </c>
      <c r="N1182" s="3">
        <v>217249.72</v>
      </c>
      <c r="O1182" s="3">
        <v>6001.82</v>
      </c>
      <c r="P1182" s="3">
        <v>16946.52</v>
      </c>
      <c r="Q1182" s="3">
        <v>6135.41</v>
      </c>
      <c r="R1182" s="3">
        <v>5487.31</v>
      </c>
      <c r="S1182" s="3">
        <f>SUM(Table1[[#This Row],[Product_Cost]:[Other_Cost]])</f>
        <v>251820.78</v>
      </c>
      <c r="T1182" s="3">
        <f>Table1[[#This Row],[Net_Sales]]-Table1[[#This Row],[Product_Cost]]</f>
        <v>108226.14026491219</v>
      </c>
      <c r="U1182" s="3">
        <f>Table1[[#This Row],[Net_Sales]]-Table1[[#This Row],[Total_Cost]]</f>
        <v>73655.080264912191</v>
      </c>
      <c r="V1182" s="4">
        <f>Table1[[#This Row],[Net_Profit]]/Table1[[#This Row],[Net_Sales]]</f>
        <v>0.22629967151776678</v>
      </c>
      <c r="W1182" t="s">
        <v>72</v>
      </c>
      <c r="X1182" t="s">
        <v>1151</v>
      </c>
      <c r="Y1182">
        <v>10</v>
      </c>
      <c r="Z1182" t="str">
        <f>IF(Table1[[#This Row],[Month_No]]&lt;=6, "H1","H2")</f>
        <v>H2</v>
      </c>
    </row>
    <row r="1183" spans="1:26" x14ac:dyDescent="0.25">
      <c r="A1183" s="2">
        <v>45959</v>
      </c>
      <c r="B1183" t="s">
        <v>1265</v>
      </c>
      <c r="C1183" t="s">
        <v>63</v>
      </c>
      <c r="D1183" t="s">
        <v>183</v>
      </c>
      <c r="E1183" t="s">
        <v>38</v>
      </c>
      <c r="F1183" t="s">
        <v>30</v>
      </c>
      <c r="G1183" t="s">
        <v>40</v>
      </c>
      <c r="H1183" t="s">
        <v>47</v>
      </c>
      <c r="I1183">
        <v>3.9207208715065631</v>
      </c>
      <c r="J1183" s="3">
        <v>7003.95</v>
      </c>
      <c r="K1183" s="3">
        <f>Table1[[#This Row],[Quantity]]*Table1[[#This Row],[Unit_Price]]</f>
        <v>27460.532947988391</v>
      </c>
      <c r="L1183" s="3">
        <v>1053.21</v>
      </c>
      <c r="M1183" s="3">
        <f>Table1[[#This Row],[Gross_Sales]]-Table1[[#This Row],[Discount]]</f>
        <v>26407.322947988392</v>
      </c>
      <c r="N1183" s="3">
        <v>13698.74</v>
      </c>
      <c r="O1183" s="3">
        <v>727.24</v>
      </c>
      <c r="P1183" s="3">
        <v>1465.35</v>
      </c>
      <c r="Q1183" s="3">
        <v>596.79999999999995</v>
      </c>
      <c r="R1183" s="3">
        <v>485.1</v>
      </c>
      <c r="S1183" s="3">
        <f>SUM(Table1[[#This Row],[Product_Cost]:[Other_Cost]])</f>
        <v>16973.23</v>
      </c>
      <c r="T1183" s="3">
        <f>Table1[[#This Row],[Net_Sales]]-Table1[[#This Row],[Product_Cost]]</f>
        <v>12708.582947988392</v>
      </c>
      <c r="U1183" s="3">
        <f>Table1[[#This Row],[Net_Sales]]-Table1[[#This Row],[Total_Cost]]</f>
        <v>9434.0929479883926</v>
      </c>
      <c r="V1183" s="4">
        <f>Table1[[#This Row],[Net_Profit]]/Table1[[#This Row],[Net_Sales]]</f>
        <v>0.35725290922406983</v>
      </c>
      <c r="W1183" t="s">
        <v>33</v>
      </c>
      <c r="X1183" t="s">
        <v>1151</v>
      </c>
      <c r="Y1183">
        <v>10</v>
      </c>
      <c r="Z1183" t="str">
        <f>IF(Table1[[#This Row],[Month_No]]&lt;=6, "H1","H2")</f>
        <v>H2</v>
      </c>
    </row>
    <row r="1184" spans="1:26" x14ac:dyDescent="0.25">
      <c r="A1184" s="2">
        <v>45959</v>
      </c>
      <c r="B1184" t="s">
        <v>1266</v>
      </c>
      <c r="C1184" t="s">
        <v>78</v>
      </c>
      <c r="D1184" t="s">
        <v>28</v>
      </c>
      <c r="E1184" t="s">
        <v>29</v>
      </c>
      <c r="F1184" t="s">
        <v>46</v>
      </c>
      <c r="G1184" t="s">
        <v>31</v>
      </c>
      <c r="H1184" t="s">
        <v>41</v>
      </c>
      <c r="I1184">
        <v>49.239594414729609</v>
      </c>
      <c r="J1184" s="3">
        <v>1212.4000000000001</v>
      </c>
      <c r="K1184" s="3">
        <f>Table1[[#This Row],[Quantity]]*Table1[[#This Row],[Unit_Price]]</f>
        <v>59698.084268418184</v>
      </c>
      <c r="L1184" s="3">
        <v>2896.29</v>
      </c>
      <c r="M1184" s="3">
        <f>Table1[[#This Row],[Gross_Sales]]-Table1[[#This Row],[Discount]]</f>
        <v>56801.794268418183</v>
      </c>
      <c r="N1184" s="3">
        <v>30345.19</v>
      </c>
      <c r="O1184" s="3">
        <v>1196.99</v>
      </c>
      <c r="P1184" s="3">
        <v>3265.72</v>
      </c>
      <c r="Q1184" s="3">
        <v>1404.79</v>
      </c>
      <c r="R1184" s="3">
        <v>761.26</v>
      </c>
      <c r="S1184" s="3">
        <f>SUM(Table1[[#This Row],[Product_Cost]:[Other_Cost]])</f>
        <v>36973.950000000004</v>
      </c>
      <c r="T1184" s="3">
        <f>Table1[[#This Row],[Net_Sales]]-Table1[[#This Row],[Product_Cost]]</f>
        <v>26456.604268418185</v>
      </c>
      <c r="U1184" s="3">
        <f>Table1[[#This Row],[Net_Sales]]-Table1[[#This Row],[Total_Cost]]</f>
        <v>19827.844268418179</v>
      </c>
      <c r="V1184" s="4">
        <f>Table1[[#This Row],[Net_Profit]]/Table1[[#This Row],[Net_Sales]]</f>
        <v>0.34907073841226294</v>
      </c>
      <c r="W1184" t="s">
        <v>72</v>
      </c>
      <c r="X1184" t="s">
        <v>1151</v>
      </c>
      <c r="Y1184">
        <v>10</v>
      </c>
      <c r="Z1184" t="str">
        <f>IF(Table1[[#This Row],[Month_No]]&lt;=6, "H1","H2")</f>
        <v>H2</v>
      </c>
    </row>
    <row r="1185" spans="1:26" x14ac:dyDescent="0.25">
      <c r="A1185" s="2">
        <v>45959</v>
      </c>
      <c r="B1185" t="s">
        <v>1267</v>
      </c>
      <c r="C1185" t="s">
        <v>78</v>
      </c>
      <c r="D1185" t="s">
        <v>44</v>
      </c>
      <c r="E1185" t="s">
        <v>45</v>
      </c>
      <c r="F1185" t="s">
        <v>46</v>
      </c>
      <c r="G1185" t="s">
        <v>64</v>
      </c>
      <c r="H1185" t="s">
        <v>41</v>
      </c>
      <c r="I1185">
        <v>32.894140937524547</v>
      </c>
      <c r="J1185" s="3">
        <v>4651.3999999999996</v>
      </c>
      <c r="K1185" s="3">
        <f>Table1[[#This Row],[Quantity]]*Table1[[#This Row],[Unit_Price]]</f>
        <v>153003.80715680166</v>
      </c>
      <c r="L1185" s="3">
        <v>4680.3900000000003</v>
      </c>
      <c r="M1185" s="3">
        <f>Table1[[#This Row],[Gross_Sales]]-Table1[[#This Row],[Discount]]</f>
        <v>148323.41715680165</v>
      </c>
      <c r="N1185" s="3">
        <v>101062.48</v>
      </c>
      <c r="O1185" s="3">
        <v>3122.39</v>
      </c>
      <c r="P1185" s="3">
        <v>8921.1299999999992</v>
      </c>
      <c r="Q1185" s="3">
        <v>3814.56</v>
      </c>
      <c r="R1185" s="3">
        <v>3259.63</v>
      </c>
      <c r="S1185" s="3">
        <f>SUM(Table1[[#This Row],[Product_Cost]:[Other_Cost]])</f>
        <v>120180.19</v>
      </c>
      <c r="T1185" s="3">
        <f>Table1[[#This Row],[Net_Sales]]-Table1[[#This Row],[Product_Cost]]</f>
        <v>47260.93715680165</v>
      </c>
      <c r="U1185" s="3">
        <f>Table1[[#This Row],[Net_Sales]]-Table1[[#This Row],[Total_Cost]]</f>
        <v>28143.227156801644</v>
      </c>
      <c r="V1185" s="4">
        <f>Table1[[#This Row],[Net_Profit]]/Table1[[#This Row],[Net_Sales]]</f>
        <v>0.18974230567415892</v>
      </c>
      <c r="W1185" t="s">
        <v>33</v>
      </c>
      <c r="X1185" t="s">
        <v>1151</v>
      </c>
      <c r="Y1185">
        <v>10</v>
      </c>
      <c r="Z1185" t="str">
        <f>IF(Table1[[#This Row],[Month_No]]&lt;=6, "H1","H2")</f>
        <v>H2</v>
      </c>
    </row>
    <row r="1186" spans="1:26" x14ac:dyDescent="0.25">
      <c r="A1186" s="2">
        <v>45959</v>
      </c>
      <c r="B1186" t="s">
        <v>1268</v>
      </c>
      <c r="C1186" t="s">
        <v>78</v>
      </c>
      <c r="D1186" t="s">
        <v>37</v>
      </c>
      <c r="E1186" t="s">
        <v>38</v>
      </c>
      <c r="F1186" t="s">
        <v>46</v>
      </c>
      <c r="G1186" t="s">
        <v>61</v>
      </c>
      <c r="H1186" t="s">
        <v>41</v>
      </c>
      <c r="I1186">
        <v>60.232369757215928</v>
      </c>
      <c r="J1186" s="3">
        <v>4647.0600000000004</v>
      </c>
      <c r="K1186" s="3">
        <f>Table1[[#This Row],[Quantity]]*Table1[[#This Row],[Unit_Price]]</f>
        <v>279903.4362039679</v>
      </c>
      <c r="L1186" s="3">
        <v>14506.52</v>
      </c>
      <c r="M1186" s="3">
        <f>Table1[[#This Row],[Gross_Sales]]-Table1[[#This Row],[Discount]]</f>
        <v>265396.91620396788</v>
      </c>
      <c r="N1186" s="3">
        <v>181111.16</v>
      </c>
      <c r="O1186" s="3">
        <v>5592.63</v>
      </c>
      <c r="P1186" s="3">
        <v>14298.87</v>
      </c>
      <c r="Q1186" s="3">
        <v>7513.44</v>
      </c>
      <c r="R1186" s="3">
        <v>4281.51</v>
      </c>
      <c r="S1186" s="3">
        <f>SUM(Table1[[#This Row],[Product_Cost]:[Other_Cost]])</f>
        <v>212797.61000000002</v>
      </c>
      <c r="T1186" s="3">
        <f>Table1[[#This Row],[Net_Sales]]-Table1[[#This Row],[Product_Cost]]</f>
        <v>84285.756203967874</v>
      </c>
      <c r="U1186" s="3">
        <f>Table1[[#This Row],[Net_Sales]]-Table1[[#This Row],[Total_Cost]]</f>
        <v>52599.306203967863</v>
      </c>
      <c r="V1186" s="4">
        <f>Table1[[#This Row],[Net_Profit]]/Table1[[#This Row],[Net_Sales]]</f>
        <v>0.19819109790839937</v>
      </c>
      <c r="W1186" t="s">
        <v>72</v>
      </c>
      <c r="X1186" t="s">
        <v>1151</v>
      </c>
      <c r="Y1186">
        <v>10</v>
      </c>
      <c r="Z1186" t="str">
        <f>IF(Table1[[#This Row],[Month_No]]&lt;=6, "H1","H2")</f>
        <v>H2</v>
      </c>
    </row>
    <row r="1187" spans="1:26" x14ac:dyDescent="0.25">
      <c r="A1187" s="2">
        <v>45960</v>
      </c>
      <c r="B1187" t="s">
        <v>1269</v>
      </c>
      <c r="C1187" t="s">
        <v>98</v>
      </c>
      <c r="D1187" t="s">
        <v>44</v>
      </c>
      <c r="E1187" t="s">
        <v>45</v>
      </c>
      <c r="F1187" t="s">
        <v>46</v>
      </c>
      <c r="G1187" t="s">
        <v>61</v>
      </c>
      <c r="H1187" t="s">
        <v>32</v>
      </c>
      <c r="I1187">
        <v>51.794600830195478</v>
      </c>
      <c r="J1187" s="3">
        <v>4602.42</v>
      </c>
      <c r="K1187" s="3">
        <f>Table1[[#This Row],[Quantity]]*Table1[[#This Row],[Unit_Price]]</f>
        <v>238380.50675290829</v>
      </c>
      <c r="L1187" s="3">
        <v>10276.549999999999</v>
      </c>
      <c r="M1187" s="3">
        <f>Table1[[#This Row],[Gross_Sales]]-Table1[[#This Row],[Discount]]</f>
        <v>228103.9567529083</v>
      </c>
      <c r="N1187" s="3">
        <v>154548.17000000001</v>
      </c>
      <c r="O1187" s="3">
        <v>4259.05</v>
      </c>
      <c r="P1187" s="3">
        <v>13371.85</v>
      </c>
      <c r="Q1187" s="3">
        <v>4506.78</v>
      </c>
      <c r="R1187" s="3">
        <v>3992.87</v>
      </c>
      <c r="S1187" s="3">
        <f>SUM(Table1[[#This Row],[Product_Cost]:[Other_Cost]])</f>
        <v>180678.72</v>
      </c>
      <c r="T1187" s="3">
        <f>Table1[[#This Row],[Net_Sales]]-Table1[[#This Row],[Product_Cost]]</f>
        <v>73555.786752908287</v>
      </c>
      <c r="U1187" s="3">
        <f>Table1[[#This Row],[Net_Sales]]-Table1[[#This Row],[Total_Cost]]</f>
        <v>47425.236752908299</v>
      </c>
      <c r="V1187" s="4">
        <f>Table1[[#This Row],[Net_Profit]]/Table1[[#This Row],[Net_Sales]]</f>
        <v>0.20791062736487859</v>
      </c>
      <c r="W1187" t="s">
        <v>72</v>
      </c>
      <c r="X1187" t="s">
        <v>1151</v>
      </c>
      <c r="Y1187">
        <v>10</v>
      </c>
      <c r="Z1187" t="str">
        <f>IF(Table1[[#This Row],[Month_No]]&lt;=6, "H1","H2")</f>
        <v>H2</v>
      </c>
    </row>
    <row r="1188" spans="1:26" x14ac:dyDescent="0.25">
      <c r="A1188" s="2">
        <v>45960</v>
      </c>
      <c r="B1188" t="s">
        <v>1270</v>
      </c>
      <c r="C1188" t="s">
        <v>107</v>
      </c>
      <c r="D1188" t="s">
        <v>66</v>
      </c>
      <c r="E1188" t="s">
        <v>51</v>
      </c>
      <c r="F1188" t="s">
        <v>30</v>
      </c>
      <c r="G1188" t="s">
        <v>58</v>
      </c>
      <c r="H1188" t="s">
        <v>41</v>
      </c>
      <c r="I1188">
        <v>32.934912417586048</v>
      </c>
      <c r="J1188" s="3">
        <v>1543.82</v>
      </c>
      <c r="K1188" s="3">
        <f>Table1[[#This Row],[Quantity]]*Table1[[#This Row],[Unit_Price]]</f>
        <v>50845.57648851769</v>
      </c>
      <c r="L1188" s="3">
        <v>1664.87</v>
      </c>
      <c r="M1188" s="3">
        <f>Table1[[#This Row],[Gross_Sales]]-Table1[[#This Row],[Discount]]</f>
        <v>49180.706488517688</v>
      </c>
      <c r="N1188" s="3">
        <v>23676.97</v>
      </c>
      <c r="O1188" s="3">
        <v>1443</v>
      </c>
      <c r="P1188" s="3">
        <v>2793.22</v>
      </c>
      <c r="Q1188" s="3">
        <v>1300.1400000000001</v>
      </c>
      <c r="R1188" s="3">
        <v>741.23</v>
      </c>
      <c r="S1188" s="3">
        <f>SUM(Table1[[#This Row],[Product_Cost]:[Other_Cost]])</f>
        <v>29954.560000000001</v>
      </c>
      <c r="T1188" s="3">
        <f>Table1[[#This Row],[Net_Sales]]-Table1[[#This Row],[Product_Cost]]</f>
        <v>25503.736488517687</v>
      </c>
      <c r="U1188" s="3">
        <f>Table1[[#This Row],[Net_Sales]]-Table1[[#This Row],[Total_Cost]]</f>
        <v>19226.146488517687</v>
      </c>
      <c r="V1188" s="4">
        <f>Table1[[#This Row],[Net_Profit]]/Table1[[#This Row],[Net_Sales]]</f>
        <v>0.39092863566338665</v>
      </c>
      <c r="W1188" t="s">
        <v>33</v>
      </c>
      <c r="X1188" t="s">
        <v>1151</v>
      </c>
      <c r="Y1188">
        <v>10</v>
      </c>
      <c r="Z1188" t="str">
        <f>IF(Table1[[#This Row],[Month_No]]&lt;=6, "H1","H2")</f>
        <v>H2</v>
      </c>
    </row>
    <row r="1189" spans="1:26" x14ac:dyDescent="0.25">
      <c r="A1189" s="2">
        <v>45960</v>
      </c>
      <c r="B1189" t="s">
        <v>1271</v>
      </c>
      <c r="C1189" t="s">
        <v>55</v>
      </c>
      <c r="D1189" t="s">
        <v>66</v>
      </c>
      <c r="E1189" t="s">
        <v>51</v>
      </c>
      <c r="F1189" t="s">
        <v>39</v>
      </c>
      <c r="G1189" t="s">
        <v>58</v>
      </c>
      <c r="H1189" t="s">
        <v>47</v>
      </c>
      <c r="I1189">
        <v>80.837744561119081</v>
      </c>
      <c r="J1189" s="3">
        <v>1551.28</v>
      </c>
      <c r="K1189" s="3">
        <f>Table1[[#This Row],[Quantity]]*Table1[[#This Row],[Unit_Price]]</f>
        <v>125401.9763827728</v>
      </c>
      <c r="L1189" s="3">
        <v>5876.4</v>
      </c>
      <c r="M1189" s="3">
        <f>Table1[[#This Row],[Gross_Sales]]-Table1[[#This Row],[Discount]]</f>
        <v>119525.57638277281</v>
      </c>
      <c r="N1189" s="3">
        <v>55316.21</v>
      </c>
      <c r="O1189" s="3">
        <v>4139.55</v>
      </c>
      <c r="P1189" s="3">
        <v>6237.91</v>
      </c>
      <c r="Q1189" s="3">
        <v>3176.35</v>
      </c>
      <c r="R1189" s="3">
        <v>1684.29</v>
      </c>
      <c r="S1189" s="3">
        <f>SUM(Table1[[#This Row],[Product_Cost]:[Other_Cost]])</f>
        <v>70554.31</v>
      </c>
      <c r="T1189" s="3">
        <f>Table1[[#This Row],[Net_Sales]]-Table1[[#This Row],[Product_Cost]]</f>
        <v>64209.366382772809</v>
      </c>
      <c r="U1189" s="3">
        <f>Table1[[#This Row],[Net_Sales]]-Table1[[#This Row],[Total_Cost]]</f>
        <v>48971.26638277281</v>
      </c>
      <c r="V1189" s="4">
        <f>Table1[[#This Row],[Net_Profit]]/Table1[[#This Row],[Net_Sales]]</f>
        <v>0.40971370199417023</v>
      </c>
      <c r="W1189" t="s">
        <v>33</v>
      </c>
      <c r="X1189" t="s">
        <v>1151</v>
      </c>
      <c r="Y1189">
        <v>10</v>
      </c>
      <c r="Z1189" t="str">
        <f>IF(Table1[[#This Row],[Month_No]]&lt;=6, "H1","H2")</f>
        <v>H2</v>
      </c>
    </row>
    <row r="1190" spans="1:26" x14ac:dyDescent="0.25">
      <c r="A1190" s="2">
        <v>45960</v>
      </c>
      <c r="B1190" t="s">
        <v>1272</v>
      </c>
      <c r="C1190" t="s">
        <v>27</v>
      </c>
      <c r="D1190" t="s">
        <v>68</v>
      </c>
      <c r="E1190" t="s">
        <v>29</v>
      </c>
      <c r="F1190" t="s">
        <v>52</v>
      </c>
      <c r="G1190" t="s">
        <v>64</v>
      </c>
      <c r="H1190" t="s">
        <v>59</v>
      </c>
      <c r="I1190">
        <v>91.88450355594226</v>
      </c>
      <c r="J1190" s="3">
        <v>406.98</v>
      </c>
      <c r="K1190" s="3">
        <f>Table1[[#This Row],[Quantity]]*Table1[[#This Row],[Unit_Price]]</f>
        <v>37395.155257197381</v>
      </c>
      <c r="L1190" s="3">
        <v>1119.26</v>
      </c>
      <c r="M1190" s="3">
        <f>Table1[[#This Row],[Gross_Sales]]-Table1[[#This Row],[Discount]]</f>
        <v>36275.895257197379</v>
      </c>
      <c r="N1190" s="3">
        <v>27087.93</v>
      </c>
      <c r="O1190" s="3">
        <v>686.9</v>
      </c>
      <c r="P1190" s="3">
        <v>1765.65</v>
      </c>
      <c r="Q1190" s="3">
        <v>1075.3699999999999</v>
      </c>
      <c r="R1190" s="3">
        <v>781.58</v>
      </c>
      <c r="S1190" s="3">
        <f>SUM(Table1[[#This Row],[Product_Cost]:[Other_Cost]])</f>
        <v>31397.430000000004</v>
      </c>
      <c r="T1190" s="3">
        <f>Table1[[#This Row],[Net_Sales]]-Table1[[#This Row],[Product_Cost]]</f>
        <v>9187.9652571973784</v>
      </c>
      <c r="U1190" s="3">
        <f>Table1[[#This Row],[Net_Sales]]-Table1[[#This Row],[Total_Cost]]</f>
        <v>4878.4652571973747</v>
      </c>
      <c r="V1190" s="4">
        <f>Table1[[#This Row],[Net_Profit]]/Table1[[#This Row],[Net_Sales]]</f>
        <v>0.13448228424436898</v>
      </c>
      <c r="W1190" t="s">
        <v>33</v>
      </c>
      <c r="X1190" t="s">
        <v>1151</v>
      </c>
      <c r="Y1190">
        <v>10</v>
      </c>
      <c r="Z1190" t="str">
        <f>IF(Table1[[#This Row],[Month_No]]&lt;=6, "H1","H2")</f>
        <v>H2</v>
      </c>
    </row>
    <row r="1191" spans="1:26" x14ac:dyDescent="0.25">
      <c r="A1191" s="2">
        <v>45961</v>
      </c>
      <c r="B1191" t="s">
        <v>1273</v>
      </c>
      <c r="C1191" t="s">
        <v>70</v>
      </c>
      <c r="D1191" t="s">
        <v>56</v>
      </c>
      <c r="E1191" t="s">
        <v>57</v>
      </c>
      <c r="F1191" t="s">
        <v>30</v>
      </c>
      <c r="G1191" t="s">
        <v>61</v>
      </c>
      <c r="H1191" t="s">
        <v>47</v>
      </c>
      <c r="I1191">
        <v>53.565698972415142</v>
      </c>
      <c r="J1191" s="3">
        <v>3294.62</v>
      </c>
      <c r="K1191" s="3">
        <f>Table1[[#This Row],[Quantity]]*Table1[[#This Row],[Unit_Price]]</f>
        <v>176478.62314849836</v>
      </c>
      <c r="L1191" s="3">
        <v>5009.6899999999996</v>
      </c>
      <c r="M1191" s="3">
        <f>Table1[[#This Row],[Gross_Sales]]-Table1[[#This Row],[Discount]]</f>
        <v>171468.93314849836</v>
      </c>
      <c r="N1191" s="3">
        <v>87540.6</v>
      </c>
      <c r="O1191" s="3">
        <v>3713.12</v>
      </c>
      <c r="P1191" s="3">
        <v>8638.33</v>
      </c>
      <c r="Q1191" s="3">
        <v>4480.87</v>
      </c>
      <c r="R1191" s="3">
        <v>3652.51</v>
      </c>
      <c r="S1191" s="3">
        <f>SUM(Table1[[#This Row],[Product_Cost]:[Other_Cost]])</f>
        <v>108025.43</v>
      </c>
      <c r="T1191" s="3">
        <f>Table1[[#This Row],[Net_Sales]]-Table1[[#This Row],[Product_Cost]]</f>
        <v>83928.33314849835</v>
      </c>
      <c r="U1191" s="3">
        <f>Table1[[#This Row],[Net_Sales]]-Table1[[#This Row],[Total_Cost]]</f>
        <v>63443.503148498363</v>
      </c>
      <c r="V1191" s="4">
        <f>Table1[[#This Row],[Net_Profit]]/Table1[[#This Row],[Net_Sales]]</f>
        <v>0.3699999876569709</v>
      </c>
      <c r="W1191" t="s">
        <v>33</v>
      </c>
      <c r="X1191" t="s">
        <v>1151</v>
      </c>
      <c r="Y1191">
        <v>10</v>
      </c>
      <c r="Z1191" t="str">
        <f>IF(Table1[[#This Row],[Month_No]]&lt;=6, "H1","H2")</f>
        <v>H2</v>
      </c>
    </row>
    <row r="1192" spans="1:26" x14ac:dyDescent="0.25">
      <c r="A1192" s="2">
        <v>45961</v>
      </c>
      <c r="B1192" t="s">
        <v>1274</v>
      </c>
      <c r="C1192" t="s">
        <v>117</v>
      </c>
      <c r="D1192" t="s">
        <v>28</v>
      </c>
      <c r="E1192" t="s">
        <v>29</v>
      </c>
      <c r="F1192" t="s">
        <v>52</v>
      </c>
      <c r="G1192" t="s">
        <v>61</v>
      </c>
      <c r="H1192" t="s">
        <v>47</v>
      </c>
      <c r="I1192">
        <v>113.9936521838689</v>
      </c>
      <c r="J1192" s="3">
        <v>1205.8900000000001</v>
      </c>
      <c r="K1192" s="3">
        <f>Table1[[#This Row],[Quantity]]*Table1[[#This Row],[Unit_Price]]</f>
        <v>137463.80523200569</v>
      </c>
      <c r="L1192" s="3">
        <v>6104.28</v>
      </c>
      <c r="M1192" s="3">
        <f>Table1[[#This Row],[Gross_Sales]]-Table1[[#This Row],[Discount]]</f>
        <v>131359.52523200569</v>
      </c>
      <c r="N1192" s="3">
        <v>68085.64</v>
      </c>
      <c r="O1192" s="3">
        <v>2467.96</v>
      </c>
      <c r="P1192" s="3">
        <v>7425.41</v>
      </c>
      <c r="Q1192" s="3">
        <v>4113.05</v>
      </c>
      <c r="R1192" s="3">
        <v>1724.35</v>
      </c>
      <c r="S1192" s="3">
        <f>SUM(Table1[[#This Row],[Product_Cost]:[Other_Cost]])</f>
        <v>83816.410000000018</v>
      </c>
      <c r="T1192" s="3">
        <f>Table1[[#This Row],[Net_Sales]]-Table1[[#This Row],[Product_Cost]]</f>
        <v>63273.88523200569</v>
      </c>
      <c r="U1192" s="3">
        <f>Table1[[#This Row],[Net_Sales]]-Table1[[#This Row],[Total_Cost]]</f>
        <v>47543.115232005672</v>
      </c>
      <c r="V1192" s="4">
        <f>Table1[[#This Row],[Net_Profit]]/Table1[[#This Row],[Net_Sales]]</f>
        <v>0.36193123527232279</v>
      </c>
      <c r="W1192" t="s">
        <v>33</v>
      </c>
      <c r="X1192" t="s">
        <v>1151</v>
      </c>
      <c r="Y1192">
        <v>10</v>
      </c>
      <c r="Z1192" t="str">
        <f>IF(Table1[[#This Row],[Month_No]]&lt;=6, "H1","H2")</f>
        <v>H2</v>
      </c>
    </row>
    <row r="1193" spans="1:26" x14ac:dyDescent="0.25">
      <c r="A1193" s="2">
        <v>45961</v>
      </c>
      <c r="B1193" t="s">
        <v>1275</v>
      </c>
      <c r="C1193" t="s">
        <v>27</v>
      </c>
      <c r="D1193" t="s">
        <v>81</v>
      </c>
      <c r="E1193" t="s">
        <v>45</v>
      </c>
      <c r="F1193" t="s">
        <v>52</v>
      </c>
      <c r="G1193" t="s">
        <v>31</v>
      </c>
      <c r="H1193" t="s">
        <v>47</v>
      </c>
      <c r="I1193">
        <v>56.011298085120778</v>
      </c>
      <c r="J1193" s="3">
        <v>7071.98</v>
      </c>
      <c r="K1193" s="3">
        <f>Table1[[#This Row],[Quantity]]*Table1[[#This Row],[Unit_Price]]</f>
        <v>396110.77983201243</v>
      </c>
      <c r="L1193" s="3">
        <v>12810.98</v>
      </c>
      <c r="M1193" s="3">
        <f>Table1[[#This Row],[Gross_Sales]]-Table1[[#This Row],[Discount]]</f>
        <v>383299.79983201245</v>
      </c>
      <c r="N1193" s="3">
        <v>187168.47</v>
      </c>
      <c r="O1193" s="3">
        <v>8036.56</v>
      </c>
      <c r="P1193" s="3">
        <v>23157.439999999999</v>
      </c>
      <c r="Q1193" s="3">
        <v>11812.86</v>
      </c>
      <c r="R1193" s="3">
        <v>8058.32</v>
      </c>
      <c r="S1193" s="3">
        <f>SUM(Table1[[#This Row],[Product_Cost]:[Other_Cost]])</f>
        <v>238233.65000000002</v>
      </c>
      <c r="T1193" s="3">
        <f>Table1[[#This Row],[Net_Sales]]-Table1[[#This Row],[Product_Cost]]</f>
        <v>196131.32983201244</v>
      </c>
      <c r="U1193" s="3">
        <f>Table1[[#This Row],[Net_Sales]]-Table1[[#This Row],[Total_Cost]]</f>
        <v>145066.14983201242</v>
      </c>
      <c r="V1193" s="4">
        <f>Table1[[#This Row],[Net_Profit]]/Table1[[#This Row],[Net_Sales]]</f>
        <v>0.37846654210513569</v>
      </c>
      <c r="W1193" t="s">
        <v>33</v>
      </c>
      <c r="X1193" t="s">
        <v>1151</v>
      </c>
      <c r="Y1193">
        <v>10</v>
      </c>
      <c r="Z1193" t="str">
        <f>IF(Table1[[#This Row],[Month_No]]&lt;=6, "H1","H2")</f>
        <v>H2</v>
      </c>
    </row>
    <row r="1194" spans="1:26" x14ac:dyDescent="0.25">
      <c r="A1194" s="2">
        <v>45961</v>
      </c>
      <c r="B1194" t="s">
        <v>1276</v>
      </c>
      <c r="C1194" t="s">
        <v>36</v>
      </c>
      <c r="D1194" t="s">
        <v>44</v>
      </c>
      <c r="E1194" t="s">
        <v>45</v>
      </c>
      <c r="F1194" t="s">
        <v>30</v>
      </c>
      <c r="G1194" t="s">
        <v>64</v>
      </c>
      <c r="H1194" t="s">
        <v>47</v>
      </c>
      <c r="I1194">
        <v>82.525192026654551</v>
      </c>
      <c r="J1194" s="3">
        <v>4636.49</v>
      </c>
      <c r="K1194" s="3">
        <f>Table1[[#This Row],[Quantity]]*Table1[[#This Row],[Unit_Price]]</f>
        <v>382627.22757966357</v>
      </c>
      <c r="L1194" s="3">
        <v>17307.400000000001</v>
      </c>
      <c r="M1194" s="3">
        <f>Table1[[#This Row],[Gross_Sales]]-Table1[[#This Row],[Discount]]</f>
        <v>365319.82757966354</v>
      </c>
      <c r="N1194" s="3">
        <v>239286.05</v>
      </c>
      <c r="O1194" s="3">
        <v>8239.51</v>
      </c>
      <c r="P1194" s="3">
        <v>18877.96</v>
      </c>
      <c r="Q1194" s="3">
        <v>10975.54</v>
      </c>
      <c r="R1194" s="3">
        <v>6854.79</v>
      </c>
      <c r="S1194" s="3">
        <f>SUM(Table1[[#This Row],[Product_Cost]:[Other_Cost]])</f>
        <v>284233.84999999998</v>
      </c>
      <c r="T1194" s="3">
        <f>Table1[[#This Row],[Net_Sales]]-Table1[[#This Row],[Product_Cost]]</f>
        <v>126033.77757966355</v>
      </c>
      <c r="U1194" s="3">
        <f>Table1[[#This Row],[Net_Sales]]-Table1[[#This Row],[Total_Cost]]</f>
        <v>81085.977579663566</v>
      </c>
      <c r="V1194" s="4">
        <f>Table1[[#This Row],[Net_Profit]]/Table1[[#This Row],[Net_Sales]]</f>
        <v>0.22195887400056746</v>
      </c>
      <c r="W1194" t="s">
        <v>33</v>
      </c>
      <c r="X1194" t="s">
        <v>1151</v>
      </c>
      <c r="Y1194">
        <v>10</v>
      </c>
      <c r="Z1194" t="str">
        <f>IF(Table1[[#This Row],[Month_No]]&lt;=6, "H1","H2")</f>
        <v>H2</v>
      </c>
    </row>
    <row r="1195" spans="1:26" x14ac:dyDescent="0.25">
      <c r="A1195" s="2">
        <v>45961</v>
      </c>
      <c r="B1195" t="s">
        <v>1277</v>
      </c>
      <c r="C1195" t="s">
        <v>63</v>
      </c>
      <c r="D1195" t="s">
        <v>100</v>
      </c>
      <c r="E1195" t="s">
        <v>75</v>
      </c>
      <c r="F1195" t="s">
        <v>30</v>
      </c>
      <c r="G1195" t="s">
        <v>31</v>
      </c>
      <c r="H1195" t="s">
        <v>41</v>
      </c>
      <c r="I1195">
        <v>17.273851137937871</v>
      </c>
      <c r="J1195" s="3">
        <v>7424.93</v>
      </c>
      <c r="K1195" s="3">
        <f>Table1[[#This Row],[Quantity]]*Table1[[#This Row],[Unit_Price]]</f>
        <v>128257.13552960905</v>
      </c>
      <c r="L1195" s="3">
        <v>5183.1099999999997</v>
      </c>
      <c r="M1195" s="3">
        <f>Table1[[#This Row],[Gross_Sales]]-Table1[[#This Row],[Discount]]</f>
        <v>123074.02552960905</v>
      </c>
      <c r="N1195" s="3">
        <v>69078.37</v>
      </c>
      <c r="O1195" s="3">
        <v>3583.55</v>
      </c>
      <c r="P1195" s="3">
        <v>7494.91</v>
      </c>
      <c r="Q1195" s="3">
        <v>2771.95</v>
      </c>
      <c r="R1195" s="3">
        <v>2250.5300000000002</v>
      </c>
      <c r="S1195" s="3">
        <f>SUM(Table1[[#This Row],[Product_Cost]:[Other_Cost]])</f>
        <v>85179.31</v>
      </c>
      <c r="T1195" s="3">
        <f>Table1[[#This Row],[Net_Sales]]-Table1[[#This Row],[Product_Cost]]</f>
        <v>53995.655529609052</v>
      </c>
      <c r="U1195" s="3">
        <f>Table1[[#This Row],[Net_Sales]]-Table1[[#This Row],[Total_Cost]]</f>
        <v>37894.71552960905</v>
      </c>
      <c r="V1195" s="4">
        <f>Table1[[#This Row],[Net_Profit]]/Table1[[#This Row],[Net_Sales]]</f>
        <v>0.30790181247864012</v>
      </c>
      <c r="W1195" t="s">
        <v>72</v>
      </c>
      <c r="X1195" t="s">
        <v>1151</v>
      </c>
      <c r="Y1195">
        <v>10</v>
      </c>
      <c r="Z1195" t="str">
        <f>IF(Table1[[#This Row],[Month_No]]&lt;=6, "H1","H2")</f>
        <v>H2</v>
      </c>
    </row>
    <row r="1196" spans="1:26" x14ac:dyDescent="0.25">
      <c r="A1196" s="2">
        <v>45961</v>
      </c>
      <c r="B1196" t="s">
        <v>1278</v>
      </c>
      <c r="C1196" t="s">
        <v>43</v>
      </c>
      <c r="D1196" t="s">
        <v>183</v>
      </c>
      <c r="E1196" t="s">
        <v>38</v>
      </c>
      <c r="F1196" t="s">
        <v>52</v>
      </c>
      <c r="G1196" t="s">
        <v>61</v>
      </c>
      <c r="H1196" t="s">
        <v>47</v>
      </c>
      <c r="I1196">
        <v>42.738784320276771</v>
      </c>
      <c r="J1196" s="3">
        <v>7337.2</v>
      </c>
      <c r="K1196" s="3">
        <f>Table1[[#This Row],[Quantity]]*Table1[[#This Row],[Unit_Price]]</f>
        <v>313583.00831473473</v>
      </c>
      <c r="L1196" s="3">
        <v>12936.32</v>
      </c>
      <c r="M1196" s="3">
        <f>Table1[[#This Row],[Gross_Sales]]-Table1[[#This Row],[Discount]]</f>
        <v>300646.68831473473</v>
      </c>
      <c r="N1196" s="3">
        <v>156745.29</v>
      </c>
      <c r="O1196" s="3">
        <v>6192.37</v>
      </c>
      <c r="P1196" s="3">
        <v>15799.42</v>
      </c>
      <c r="Q1196" s="3">
        <v>8331.2999999999993</v>
      </c>
      <c r="R1196" s="3">
        <v>6293.35</v>
      </c>
      <c r="S1196" s="3">
        <f>SUM(Table1[[#This Row],[Product_Cost]:[Other_Cost]])</f>
        <v>193361.73</v>
      </c>
      <c r="T1196" s="3">
        <f>Table1[[#This Row],[Net_Sales]]-Table1[[#This Row],[Product_Cost]]</f>
        <v>143901.39831473472</v>
      </c>
      <c r="U1196" s="3">
        <f>Table1[[#This Row],[Net_Sales]]-Table1[[#This Row],[Total_Cost]]</f>
        <v>107284.95831473471</v>
      </c>
      <c r="V1196" s="4">
        <f>Table1[[#This Row],[Net_Profit]]/Table1[[#This Row],[Net_Sales]]</f>
        <v>0.35684729779036339</v>
      </c>
      <c r="W1196" t="s">
        <v>33</v>
      </c>
      <c r="X1196" t="s">
        <v>1151</v>
      </c>
      <c r="Y1196">
        <v>10</v>
      </c>
      <c r="Z1196" t="str">
        <f>IF(Table1[[#This Row],[Month_No]]&lt;=6, "H1","H2")</f>
        <v>H2</v>
      </c>
    </row>
    <row r="1197" spans="1:26" x14ac:dyDescent="0.25">
      <c r="A1197" s="2">
        <v>45962</v>
      </c>
      <c r="B1197" t="s">
        <v>1279</v>
      </c>
      <c r="C1197" t="s">
        <v>70</v>
      </c>
      <c r="D1197" t="s">
        <v>37</v>
      </c>
      <c r="E1197" t="s">
        <v>38</v>
      </c>
      <c r="F1197" t="s">
        <v>39</v>
      </c>
      <c r="G1197" t="s">
        <v>76</v>
      </c>
      <c r="H1197" t="s">
        <v>59</v>
      </c>
      <c r="I1197">
        <v>52.256307057650048</v>
      </c>
      <c r="J1197" s="3">
        <v>4813.05</v>
      </c>
      <c r="K1197" s="3">
        <f>Table1[[#This Row],[Quantity]]*Table1[[#This Row],[Unit_Price]]</f>
        <v>251512.21868382258</v>
      </c>
      <c r="L1197" s="3">
        <v>9311.1</v>
      </c>
      <c r="M1197" s="3">
        <f>Table1[[#This Row],[Gross_Sales]]-Table1[[#This Row],[Discount]]</f>
        <v>242201.11868382257</v>
      </c>
      <c r="N1197" s="3">
        <v>162269.07999999999</v>
      </c>
      <c r="O1197" s="3">
        <v>8281.58</v>
      </c>
      <c r="P1197" s="3">
        <v>13446.87</v>
      </c>
      <c r="Q1197" s="3">
        <v>4554.63</v>
      </c>
      <c r="R1197" s="3">
        <v>5041.4399999999996</v>
      </c>
      <c r="S1197" s="3">
        <f>SUM(Table1[[#This Row],[Product_Cost]:[Other_Cost]])</f>
        <v>193593.59999999998</v>
      </c>
      <c r="T1197" s="3">
        <f>Table1[[#This Row],[Net_Sales]]-Table1[[#This Row],[Product_Cost]]</f>
        <v>79932.038683822582</v>
      </c>
      <c r="U1197" s="3">
        <f>Table1[[#This Row],[Net_Sales]]-Table1[[#This Row],[Total_Cost]]</f>
        <v>48607.518683822593</v>
      </c>
      <c r="V1197" s="4">
        <f>Table1[[#This Row],[Net_Profit]]/Table1[[#This Row],[Net_Sales]]</f>
        <v>0.20069072739204177</v>
      </c>
      <c r="W1197" t="s">
        <v>33</v>
      </c>
      <c r="X1197" t="s">
        <v>1280</v>
      </c>
      <c r="Y1197">
        <v>11</v>
      </c>
      <c r="Z1197" t="str">
        <f>IF(Table1[[#This Row],[Month_No]]&lt;=6, "H1","H2")</f>
        <v>H2</v>
      </c>
    </row>
    <row r="1198" spans="1:26" x14ac:dyDescent="0.25">
      <c r="A1198" s="2">
        <v>45962</v>
      </c>
      <c r="B1198" t="s">
        <v>1281</v>
      </c>
      <c r="C1198" t="s">
        <v>55</v>
      </c>
      <c r="D1198" t="s">
        <v>37</v>
      </c>
      <c r="E1198" t="s">
        <v>38</v>
      </c>
      <c r="F1198" t="s">
        <v>52</v>
      </c>
      <c r="G1198" t="s">
        <v>40</v>
      </c>
      <c r="H1198" t="s">
        <v>41</v>
      </c>
      <c r="I1198">
        <v>75.394962852779685</v>
      </c>
      <c r="J1198" s="3">
        <v>4643.7</v>
      </c>
      <c r="K1198" s="3">
        <f>Table1[[#This Row],[Quantity]]*Table1[[#This Row],[Unit_Price]]</f>
        <v>350111.588999453</v>
      </c>
      <c r="L1198" s="3">
        <v>13722.19</v>
      </c>
      <c r="M1198" s="3">
        <f>Table1[[#This Row],[Gross_Sales]]-Table1[[#This Row],[Discount]]</f>
        <v>336389.398999453</v>
      </c>
      <c r="N1198" s="3">
        <v>223395.67</v>
      </c>
      <c r="O1198" s="3">
        <v>5492.65</v>
      </c>
      <c r="P1198" s="3">
        <v>19069.34</v>
      </c>
      <c r="Q1198" s="3">
        <v>9949.4</v>
      </c>
      <c r="R1198" s="3">
        <v>6944.41</v>
      </c>
      <c r="S1198" s="3">
        <f>SUM(Table1[[#This Row],[Product_Cost]:[Other_Cost]])</f>
        <v>264851.46999999997</v>
      </c>
      <c r="T1198" s="3">
        <f>Table1[[#This Row],[Net_Sales]]-Table1[[#This Row],[Product_Cost]]</f>
        <v>112993.72899945299</v>
      </c>
      <c r="U1198" s="3">
        <f>Table1[[#This Row],[Net_Sales]]-Table1[[#This Row],[Total_Cost]]</f>
        <v>71537.928999453026</v>
      </c>
      <c r="V1198" s="4">
        <f>Table1[[#This Row],[Net_Profit]]/Table1[[#This Row],[Net_Sales]]</f>
        <v>0.21266404117440502</v>
      </c>
      <c r="W1198" t="s">
        <v>33</v>
      </c>
      <c r="X1198" t="s">
        <v>1280</v>
      </c>
      <c r="Y1198">
        <v>11</v>
      </c>
      <c r="Z1198" t="str">
        <f>IF(Table1[[#This Row],[Month_No]]&lt;=6, "H1","H2")</f>
        <v>H2</v>
      </c>
    </row>
    <row r="1199" spans="1:26" x14ac:dyDescent="0.25">
      <c r="A1199" s="2">
        <v>45962</v>
      </c>
      <c r="B1199" t="s">
        <v>1282</v>
      </c>
      <c r="C1199" t="s">
        <v>55</v>
      </c>
      <c r="D1199" t="s">
        <v>28</v>
      </c>
      <c r="E1199" t="s">
        <v>29</v>
      </c>
      <c r="F1199" t="s">
        <v>39</v>
      </c>
      <c r="G1199" t="s">
        <v>64</v>
      </c>
      <c r="H1199" t="s">
        <v>41</v>
      </c>
      <c r="I1199">
        <v>78.518263948460387</v>
      </c>
      <c r="J1199" s="3">
        <v>1269.29</v>
      </c>
      <c r="K1199" s="3">
        <f>Table1[[#This Row],[Quantity]]*Table1[[#This Row],[Unit_Price]]</f>
        <v>99662.447247141288</v>
      </c>
      <c r="L1199" s="3">
        <v>4924</v>
      </c>
      <c r="M1199" s="3">
        <f>Table1[[#This Row],[Gross_Sales]]-Table1[[#This Row],[Discount]]</f>
        <v>94738.447247141288</v>
      </c>
      <c r="N1199" s="3">
        <v>50292.31</v>
      </c>
      <c r="O1199" s="3">
        <v>2573.73</v>
      </c>
      <c r="P1199" s="3">
        <v>5407.92</v>
      </c>
      <c r="Q1199" s="3">
        <v>1845.28</v>
      </c>
      <c r="R1199" s="3">
        <v>1838.65</v>
      </c>
      <c r="S1199" s="3">
        <f>SUM(Table1[[#This Row],[Product_Cost]:[Other_Cost]])</f>
        <v>61957.89</v>
      </c>
      <c r="T1199" s="3">
        <f>Table1[[#This Row],[Net_Sales]]-Table1[[#This Row],[Product_Cost]]</f>
        <v>44446.137247141291</v>
      </c>
      <c r="U1199" s="3">
        <f>Table1[[#This Row],[Net_Sales]]-Table1[[#This Row],[Total_Cost]]</f>
        <v>32780.557247141289</v>
      </c>
      <c r="V1199" s="4">
        <f>Table1[[#This Row],[Net_Profit]]/Table1[[#This Row],[Net_Sales]]</f>
        <v>0.34601113064084377</v>
      </c>
      <c r="W1199" t="s">
        <v>33</v>
      </c>
      <c r="X1199" t="s">
        <v>1280</v>
      </c>
      <c r="Y1199">
        <v>11</v>
      </c>
      <c r="Z1199" t="str">
        <f>IF(Table1[[#This Row],[Month_No]]&lt;=6, "H1","H2")</f>
        <v>H2</v>
      </c>
    </row>
    <row r="1200" spans="1:26" x14ac:dyDescent="0.25">
      <c r="A1200" s="2">
        <v>45963</v>
      </c>
      <c r="B1200" t="s">
        <v>1283</v>
      </c>
      <c r="C1200" t="s">
        <v>107</v>
      </c>
      <c r="D1200" t="s">
        <v>66</v>
      </c>
      <c r="E1200" t="s">
        <v>51</v>
      </c>
      <c r="F1200" t="s">
        <v>46</v>
      </c>
      <c r="G1200" t="s">
        <v>40</v>
      </c>
      <c r="H1200" t="s">
        <v>41</v>
      </c>
      <c r="I1200">
        <v>25.40622661028014</v>
      </c>
      <c r="J1200" s="3">
        <v>1551.65</v>
      </c>
      <c r="K1200" s="3">
        <f>Table1[[#This Row],[Quantity]]*Table1[[#This Row],[Unit_Price]]</f>
        <v>39421.571519841178</v>
      </c>
      <c r="L1200" s="3">
        <v>1723.76</v>
      </c>
      <c r="M1200" s="3">
        <f>Table1[[#This Row],[Gross_Sales]]-Table1[[#This Row],[Discount]]</f>
        <v>37697.811519841176</v>
      </c>
      <c r="N1200" s="3">
        <v>18978.849999999999</v>
      </c>
      <c r="O1200" s="3">
        <v>740.77</v>
      </c>
      <c r="P1200" s="3">
        <v>2290.5100000000002</v>
      </c>
      <c r="Q1200" s="3">
        <v>703.51</v>
      </c>
      <c r="R1200" s="3">
        <v>484.92</v>
      </c>
      <c r="S1200" s="3">
        <f>SUM(Table1[[#This Row],[Product_Cost]:[Other_Cost]])</f>
        <v>23198.559999999994</v>
      </c>
      <c r="T1200" s="3">
        <f>Table1[[#This Row],[Net_Sales]]-Table1[[#This Row],[Product_Cost]]</f>
        <v>18718.961519841178</v>
      </c>
      <c r="U1200" s="3">
        <f>Table1[[#This Row],[Net_Sales]]-Table1[[#This Row],[Total_Cost]]</f>
        <v>14499.251519841182</v>
      </c>
      <c r="V1200" s="4">
        <f>Table1[[#This Row],[Net_Profit]]/Table1[[#This Row],[Net_Sales]]</f>
        <v>0.38461785804753973</v>
      </c>
      <c r="W1200" t="s">
        <v>33</v>
      </c>
      <c r="X1200" t="s">
        <v>1280</v>
      </c>
      <c r="Y1200">
        <v>11</v>
      </c>
      <c r="Z1200" t="str">
        <f>IF(Table1[[#This Row],[Month_No]]&lt;=6, "H1","H2")</f>
        <v>H2</v>
      </c>
    </row>
    <row r="1201" spans="1:26" x14ac:dyDescent="0.25">
      <c r="A1201" s="2">
        <v>45963</v>
      </c>
      <c r="B1201" t="s">
        <v>1284</v>
      </c>
      <c r="C1201" t="s">
        <v>49</v>
      </c>
      <c r="D1201" t="s">
        <v>183</v>
      </c>
      <c r="E1201" t="s">
        <v>38</v>
      </c>
      <c r="F1201" t="s">
        <v>46</v>
      </c>
      <c r="G1201" t="s">
        <v>31</v>
      </c>
      <c r="H1201" t="s">
        <v>41</v>
      </c>
      <c r="I1201">
        <v>63.32453562998144</v>
      </c>
      <c r="J1201" s="3">
        <v>7316.54</v>
      </c>
      <c r="K1201" s="3">
        <f>Table1[[#This Row],[Quantity]]*Table1[[#This Row],[Unit_Price]]</f>
        <v>463316.49791818438</v>
      </c>
      <c r="L1201" s="3">
        <v>22736.82</v>
      </c>
      <c r="M1201" s="3">
        <f>Table1[[#This Row],[Gross_Sales]]-Table1[[#This Row],[Discount]]</f>
        <v>440579.67791818437</v>
      </c>
      <c r="N1201" s="3">
        <v>226184.28</v>
      </c>
      <c r="O1201" s="3">
        <v>8908.8700000000008</v>
      </c>
      <c r="P1201" s="3">
        <v>26162.69</v>
      </c>
      <c r="Q1201" s="3">
        <v>8305.9</v>
      </c>
      <c r="R1201" s="3">
        <v>7951.82</v>
      </c>
      <c r="S1201" s="3">
        <f>SUM(Table1[[#This Row],[Product_Cost]:[Other_Cost]])</f>
        <v>277513.56</v>
      </c>
      <c r="T1201" s="3">
        <f>Table1[[#This Row],[Net_Sales]]-Table1[[#This Row],[Product_Cost]]</f>
        <v>214395.39791818438</v>
      </c>
      <c r="U1201" s="3">
        <f>Table1[[#This Row],[Net_Sales]]-Table1[[#This Row],[Total_Cost]]</f>
        <v>163066.11791818438</v>
      </c>
      <c r="V1201" s="4">
        <f>Table1[[#This Row],[Net_Profit]]/Table1[[#This Row],[Net_Sales]]</f>
        <v>0.37011720261066094</v>
      </c>
      <c r="W1201" t="s">
        <v>33</v>
      </c>
      <c r="X1201" t="s">
        <v>1280</v>
      </c>
      <c r="Y1201">
        <v>11</v>
      </c>
      <c r="Z1201" t="str">
        <f>IF(Table1[[#This Row],[Month_No]]&lt;=6, "H1","H2")</f>
        <v>H2</v>
      </c>
    </row>
    <row r="1202" spans="1:26" x14ac:dyDescent="0.25">
      <c r="A1202" s="2">
        <v>45963</v>
      </c>
      <c r="B1202" t="s">
        <v>1285</v>
      </c>
      <c r="C1202" t="s">
        <v>98</v>
      </c>
      <c r="D1202" t="s">
        <v>81</v>
      </c>
      <c r="E1202" t="s">
        <v>45</v>
      </c>
      <c r="F1202" t="s">
        <v>39</v>
      </c>
      <c r="G1202" t="s">
        <v>64</v>
      </c>
      <c r="H1202" t="s">
        <v>32</v>
      </c>
      <c r="I1202">
        <v>58.369747350227463</v>
      </c>
      <c r="J1202" s="3">
        <v>7116.82</v>
      </c>
      <c r="K1202" s="3">
        <f>Table1[[#This Row],[Quantity]]*Table1[[#This Row],[Unit_Price]]</f>
        <v>415406.9853370458</v>
      </c>
      <c r="L1202" s="3">
        <v>19667.46</v>
      </c>
      <c r="M1202" s="3">
        <f>Table1[[#This Row],[Gross_Sales]]-Table1[[#This Row],[Discount]]</f>
        <v>395739.52533704578</v>
      </c>
      <c r="N1202" s="3">
        <v>207612.83</v>
      </c>
      <c r="O1202" s="3">
        <v>13945.06</v>
      </c>
      <c r="P1202" s="3">
        <v>22438.07</v>
      </c>
      <c r="Q1202" s="3">
        <v>7813.83</v>
      </c>
      <c r="R1202" s="3">
        <v>8541.34</v>
      </c>
      <c r="S1202" s="3">
        <f>SUM(Table1[[#This Row],[Product_Cost]:[Other_Cost]])</f>
        <v>260351.12999999998</v>
      </c>
      <c r="T1202" s="3">
        <f>Table1[[#This Row],[Net_Sales]]-Table1[[#This Row],[Product_Cost]]</f>
        <v>188126.69533704579</v>
      </c>
      <c r="U1202" s="3">
        <f>Table1[[#This Row],[Net_Sales]]-Table1[[#This Row],[Total_Cost]]</f>
        <v>135388.3953370458</v>
      </c>
      <c r="V1202" s="4">
        <f>Table1[[#This Row],[Net_Profit]]/Table1[[#This Row],[Net_Sales]]</f>
        <v>0.34211491819458117</v>
      </c>
      <c r="W1202" t="s">
        <v>33</v>
      </c>
      <c r="X1202" t="s">
        <v>1280</v>
      </c>
      <c r="Y1202">
        <v>11</v>
      </c>
      <c r="Z1202" t="str">
        <f>IF(Table1[[#This Row],[Month_No]]&lt;=6, "H1","H2")</f>
        <v>H2</v>
      </c>
    </row>
    <row r="1203" spans="1:26" x14ac:dyDescent="0.25">
      <c r="A1203" s="2">
        <v>45963</v>
      </c>
      <c r="B1203" t="s">
        <v>1286</v>
      </c>
      <c r="C1203" t="s">
        <v>49</v>
      </c>
      <c r="D1203" t="s">
        <v>66</v>
      </c>
      <c r="E1203" t="s">
        <v>51</v>
      </c>
      <c r="F1203" t="s">
        <v>52</v>
      </c>
      <c r="G1203" t="s">
        <v>86</v>
      </c>
      <c r="H1203" t="s">
        <v>41</v>
      </c>
      <c r="I1203">
        <v>68.508786313767999</v>
      </c>
      <c r="J1203" s="3">
        <v>1579.96</v>
      </c>
      <c r="K1203" s="3">
        <f>Table1[[#This Row],[Quantity]]*Table1[[#This Row],[Unit_Price]]</f>
        <v>108241.14202430089</v>
      </c>
      <c r="L1203" s="3">
        <v>5353.85</v>
      </c>
      <c r="M1203" s="3">
        <f>Table1[[#This Row],[Gross_Sales]]-Table1[[#This Row],[Discount]]</f>
        <v>102887.29202430088</v>
      </c>
      <c r="N1203" s="3">
        <v>47535.53</v>
      </c>
      <c r="O1203" s="3">
        <v>1639.54</v>
      </c>
      <c r="P1203" s="3">
        <v>6252.42</v>
      </c>
      <c r="Q1203" s="3">
        <v>2514.75</v>
      </c>
      <c r="R1203" s="3">
        <v>2121.5500000000002</v>
      </c>
      <c r="S1203" s="3">
        <f>SUM(Table1[[#This Row],[Product_Cost]:[Other_Cost]])</f>
        <v>60063.79</v>
      </c>
      <c r="T1203" s="3">
        <f>Table1[[#This Row],[Net_Sales]]-Table1[[#This Row],[Product_Cost]]</f>
        <v>55351.762024300886</v>
      </c>
      <c r="U1203" s="3">
        <f>Table1[[#This Row],[Net_Sales]]-Table1[[#This Row],[Total_Cost]]</f>
        <v>42823.502024300884</v>
      </c>
      <c r="V1203" s="4">
        <f>Table1[[#This Row],[Net_Profit]]/Table1[[#This Row],[Net_Sales]]</f>
        <v>0.41621760259941942</v>
      </c>
      <c r="W1203" t="s">
        <v>33</v>
      </c>
      <c r="X1203" t="s">
        <v>1280</v>
      </c>
      <c r="Y1203">
        <v>11</v>
      </c>
      <c r="Z1203" t="str">
        <f>IF(Table1[[#This Row],[Month_No]]&lt;=6, "H1","H2")</f>
        <v>H2</v>
      </c>
    </row>
    <row r="1204" spans="1:26" x14ac:dyDescent="0.25">
      <c r="A1204" s="2">
        <v>45963</v>
      </c>
      <c r="B1204" t="s">
        <v>1287</v>
      </c>
      <c r="C1204" t="s">
        <v>43</v>
      </c>
      <c r="D1204" t="s">
        <v>28</v>
      </c>
      <c r="E1204" t="s">
        <v>29</v>
      </c>
      <c r="F1204" t="s">
        <v>46</v>
      </c>
      <c r="G1204" t="s">
        <v>76</v>
      </c>
      <c r="H1204" t="s">
        <v>32</v>
      </c>
      <c r="I1204">
        <v>77.70176157941772</v>
      </c>
      <c r="J1204" s="3">
        <v>1289.21</v>
      </c>
      <c r="K1204" s="3">
        <f>Table1[[#This Row],[Quantity]]*Table1[[#This Row],[Unit_Price]]</f>
        <v>100173.88804580113</v>
      </c>
      <c r="L1204" s="3">
        <v>3800.57</v>
      </c>
      <c r="M1204" s="3">
        <f>Table1[[#This Row],[Gross_Sales]]-Table1[[#This Row],[Discount]]</f>
        <v>96373.318045801119</v>
      </c>
      <c r="N1204" s="3">
        <v>51330.28</v>
      </c>
      <c r="O1204" s="3">
        <v>2087</v>
      </c>
      <c r="P1204" s="3">
        <v>5551.07</v>
      </c>
      <c r="Q1204" s="3">
        <v>2553.0700000000002</v>
      </c>
      <c r="R1204" s="3">
        <v>1742.6</v>
      </c>
      <c r="S1204" s="3">
        <f>SUM(Table1[[#This Row],[Product_Cost]:[Other_Cost]])</f>
        <v>63264.02</v>
      </c>
      <c r="T1204" s="3">
        <f>Table1[[#This Row],[Net_Sales]]-Table1[[#This Row],[Product_Cost]]</f>
        <v>45043.03804580112</v>
      </c>
      <c r="U1204" s="3">
        <f>Table1[[#This Row],[Net_Sales]]-Table1[[#This Row],[Total_Cost]]</f>
        <v>33109.298045801122</v>
      </c>
      <c r="V1204" s="4">
        <f>Table1[[#This Row],[Net_Profit]]/Table1[[#This Row],[Net_Sales]]</f>
        <v>0.34355253837027827</v>
      </c>
      <c r="W1204" t="s">
        <v>33</v>
      </c>
      <c r="X1204" t="s">
        <v>1280</v>
      </c>
      <c r="Y1204">
        <v>11</v>
      </c>
      <c r="Z1204" t="str">
        <f>IF(Table1[[#This Row],[Month_No]]&lt;=6, "H1","H2")</f>
        <v>H2</v>
      </c>
    </row>
    <row r="1205" spans="1:26" x14ac:dyDescent="0.25">
      <c r="A1205" s="2">
        <v>45963</v>
      </c>
      <c r="B1205" t="s">
        <v>1288</v>
      </c>
      <c r="C1205" t="s">
        <v>63</v>
      </c>
      <c r="D1205" t="s">
        <v>100</v>
      </c>
      <c r="E1205" t="s">
        <v>75</v>
      </c>
      <c r="F1205" t="s">
        <v>46</v>
      </c>
      <c r="G1205" t="s">
        <v>76</v>
      </c>
      <c r="H1205" t="s">
        <v>41</v>
      </c>
      <c r="I1205">
        <v>30.36608723178718</v>
      </c>
      <c r="J1205" s="3">
        <v>7280.52</v>
      </c>
      <c r="K1205" s="3">
        <f>Table1[[#This Row],[Quantity]]*Table1[[#This Row],[Unit_Price]]</f>
        <v>221080.90541277122</v>
      </c>
      <c r="L1205" s="3">
        <v>6991.84</v>
      </c>
      <c r="M1205" s="3">
        <f>Table1[[#This Row],[Gross_Sales]]-Table1[[#This Row],[Discount]]</f>
        <v>214089.06541277122</v>
      </c>
      <c r="N1205" s="3">
        <v>118584.82</v>
      </c>
      <c r="O1205" s="3">
        <v>4600.46</v>
      </c>
      <c r="P1205" s="3">
        <v>12675.19</v>
      </c>
      <c r="Q1205" s="3">
        <v>6593.81</v>
      </c>
      <c r="R1205" s="3">
        <v>4312.43</v>
      </c>
      <c r="S1205" s="3">
        <f>SUM(Table1[[#This Row],[Product_Cost]:[Other_Cost]])</f>
        <v>146766.71</v>
      </c>
      <c r="T1205" s="3">
        <f>Table1[[#This Row],[Net_Sales]]-Table1[[#This Row],[Product_Cost]]</f>
        <v>95504.245412771212</v>
      </c>
      <c r="U1205" s="3">
        <f>Table1[[#This Row],[Net_Sales]]-Table1[[#This Row],[Total_Cost]]</f>
        <v>67322.355412771227</v>
      </c>
      <c r="V1205" s="4">
        <f>Table1[[#This Row],[Net_Profit]]/Table1[[#This Row],[Net_Sales]]</f>
        <v>0.31445956981955786</v>
      </c>
      <c r="W1205" t="s">
        <v>33</v>
      </c>
      <c r="X1205" t="s">
        <v>1280</v>
      </c>
      <c r="Y1205">
        <v>11</v>
      </c>
      <c r="Z1205" t="str">
        <f>IF(Table1[[#This Row],[Month_No]]&lt;=6, "H1","H2")</f>
        <v>H2</v>
      </c>
    </row>
    <row r="1206" spans="1:26" x14ac:dyDescent="0.25">
      <c r="A1206" s="2">
        <v>45964</v>
      </c>
      <c r="B1206" t="s">
        <v>1289</v>
      </c>
      <c r="C1206" t="s">
        <v>83</v>
      </c>
      <c r="D1206" t="s">
        <v>183</v>
      </c>
      <c r="E1206" t="s">
        <v>38</v>
      </c>
      <c r="F1206" t="s">
        <v>52</v>
      </c>
      <c r="G1206" t="s">
        <v>76</v>
      </c>
      <c r="H1206" t="s">
        <v>41</v>
      </c>
      <c r="I1206">
        <v>19.2478924292122</v>
      </c>
      <c r="J1206" s="3">
        <v>6998.75</v>
      </c>
      <c r="K1206" s="3">
        <f>Table1[[#This Row],[Quantity]]*Table1[[#This Row],[Unit_Price]]</f>
        <v>134711.18713894888</v>
      </c>
      <c r="L1206" s="3">
        <v>6705.9</v>
      </c>
      <c r="M1206" s="3">
        <f>Table1[[#This Row],[Gross_Sales]]-Table1[[#This Row],[Discount]]</f>
        <v>128005.28713894889</v>
      </c>
      <c r="N1206" s="3">
        <v>71075.92</v>
      </c>
      <c r="O1206" s="3">
        <v>2158.33</v>
      </c>
      <c r="P1206" s="3">
        <v>7067.83</v>
      </c>
      <c r="Q1206" s="3">
        <v>3698.89</v>
      </c>
      <c r="R1206" s="3">
        <v>1976.42</v>
      </c>
      <c r="S1206" s="3">
        <f>SUM(Table1[[#This Row],[Product_Cost]:[Other_Cost]])</f>
        <v>85977.39</v>
      </c>
      <c r="T1206" s="3">
        <f>Table1[[#This Row],[Net_Sales]]-Table1[[#This Row],[Product_Cost]]</f>
        <v>56929.367138948888</v>
      </c>
      <c r="U1206" s="3">
        <f>Table1[[#This Row],[Net_Sales]]-Table1[[#This Row],[Total_Cost]]</f>
        <v>42027.897138948887</v>
      </c>
      <c r="V1206" s="4">
        <f>Table1[[#This Row],[Net_Profit]]/Table1[[#This Row],[Net_Sales]]</f>
        <v>0.32832938449900029</v>
      </c>
      <c r="W1206" t="s">
        <v>33</v>
      </c>
      <c r="X1206" t="s">
        <v>1280</v>
      </c>
      <c r="Y1206">
        <v>11</v>
      </c>
      <c r="Z1206" t="str">
        <f>IF(Table1[[#This Row],[Month_No]]&lt;=6, "H1","H2")</f>
        <v>H2</v>
      </c>
    </row>
    <row r="1207" spans="1:26" x14ac:dyDescent="0.25">
      <c r="A1207" s="2">
        <v>45964</v>
      </c>
      <c r="B1207" t="s">
        <v>1290</v>
      </c>
      <c r="C1207" t="s">
        <v>36</v>
      </c>
      <c r="D1207" t="s">
        <v>28</v>
      </c>
      <c r="E1207" t="s">
        <v>29</v>
      </c>
      <c r="F1207" t="s">
        <v>30</v>
      </c>
      <c r="G1207" t="s">
        <v>61</v>
      </c>
      <c r="H1207" t="s">
        <v>47</v>
      </c>
      <c r="I1207">
        <v>91.885956684309747</v>
      </c>
      <c r="J1207" s="3">
        <v>1280.68</v>
      </c>
      <c r="K1207" s="3">
        <f>Table1[[#This Row],[Quantity]]*Table1[[#This Row],[Unit_Price]]</f>
        <v>117676.50700646182</v>
      </c>
      <c r="L1207" s="3">
        <v>4115.5</v>
      </c>
      <c r="M1207" s="3">
        <f>Table1[[#This Row],[Gross_Sales]]-Table1[[#This Row],[Discount]]</f>
        <v>113561.00700646182</v>
      </c>
      <c r="N1207" s="3">
        <v>58134.71</v>
      </c>
      <c r="O1207" s="3">
        <v>3121.07</v>
      </c>
      <c r="P1207" s="3">
        <v>6625.1</v>
      </c>
      <c r="Q1207" s="3">
        <v>2540.27</v>
      </c>
      <c r="R1207" s="3">
        <v>2402.85</v>
      </c>
      <c r="S1207" s="3">
        <f>SUM(Table1[[#This Row],[Product_Cost]:[Other_Cost]])</f>
        <v>72824.000000000015</v>
      </c>
      <c r="T1207" s="3">
        <f>Table1[[#This Row],[Net_Sales]]-Table1[[#This Row],[Product_Cost]]</f>
        <v>55426.29700646182</v>
      </c>
      <c r="U1207" s="3">
        <f>Table1[[#This Row],[Net_Sales]]-Table1[[#This Row],[Total_Cost]]</f>
        <v>40737.007006461805</v>
      </c>
      <c r="V1207" s="4">
        <f>Table1[[#This Row],[Net_Profit]]/Table1[[#This Row],[Net_Sales]]</f>
        <v>0.35872354499413517</v>
      </c>
      <c r="W1207" t="s">
        <v>33</v>
      </c>
      <c r="X1207" t="s">
        <v>1280</v>
      </c>
      <c r="Y1207">
        <v>11</v>
      </c>
      <c r="Z1207" t="str">
        <f>IF(Table1[[#This Row],[Month_No]]&lt;=6, "H1","H2")</f>
        <v>H2</v>
      </c>
    </row>
    <row r="1208" spans="1:26" x14ac:dyDescent="0.25">
      <c r="A1208" s="2">
        <v>45964</v>
      </c>
      <c r="B1208" t="s">
        <v>1291</v>
      </c>
      <c r="C1208" t="s">
        <v>43</v>
      </c>
      <c r="D1208" t="s">
        <v>183</v>
      </c>
      <c r="E1208" t="s">
        <v>38</v>
      </c>
      <c r="F1208" t="s">
        <v>52</v>
      </c>
      <c r="G1208" t="s">
        <v>31</v>
      </c>
      <c r="H1208" t="s">
        <v>41</v>
      </c>
      <c r="I1208">
        <v>37.729904955476478</v>
      </c>
      <c r="J1208" s="3">
        <v>7282.89</v>
      </c>
      <c r="K1208" s="3">
        <f>Table1[[#This Row],[Quantity]]*Table1[[#This Row],[Unit_Price]]</f>
        <v>274782.74750119011</v>
      </c>
      <c r="L1208" s="3">
        <v>13635.44</v>
      </c>
      <c r="M1208" s="3">
        <f>Table1[[#This Row],[Gross_Sales]]-Table1[[#This Row],[Discount]]</f>
        <v>261147.30750119011</v>
      </c>
      <c r="N1208" s="3">
        <v>137347.38</v>
      </c>
      <c r="O1208" s="3">
        <v>5290.73</v>
      </c>
      <c r="P1208" s="3">
        <v>13582.41</v>
      </c>
      <c r="Q1208" s="3">
        <v>6341.28</v>
      </c>
      <c r="R1208" s="3">
        <v>4115.53</v>
      </c>
      <c r="S1208" s="3">
        <f>SUM(Table1[[#This Row],[Product_Cost]:[Other_Cost]])</f>
        <v>166677.33000000002</v>
      </c>
      <c r="T1208" s="3">
        <f>Table1[[#This Row],[Net_Sales]]-Table1[[#This Row],[Product_Cost]]</f>
        <v>123799.9275011901</v>
      </c>
      <c r="U1208" s="3">
        <f>Table1[[#This Row],[Net_Sales]]-Table1[[#This Row],[Total_Cost]]</f>
        <v>94469.977501190093</v>
      </c>
      <c r="V1208" s="4">
        <f>Table1[[#This Row],[Net_Profit]]/Table1[[#This Row],[Net_Sales]]</f>
        <v>0.3617497664637403</v>
      </c>
      <c r="W1208" t="s">
        <v>33</v>
      </c>
      <c r="X1208" t="s">
        <v>1280</v>
      </c>
      <c r="Y1208">
        <v>11</v>
      </c>
      <c r="Z1208" t="str">
        <f>IF(Table1[[#This Row],[Month_No]]&lt;=6, "H1","H2")</f>
        <v>H2</v>
      </c>
    </row>
    <row r="1209" spans="1:26" x14ac:dyDescent="0.25">
      <c r="A1209" s="2">
        <v>45964</v>
      </c>
      <c r="B1209" t="s">
        <v>1292</v>
      </c>
      <c r="C1209" t="s">
        <v>49</v>
      </c>
      <c r="D1209" t="s">
        <v>50</v>
      </c>
      <c r="E1209" t="s">
        <v>51</v>
      </c>
      <c r="F1209" t="s">
        <v>30</v>
      </c>
      <c r="G1209" t="s">
        <v>64</v>
      </c>
      <c r="H1209" t="s">
        <v>32</v>
      </c>
      <c r="I1209">
        <v>81.912626064049761</v>
      </c>
      <c r="J1209" s="3">
        <v>887.67</v>
      </c>
      <c r="K1209" s="3">
        <f>Table1[[#This Row],[Quantity]]*Table1[[#This Row],[Unit_Price]]</f>
        <v>72711.380778275052</v>
      </c>
      <c r="L1209" s="3">
        <v>3466.86</v>
      </c>
      <c r="M1209" s="3">
        <f>Table1[[#This Row],[Gross_Sales]]-Table1[[#This Row],[Discount]]</f>
        <v>69244.520778275051</v>
      </c>
      <c r="N1209" s="3">
        <v>39965.79</v>
      </c>
      <c r="O1209" s="3">
        <v>1666</v>
      </c>
      <c r="P1209" s="3">
        <v>3328.55</v>
      </c>
      <c r="Q1209" s="3">
        <v>1563.07</v>
      </c>
      <c r="R1209" s="3">
        <v>1141.7</v>
      </c>
      <c r="S1209" s="3">
        <f>SUM(Table1[[#This Row],[Product_Cost]:[Other_Cost]])</f>
        <v>47665.11</v>
      </c>
      <c r="T1209" s="3">
        <f>Table1[[#This Row],[Net_Sales]]-Table1[[#This Row],[Product_Cost]]</f>
        <v>29278.73077827505</v>
      </c>
      <c r="U1209" s="3">
        <f>Table1[[#This Row],[Net_Sales]]-Table1[[#This Row],[Total_Cost]]</f>
        <v>21579.410778275051</v>
      </c>
      <c r="V1209" s="4">
        <f>Table1[[#This Row],[Net_Profit]]/Table1[[#This Row],[Net_Sales]]</f>
        <v>0.31164069785930887</v>
      </c>
      <c r="W1209" t="s">
        <v>72</v>
      </c>
      <c r="X1209" t="s">
        <v>1280</v>
      </c>
      <c r="Y1209">
        <v>11</v>
      </c>
      <c r="Z1209" t="str">
        <f>IF(Table1[[#This Row],[Month_No]]&lt;=6, "H1","H2")</f>
        <v>H2</v>
      </c>
    </row>
    <row r="1210" spans="1:26" x14ac:dyDescent="0.25">
      <c r="A1210" s="2">
        <v>45964</v>
      </c>
      <c r="B1210" t="s">
        <v>1293</v>
      </c>
      <c r="C1210" t="s">
        <v>63</v>
      </c>
      <c r="D1210" t="s">
        <v>81</v>
      </c>
      <c r="E1210" t="s">
        <v>45</v>
      </c>
      <c r="F1210" t="s">
        <v>52</v>
      </c>
      <c r="G1210" t="s">
        <v>86</v>
      </c>
      <c r="H1210" t="s">
        <v>41</v>
      </c>
      <c r="I1210">
        <v>46.453642388881512</v>
      </c>
      <c r="J1210" s="3">
        <v>7307.48</v>
      </c>
      <c r="K1210" s="3">
        <f>Table1[[#This Row],[Quantity]]*Table1[[#This Row],[Unit_Price]]</f>
        <v>339459.06268390385</v>
      </c>
      <c r="L1210" s="3">
        <v>17252.27</v>
      </c>
      <c r="M1210" s="3">
        <f>Table1[[#This Row],[Gross_Sales]]-Table1[[#This Row],[Discount]]</f>
        <v>322206.79268390383</v>
      </c>
      <c r="N1210" s="3">
        <v>163277.21</v>
      </c>
      <c r="O1210" s="3">
        <v>6998.66</v>
      </c>
      <c r="P1210" s="3">
        <v>16952.7</v>
      </c>
      <c r="Q1210" s="3">
        <v>8777.23</v>
      </c>
      <c r="R1210" s="3">
        <v>5174.7700000000004</v>
      </c>
      <c r="S1210" s="3">
        <f>SUM(Table1[[#This Row],[Product_Cost]:[Other_Cost]])</f>
        <v>201180.57</v>
      </c>
      <c r="T1210" s="3">
        <f>Table1[[#This Row],[Net_Sales]]-Table1[[#This Row],[Product_Cost]]</f>
        <v>158929.58268390383</v>
      </c>
      <c r="U1210" s="3">
        <f>Table1[[#This Row],[Net_Sales]]-Table1[[#This Row],[Total_Cost]]</f>
        <v>121026.22268390382</v>
      </c>
      <c r="V1210" s="4">
        <f>Table1[[#This Row],[Net_Profit]]/Table1[[#This Row],[Net_Sales]]</f>
        <v>0.37561660843890027</v>
      </c>
      <c r="W1210" t="s">
        <v>33</v>
      </c>
      <c r="X1210" t="s">
        <v>1280</v>
      </c>
      <c r="Y1210">
        <v>11</v>
      </c>
      <c r="Z1210" t="str">
        <f>IF(Table1[[#This Row],[Month_No]]&lt;=6, "H1","H2")</f>
        <v>H2</v>
      </c>
    </row>
    <row r="1211" spans="1:26" x14ac:dyDescent="0.25">
      <c r="A1211" s="2">
        <v>45965</v>
      </c>
      <c r="B1211" t="s">
        <v>1294</v>
      </c>
      <c r="C1211" t="s">
        <v>83</v>
      </c>
      <c r="D1211" t="s">
        <v>28</v>
      </c>
      <c r="E1211" t="s">
        <v>29</v>
      </c>
      <c r="F1211" t="s">
        <v>30</v>
      </c>
      <c r="G1211" t="s">
        <v>40</v>
      </c>
      <c r="H1211" t="s">
        <v>41</v>
      </c>
      <c r="I1211">
        <v>103.1507885406713</v>
      </c>
      <c r="J1211" s="3">
        <v>1215.8599999999999</v>
      </c>
      <c r="K1211" s="3">
        <f>Table1[[#This Row],[Quantity]]*Table1[[#This Row],[Unit_Price]]</f>
        <v>125416.9177550606</v>
      </c>
      <c r="L1211" s="3">
        <v>5176.17</v>
      </c>
      <c r="M1211" s="3">
        <f>Table1[[#This Row],[Gross_Sales]]-Table1[[#This Row],[Discount]]</f>
        <v>120240.7477550606</v>
      </c>
      <c r="N1211" s="3">
        <v>63609.66</v>
      </c>
      <c r="O1211" s="3">
        <v>3193.66</v>
      </c>
      <c r="P1211" s="3">
        <v>6960.21</v>
      </c>
      <c r="Q1211" s="3">
        <v>3187.45</v>
      </c>
      <c r="R1211" s="3">
        <v>2200.42</v>
      </c>
      <c r="S1211" s="3">
        <f>SUM(Table1[[#This Row],[Product_Cost]:[Other_Cost]])</f>
        <v>79151.400000000009</v>
      </c>
      <c r="T1211" s="3">
        <f>Table1[[#This Row],[Net_Sales]]-Table1[[#This Row],[Product_Cost]]</f>
        <v>56631.087755060595</v>
      </c>
      <c r="U1211" s="3">
        <f>Table1[[#This Row],[Net_Sales]]-Table1[[#This Row],[Total_Cost]]</f>
        <v>41089.347755060589</v>
      </c>
      <c r="V1211" s="4">
        <f>Table1[[#This Row],[Net_Profit]]/Table1[[#This Row],[Net_Sales]]</f>
        <v>0.34172565059860294</v>
      </c>
      <c r="W1211" t="s">
        <v>33</v>
      </c>
      <c r="X1211" t="s">
        <v>1280</v>
      </c>
      <c r="Y1211">
        <v>11</v>
      </c>
      <c r="Z1211" t="str">
        <f>IF(Table1[[#This Row],[Month_No]]&lt;=6, "H1","H2")</f>
        <v>H2</v>
      </c>
    </row>
    <row r="1212" spans="1:26" x14ac:dyDescent="0.25">
      <c r="A1212" s="2">
        <v>45965</v>
      </c>
      <c r="B1212" t="s">
        <v>1295</v>
      </c>
      <c r="C1212" t="s">
        <v>117</v>
      </c>
      <c r="D1212" t="s">
        <v>66</v>
      </c>
      <c r="E1212" t="s">
        <v>51</v>
      </c>
      <c r="F1212" t="s">
        <v>52</v>
      </c>
      <c r="G1212" t="s">
        <v>40</v>
      </c>
      <c r="H1212" t="s">
        <v>59</v>
      </c>
      <c r="I1212">
        <v>67.52739470061114</v>
      </c>
      <c r="J1212" s="3">
        <v>1680.52</v>
      </c>
      <c r="K1212" s="3">
        <f>Table1[[#This Row],[Quantity]]*Table1[[#This Row],[Unit_Price]]</f>
        <v>113481.13734227103</v>
      </c>
      <c r="L1212" s="3">
        <v>3415.05</v>
      </c>
      <c r="M1212" s="3">
        <f>Table1[[#This Row],[Gross_Sales]]-Table1[[#This Row],[Discount]]</f>
        <v>110066.08734227103</v>
      </c>
      <c r="N1212" s="3">
        <v>52765.74</v>
      </c>
      <c r="O1212" s="3">
        <v>1820.36</v>
      </c>
      <c r="P1212" s="3">
        <v>5293.81</v>
      </c>
      <c r="Q1212" s="3">
        <v>2184.46</v>
      </c>
      <c r="R1212" s="3">
        <v>1786.32</v>
      </c>
      <c r="S1212" s="3">
        <f>SUM(Table1[[#This Row],[Product_Cost]:[Other_Cost]])</f>
        <v>63850.689999999995</v>
      </c>
      <c r="T1212" s="3">
        <f>Table1[[#This Row],[Net_Sales]]-Table1[[#This Row],[Product_Cost]]</f>
        <v>57300.34734227103</v>
      </c>
      <c r="U1212" s="3">
        <f>Table1[[#This Row],[Net_Sales]]-Table1[[#This Row],[Total_Cost]]</f>
        <v>46215.397342271033</v>
      </c>
      <c r="V1212" s="4">
        <f>Table1[[#This Row],[Net_Profit]]/Table1[[#This Row],[Net_Sales]]</f>
        <v>0.41988770981342904</v>
      </c>
      <c r="W1212" t="s">
        <v>33</v>
      </c>
      <c r="X1212" t="s">
        <v>1280</v>
      </c>
      <c r="Y1212">
        <v>11</v>
      </c>
      <c r="Z1212" t="str">
        <f>IF(Table1[[#This Row],[Month_No]]&lt;=6, "H1","H2")</f>
        <v>H2</v>
      </c>
    </row>
    <row r="1213" spans="1:26" x14ac:dyDescent="0.25">
      <c r="A1213" s="2">
        <v>45965</v>
      </c>
      <c r="B1213" t="s">
        <v>1296</v>
      </c>
      <c r="C1213" t="s">
        <v>36</v>
      </c>
      <c r="D1213" t="s">
        <v>44</v>
      </c>
      <c r="E1213" t="s">
        <v>45</v>
      </c>
      <c r="F1213" t="s">
        <v>46</v>
      </c>
      <c r="G1213" t="s">
        <v>58</v>
      </c>
      <c r="H1213" t="s">
        <v>59</v>
      </c>
      <c r="I1213">
        <v>44.103704847249588</v>
      </c>
      <c r="J1213" s="3">
        <v>4976.49</v>
      </c>
      <c r="K1213" s="3">
        <f>Table1[[#This Row],[Quantity]]*Table1[[#This Row],[Unit_Price]]</f>
        <v>219481.64613528911</v>
      </c>
      <c r="L1213" s="3">
        <v>6172.46</v>
      </c>
      <c r="M1213" s="3">
        <f>Table1[[#This Row],[Gross_Sales]]-Table1[[#This Row],[Discount]]</f>
        <v>213309.18613528911</v>
      </c>
      <c r="N1213" s="3">
        <v>132677.22</v>
      </c>
      <c r="O1213" s="3">
        <v>3813.94</v>
      </c>
      <c r="P1213" s="3">
        <v>11304.21</v>
      </c>
      <c r="Q1213" s="3">
        <v>4544.03</v>
      </c>
      <c r="R1213" s="3">
        <v>2994.77</v>
      </c>
      <c r="S1213" s="3">
        <f>SUM(Table1[[#This Row],[Product_Cost]:[Other_Cost]])</f>
        <v>155334.16999999998</v>
      </c>
      <c r="T1213" s="3">
        <f>Table1[[#This Row],[Net_Sales]]-Table1[[#This Row],[Product_Cost]]</f>
        <v>80631.966135289113</v>
      </c>
      <c r="U1213" s="3">
        <f>Table1[[#This Row],[Net_Sales]]-Table1[[#This Row],[Total_Cost]]</f>
        <v>57975.01613528913</v>
      </c>
      <c r="V1213" s="4">
        <f>Table1[[#This Row],[Net_Profit]]/Table1[[#This Row],[Net_Sales]]</f>
        <v>0.27178865188918344</v>
      </c>
      <c r="W1213" t="s">
        <v>33</v>
      </c>
      <c r="X1213" t="s">
        <v>1280</v>
      </c>
      <c r="Y1213">
        <v>11</v>
      </c>
      <c r="Z1213" t="str">
        <f>IF(Table1[[#This Row],[Month_No]]&lt;=6, "H1","H2")</f>
        <v>H2</v>
      </c>
    </row>
    <row r="1214" spans="1:26" x14ac:dyDescent="0.25">
      <c r="A1214" s="2">
        <v>45966</v>
      </c>
      <c r="B1214" t="s">
        <v>1297</v>
      </c>
      <c r="C1214" t="s">
        <v>27</v>
      </c>
      <c r="D1214" t="s">
        <v>74</v>
      </c>
      <c r="E1214" t="s">
        <v>75</v>
      </c>
      <c r="F1214" t="s">
        <v>52</v>
      </c>
      <c r="G1214" t="s">
        <v>40</v>
      </c>
      <c r="H1214" t="s">
        <v>41</v>
      </c>
      <c r="I1214">
        <v>45.771009272849831</v>
      </c>
      <c r="J1214" s="3">
        <v>6062.55</v>
      </c>
      <c r="K1214" s="3">
        <f>Table1[[#This Row],[Quantity]]*Table1[[#This Row],[Unit_Price]]</f>
        <v>277489.03226711578</v>
      </c>
      <c r="L1214" s="3">
        <v>12479.89</v>
      </c>
      <c r="M1214" s="3">
        <f>Table1[[#This Row],[Gross_Sales]]-Table1[[#This Row],[Discount]]</f>
        <v>265009.14226711576</v>
      </c>
      <c r="N1214" s="3">
        <v>183719.76</v>
      </c>
      <c r="O1214" s="3">
        <v>4263.95</v>
      </c>
      <c r="P1214" s="3">
        <v>14835.92</v>
      </c>
      <c r="Q1214" s="3">
        <v>5255.72</v>
      </c>
      <c r="R1214" s="3">
        <v>5825.64</v>
      </c>
      <c r="S1214" s="3">
        <f>SUM(Table1[[#This Row],[Product_Cost]:[Other_Cost]])</f>
        <v>213900.99000000005</v>
      </c>
      <c r="T1214" s="3">
        <f>Table1[[#This Row],[Net_Sales]]-Table1[[#This Row],[Product_Cost]]</f>
        <v>81289.382267115754</v>
      </c>
      <c r="U1214" s="3">
        <f>Table1[[#This Row],[Net_Sales]]-Table1[[#This Row],[Total_Cost]]</f>
        <v>51108.152267115714</v>
      </c>
      <c r="V1214" s="4">
        <f>Table1[[#This Row],[Net_Profit]]/Table1[[#This Row],[Net_Sales]]</f>
        <v>0.19285429864755871</v>
      </c>
      <c r="W1214" t="s">
        <v>33</v>
      </c>
      <c r="X1214" t="s">
        <v>1280</v>
      </c>
      <c r="Y1214">
        <v>11</v>
      </c>
      <c r="Z1214" t="str">
        <f>IF(Table1[[#This Row],[Month_No]]&lt;=6, "H1","H2")</f>
        <v>H2</v>
      </c>
    </row>
    <row r="1215" spans="1:26" x14ac:dyDescent="0.25">
      <c r="A1215" s="2">
        <v>45966</v>
      </c>
      <c r="B1215" t="s">
        <v>1298</v>
      </c>
      <c r="C1215" t="s">
        <v>43</v>
      </c>
      <c r="D1215" t="s">
        <v>100</v>
      </c>
      <c r="E1215" t="s">
        <v>75</v>
      </c>
      <c r="F1215" t="s">
        <v>39</v>
      </c>
      <c r="G1215" t="s">
        <v>64</v>
      </c>
      <c r="H1215" t="s">
        <v>47</v>
      </c>
      <c r="I1215">
        <v>33.639313454465352</v>
      </c>
      <c r="J1215" s="3">
        <v>7793.1</v>
      </c>
      <c r="K1215" s="3">
        <f>Table1[[#This Row],[Quantity]]*Table1[[#This Row],[Unit_Price]]</f>
        <v>262154.53368199395</v>
      </c>
      <c r="L1215" s="3">
        <v>9269.25</v>
      </c>
      <c r="M1215" s="3">
        <f>Table1[[#This Row],[Gross_Sales]]-Table1[[#This Row],[Discount]]</f>
        <v>252885.28368199395</v>
      </c>
      <c r="N1215" s="3">
        <v>134182.79</v>
      </c>
      <c r="O1215" s="3">
        <v>7052.44</v>
      </c>
      <c r="P1215" s="3">
        <v>15598.37</v>
      </c>
      <c r="Q1215" s="3">
        <v>5783.83</v>
      </c>
      <c r="R1215" s="3">
        <v>4446.3100000000004</v>
      </c>
      <c r="S1215" s="3">
        <f>SUM(Table1[[#This Row],[Product_Cost]:[Other_Cost]])</f>
        <v>167063.74</v>
      </c>
      <c r="T1215" s="3">
        <f>Table1[[#This Row],[Net_Sales]]-Table1[[#This Row],[Product_Cost]]</f>
        <v>118702.49368199395</v>
      </c>
      <c r="U1215" s="3">
        <f>Table1[[#This Row],[Net_Sales]]-Table1[[#This Row],[Total_Cost]]</f>
        <v>85821.543681993964</v>
      </c>
      <c r="V1215" s="4">
        <f>Table1[[#This Row],[Net_Profit]]/Table1[[#This Row],[Net_Sales]]</f>
        <v>0.33936946599832796</v>
      </c>
      <c r="W1215" t="s">
        <v>33</v>
      </c>
      <c r="X1215" t="s">
        <v>1280</v>
      </c>
      <c r="Y1215">
        <v>11</v>
      </c>
      <c r="Z1215" t="str">
        <f>IF(Table1[[#This Row],[Month_No]]&lt;=6, "H1","H2")</f>
        <v>H2</v>
      </c>
    </row>
    <row r="1216" spans="1:26" x14ac:dyDescent="0.25">
      <c r="A1216" s="2">
        <v>45966</v>
      </c>
      <c r="B1216" t="s">
        <v>1299</v>
      </c>
      <c r="C1216" t="s">
        <v>49</v>
      </c>
      <c r="D1216" t="s">
        <v>56</v>
      </c>
      <c r="E1216" t="s">
        <v>57</v>
      </c>
      <c r="F1216" t="s">
        <v>52</v>
      </c>
      <c r="G1216" t="s">
        <v>71</v>
      </c>
      <c r="H1216" t="s">
        <v>47</v>
      </c>
      <c r="I1216">
        <v>20.72352821187615</v>
      </c>
      <c r="J1216" s="3">
        <v>3482.95</v>
      </c>
      <c r="K1216" s="3">
        <f>Table1[[#This Row],[Quantity]]*Table1[[#This Row],[Unit_Price]]</f>
        <v>72179.012585554039</v>
      </c>
      <c r="L1216" s="3">
        <v>2006.36</v>
      </c>
      <c r="M1216" s="3">
        <f>Table1[[#This Row],[Gross_Sales]]-Table1[[#This Row],[Discount]]</f>
        <v>70172.652585554039</v>
      </c>
      <c r="N1216" s="3">
        <v>34059.79</v>
      </c>
      <c r="O1216" s="3">
        <v>1382.19</v>
      </c>
      <c r="P1216" s="3">
        <v>3466.65</v>
      </c>
      <c r="Q1216" s="3">
        <v>1911.09</v>
      </c>
      <c r="R1216" s="3">
        <v>1279.6300000000001</v>
      </c>
      <c r="S1216" s="3">
        <f>SUM(Table1[[#This Row],[Product_Cost]:[Other_Cost]])</f>
        <v>42099.35</v>
      </c>
      <c r="T1216" s="3">
        <f>Table1[[#This Row],[Net_Sales]]-Table1[[#This Row],[Product_Cost]]</f>
        <v>36112.862585554038</v>
      </c>
      <c r="U1216" s="3">
        <f>Table1[[#This Row],[Net_Sales]]-Table1[[#This Row],[Total_Cost]]</f>
        <v>28073.30258555404</v>
      </c>
      <c r="V1216" s="4">
        <f>Table1[[#This Row],[Net_Profit]]/Table1[[#This Row],[Net_Sales]]</f>
        <v>0.40006044450617356</v>
      </c>
      <c r="W1216" t="s">
        <v>33</v>
      </c>
      <c r="X1216" t="s">
        <v>1280</v>
      </c>
      <c r="Y1216">
        <v>11</v>
      </c>
      <c r="Z1216" t="str">
        <f>IF(Table1[[#This Row],[Month_No]]&lt;=6, "H1","H2")</f>
        <v>H2</v>
      </c>
    </row>
    <row r="1217" spans="1:26" x14ac:dyDescent="0.25">
      <c r="A1217" s="2">
        <v>45966</v>
      </c>
      <c r="B1217" t="s">
        <v>1300</v>
      </c>
      <c r="C1217" t="s">
        <v>98</v>
      </c>
      <c r="D1217" t="s">
        <v>28</v>
      </c>
      <c r="E1217" t="s">
        <v>29</v>
      </c>
      <c r="F1217" t="s">
        <v>39</v>
      </c>
      <c r="G1217" t="s">
        <v>76</v>
      </c>
      <c r="H1217" t="s">
        <v>59</v>
      </c>
      <c r="I1217">
        <v>53.334867556287392</v>
      </c>
      <c r="J1217" s="3">
        <v>1229.8</v>
      </c>
      <c r="K1217" s="3">
        <f>Table1[[#This Row],[Quantity]]*Table1[[#This Row],[Unit_Price]]</f>
        <v>65591.220120722239</v>
      </c>
      <c r="L1217" s="3">
        <v>1672.57</v>
      </c>
      <c r="M1217" s="3">
        <f>Table1[[#This Row],[Gross_Sales]]-Table1[[#This Row],[Discount]]</f>
        <v>63918.650120722239</v>
      </c>
      <c r="N1217" s="3">
        <v>34795.11</v>
      </c>
      <c r="O1217" s="3">
        <v>1626.49</v>
      </c>
      <c r="P1217" s="3">
        <v>3609.13</v>
      </c>
      <c r="Q1217" s="3">
        <v>1753.66</v>
      </c>
      <c r="R1217" s="3">
        <v>995.17</v>
      </c>
      <c r="S1217" s="3">
        <f>SUM(Table1[[#This Row],[Product_Cost]:[Other_Cost]])</f>
        <v>42779.56</v>
      </c>
      <c r="T1217" s="3">
        <f>Table1[[#This Row],[Net_Sales]]-Table1[[#This Row],[Product_Cost]]</f>
        <v>29123.540120722238</v>
      </c>
      <c r="U1217" s="3">
        <f>Table1[[#This Row],[Net_Sales]]-Table1[[#This Row],[Total_Cost]]</f>
        <v>21139.090120722241</v>
      </c>
      <c r="V1217" s="4">
        <f>Table1[[#This Row],[Net_Profit]]/Table1[[#This Row],[Net_Sales]]</f>
        <v>0.33071865693028785</v>
      </c>
      <c r="W1217" t="s">
        <v>33</v>
      </c>
      <c r="X1217" t="s">
        <v>1280</v>
      </c>
      <c r="Y1217">
        <v>11</v>
      </c>
      <c r="Z1217" t="str">
        <f>IF(Table1[[#This Row],[Month_No]]&lt;=6, "H1","H2")</f>
        <v>H2</v>
      </c>
    </row>
    <row r="1218" spans="1:26" x14ac:dyDescent="0.25">
      <c r="A1218" s="2">
        <v>45966</v>
      </c>
      <c r="B1218" t="s">
        <v>1301</v>
      </c>
      <c r="C1218" t="s">
        <v>27</v>
      </c>
      <c r="D1218" t="s">
        <v>100</v>
      </c>
      <c r="E1218" t="s">
        <v>75</v>
      </c>
      <c r="F1218" t="s">
        <v>30</v>
      </c>
      <c r="G1218" t="s">
        <v>40</v>
      </c>
      <c r="H1218" t="s">
        <v>41</v>
      </c>
      <c r="I1218">
        <v>50.733153829569467</v>
      </c>
      <c r="J1218" s="3">
        <v>7660.76</v>
      </c>
      <c r="K1218" s="3">
        <f>Table1[[#This Row],[Quantity]]*Table1[[#This Row],[Unit_Price]]</f>
        <v>388654.51553141262</v>
      </c>
      <c r="L1218" s="3">
        <v>17760.18</v>
      </c>
      <c r="M1218" s="3">
        <f>Table1[[#This Row],[Gross_Sales]]-Table1[[#This Row],[Discount]]</f>
        <v>370894.33553141262</v>
      </c>
      <c r="N1218" s="3">
        <v>196357.12</v>
      </c>
      <c r="O1218" s="3">
        <v>10069.09</v>
      </c>
      <c r="P1218" s="3">
        <v>20673.490000000002</v>
      </c>
      <c r="Q1218" s="3">
        <v>9291.26</v>
      </c>
      <c r="R1218" s="3">
        <v>7707.13</v>
      </c>
      <c r="S1218" s="3">
        <f>SUM(Table1[[#This Row],[Product_Cost]:[Other_Cost]])</f>
        <v>244098.09</v>
      </c>
      <c r="T1218" s="3">
        <f>Table1[[#This Row],[Net_Sales]]-Table1[[#This Row],[Product_Cost]]</f>
        <v>174537.21553141263</v>
      </c>
      <c r="U1218" s="3">
        <f>Table1[[#This Row],[Net_Sales]]-Table1[[#This Row],[Total_Cost]]</f>
        <v>126796.24553141263</v>
      </c>
      <c r="V1218" s="4">
        <f>Table1[[#This Row],[Net_Profit]]/Table1[[#This Row],[Net_Sales]]</f>
        <v>0.34186622276056228</v>
      </c>
      <c r="W1218" t="s">
        <v>33</v>
      </c>
      <c r="X1218" t="s">
        <v>1280</v>
      </c>
      <c r="Y1218">
        <v>11</v>
      </c>
      <c r="Z1218" t="str">
        <f>IF(Table1[[#This Row],[Month_No]]&lt;=6, "H1","H2")</f>
        <v>H2</v>
      </c>
    </row>
    <row r="1219" spans="1:26" x14ac:dyDescent="0.25">
      <c r="A1219" s="2">
        <v>45966</v>
      </c>
      <c r="B1219" t="s">
        <v>1302</v>
      </c>
      <c r="C1219" t="s">
        <v>83</v>
      </c>
      <c r="D1219" t="s">
        <v>183</v>
      </c>
      <c r="E1219" t="s">
        <v>38</v>
      </c>
      <c r="F1219" t="s">
        <v>52</v>
      </c>
      <c r="G1219" t="s">
        <v>31</v>
      </c>
      <c r="H1219" t="s">
        <v>59</v>
      </c>
      <c r="I1219">
        <v>61.536810119626658</v>
      </c>
      <c r="J1219" s="3">
        <v>7399.07</v>
      </c>
      <c r="K1219" s="3">
        <f>Table1[[#This Row],[Quantity]]*Table1[[#This Row],[Unit_Price]]</f>
        <v>455315.16565182601</v>
      </c>
      <c r="L1219" s="3">
        <v>18422.47</v>
      </c>
      <c r="M1219" s="3">
        <f>Table1[[#This Row],[Gross_Sales]]-Table1[[#This Row],[Discount]]</f>
        <v>436892.69565182598</v>
      </c>
      <c r="N1219" s="3">
        <v>241179.24</v>
      </c>
      <c r="O1219" s="3">
        <v>7408.45</v>
      </c>
      <c r="P1219" s="3">
        <v>22036.720000000001</v>
      </c>
      <c r="Q1219" s="3">
        <v>13927.82</v>
      </c>
      <c r="R1219" s="3">
        <v>6541.28</v>
      </c>
      <c r="S1219" s="3">
        <f>SUM(Table1[[#This Row],[Product_Cost]:[Other_Cost]])</f>
        <v>291093.51000000007</v>
      </c>
      <c r="T1219" s="3">
        <f>Table1[[#This Row],[Net_Sales]]-Table1[[#This Row],[Product_Cost]]</f>
        <v>195713.45565182599</v>
      </c>
      <c r="U1219" s="3">
        <f>Table1[[#This Row],[Net_Sales]]-Table1[[#This Row],[Total_Cost]]</f>
        <v>145799.18565182592</v>
      </c>
      <c r="V1219" s="4">
        <f>Table1[[#This Row],[Net_Profit]]/Table1[[#This Row],[Net_Sales]]</f>
        <v>0.33371852425753995</v>
      </c>
      <c r="W1219" t="s">
        <v>33</v>
      </c>
      <c r="X1219" t="s">
        <v>1280</v>
      </c>
      <c r="Y1219">
        <v>11</v>
      </c>
      <c r="Z1219" t="str">
        <f>IF(Table1[[#This Row],[Month_No]]&lt;=6, "H1","H2")</f>
        <v>H2</v>
      </c>
    </row>
    <row r="1220" spans="1:26" x14ac:dyDescent="0.25">
      <c r="A1220" s="2">
        <v>45967</v>
      </c>
      <c r="B1220" t="s">
        <v>1303</v>
      </c>
      <c r="C1220" t="s">
        <v>98</v>
      </c>
      <c r="D1220" t="s">
        <v>66</v>
      </c>
      <c r="E1220" t="s">
        <v>51</v>
      </c>
      <c r="F1220" t="s">
        <v>52</v>
      </c>
      <c r="G1220" t="s">
        <v>31</v>
      </c>
      <c r="H1220" t="s">
        <v>41</v>
      </c>
      <c r="I1220">
        <v>50.35022134199064</v>
      </c>
      <c r="J1220" s="3">
        <v>1656.38</v>
      </c>
      <c r="K1220" s="3">
        <f>Table1[[#This Row],[Quantity]]*Table1[[#This Row],[Unit_Price]]</f>
        <v>83399.099626446463</v>
      </c>
      <c r="L1220" s="3">
        <v>4210.6000000000004</v>
      </c>
      <c r="M1220" s="3">
        <f>Table1[[#This Row],[Gross_Sales]]-Table1[[#This Row],[Discount]]</f>
        <v>79188.499626446457</v>
      </c>
      <c r="N1220" s="3">
        <v>41467.64</v>
      </c>
      <c r="O1220" s="3">
        <v>1539.77</v>
      </c>
      <c r="P1220" s="3">
        <v>4423.3500000000004</v>
      </c>
      <c r="Q1220" s="3">
        <v>2302.4699999999998</v>
      </c>
      <c r="R1220" s="3">
        <v>1281.1500000000001</v>
      </c>
      <c r="S1220" s="3">
        <f>SUM(Table1[[#This Row],[Product_Cost]:[Other_Cost]])</f>
        <v>51014.38</v>
      </c>
      <c r="T1220" s="3">
        <f>Table1[[#This Row],[Net_Sales]]-Table1[[#This Row],[Product_Cost]]</f>
        <v>37720.859626446458</v>
      </c>
      <c r="U1220" s="3">
        <f>Table1[[#This Row],[Net_Sales]]-Table1[[#This Row],[Total_Cost]]</f>
        <v>28174.11962644646</v>
      </c>
      <c r="V1220" s="4">
        <f>Table1[[#This Row],[Net_Profit]]/Table1[[#This Row],[Net_Sales]]</f>
        <v>0.35578549611814081</v>
      </c>
      <c r="W1220" t="s">
        <v>72</v>
      </c>
      <c r="X1220" t="s">
        <v>1280</v>
      </c>
      <c r="Y1220">
        <v>11</v>
      </c>
      <c r="Z1220" t="str">
        <f>IF(Table1[[#This Row],[Month_No]]&lt;=6, "H1","H2")</f>
        <v>H2</v>
      </c>
    </row>
    <row r="1221" spans="1:26" x14ac:dyDescent="0.25">
      <c r="A1221" s="2">
        <v>45967</v>
      </c>
      <c r="B1221" t="s">
        <v>1304</v>
      </c>
      <c r="C1221" t="s">
        <v>117</v>
      </c>
      <c r="D1221" t="s">
        <v>66</v>
      </c>
      <c r="E1221" t="s">
        <v>51</v>
      </c>
      <c r="F1221" t="s">
        <v>39</v>
      </c>
      <c r="G1221" t="s">
        <v>71</v>
      </c>
      <c r="H1221" t="s">
        <v>59</v>
      </c>
      <c r="I1221">
        <v>51.267020195345751</v>
      </c>
      <c r="J1221" s="3">
        <v>1632.76</v>
      </c>
      <c r="K1221" s="3">
        <f>Table1[[#This Row],[Quantity]]*Table1[[#This Row],[Unit_Price]]</f>
        <v>83706.739894152721</v>
      </c>
      <c r="L1221" s="3">
        <v>2068.56</v>
      </c>
      <c r="M1221" s="3">
        <f>Table1[[#This Row],[Gross_Sales]]-Table1[[#This Row],[Discount]]</f>
        <v>81638.179894152723</v>
      </c>
      <c r="N1221" s="3">
        <v>39936.92</v>
      </c>
      <c r="O1221" s="3">
        <v>2736.29</v>
      </c>
      <c r="P1221" s="3">
        <v>4164.6899999999996</v>
      </c>
      <c r="Q1221" s="3">
        <v>2186.1</v>
      </c>
      <c r="R1221" s="3">
        <v>1517.66</v>
      </c>
      <c r="S1221" s="3">
        <f>SUM(Table1[[#This Row],[Product_Cost]:[Other_Cost]])</f>
        <v>50541.66</v>
      </c>
      <c r="T1221" s="3">
        <f>Table1[[#This Row],[Net_Sales]]-Table1[[#This Row],[Product_Cost]]</f>
        <v>41701.259894152725</v>
      </c>
      <c r="U1221" s="3">
        <f>Table1[[#This Row],[Net_Sales]]-Table1[[#This Row],[Total_Cost]]</f>
        <v>31096.51989415272</v>
      </c>
      <c r="V1221" s="4">
        <f>Table1[[#This Row],[Net_Profit]]/Table1[[#This Row],[Net_Sales]]</f>
        <v>0.38090657991727211</v>
      </c>
      <c r="W1221" t="s">
        <v>33</v>
      </c>
      <c r="X1221" t="s">
        <v>1280</v>
      </c>
      <c r="Y1221">
        <v>11</v>
      </c>
      <c r="Z1221" t="str">
        <f>IF(Table1[[#This Row],[Month_No]]&lt;=6, "H1","H2")</f>
        <v>H2</v>
      </c>
    </row>
    <row r="1222" spans="1:26" x14ac:dyDescent="0.25">
      <c r="A1222" s="2">
        <v>45967</v>
      </c>
      <c r="B1222" t="s">
        <v>1305</v>
      </c>
      <c r="C1222" t="s">
        <v>63</v>
      </c>
      <c r="D1222" t="s">
        <v>74</v>
      </c>
      <c r="E1222" t="s">
        <v>75</v>
      </c>
      <c r="F1222" t="s">
        <v>39</v>
      </c>
      <c r="G1222" t="s">
        <v>58</v>
      </c>
      <c r="H1222" t="s">
        <v>59</v>
      </c>
      <c r="I1222">
        <v>71.546556753024845</v>
      </c>
      <c r="J1222" s="3">
        <v>5772.29</v>
      </c>
      <c r="K1222" s="3">
        <f>Table1[[#This Row],[Quantity]]*Table1[[#This Row],[Unit_Price]]</f>
        <v>412987.47407991777</v>
      </c>
      <c r="L1222" s="3">
        <v>14219.34</v>
      </c>
      <c r="M1222" s="3">
        <f>Table1[[#This Row],[Gross_Sales]]-Table1[[#This Row],[Discount]]</f>
        <v>398768.13407991774</v>
      </c>
      <c r="N1222" s="3">
        <v>269869.92</v>
      </c>
      <c r="O1222" s="3">
        <v>10198.02</v>
      </c>
      <c r="P1222" s="3">
        <v>19306.77</v>
      </c>
      <c r="Q1222" s="3">
        <v>7859.93</v>
      </c>
      <c r="R1222" s="3">
        <v>8494.66</v>
      </c>
      <c r="S1222" s="3">
        <f>SUM(Table1[[#This Row],[Product_Cost]:[Other_Cost]])</f>
        <v>315729.3</v>
      </c>
      <c r="T1222" s="3">
        <f>Table1[[#This Row],[Net_Sales]]-Table1[[#This Row],[Product_Cost]]</f>
        <v>128898.21407991776</v>
      </c>
      <c r="U1222" s="3">
        <f>Table1[[#This Row],[Net_Sales]]-Table1[[#This Row],[Total_Cost]]</f>
        <v>83038.834079917753</v>
      </c>
      <c r="V1222" s="4">
        <f>Table1[[#This Row],[Net_Profit]]/Table1[[#This Row],[Net_Sales]]</f>
        <v>0.20823838963841532</v>
      </c>
      <c r="W1222" t="s">
        <v>33</v>
      </c>
      <c r="X1222" t="s">
        <v>1280</v>
      </c>
      <c r="Y1222">
        <v>11</v>
      </c>
      <c r="Z1222" t="str">
        <f>IF(Table1[[#This Row],[Month_No]]&lt;=6, "H1","H2")</f>
        <v>H2</v>
      </c>
    </row>
    <row r="1223" spans="1:26" x14ac:dyDescent="0.25">
      <c r="A1223" s="2">
        <v>45967</v>
      </c>
      <c r="B1223" t="s">
        <v>1306</v>
      </c>
      <c r="C1223" t="s">
        <v>27</v>
      </c>
      <c r="D1223" t="s">
        <v>50</v>
      </c>
      <c r="E1223" t="s">
        <v>51</v>
      </c>
      <c r="F1223" t="s">
        <v>39</v>
      </c>
      <c r="G1223" t="s">
        <v>71</v>
      </c>
      <c r="H1223" t="s">
        <v>41</v>
      </c>
      <c r="I1223">
        <v>107.19321561779201</v>
      </c>
      <c r="J1223" s="3">
        <v>890.67</v>
      </c>
      <c r="K1223" s="3">
        <f>Table1[[#This Row],[Quantity]]*Table1[[#This Row],[Unit_Price]]</f>
        <v>95473.781354298801</v>
      </c>
      <c r="L1223" s="3">
        <v>4419.87</v>
      </c>
      <c r="M1223" s="3">
        <f>Table1[[#This Row],[Gross_Sales]]-Table1[[#This Row],[Discount]]</f>
        <v>91053.911354298805</v>
      </c>
      <c r="N1223" s="3">
        <v>55397.84</v>
      </c>
      <c r="O1223" s="3">
        <v>3085.63</v>
      </c>
      <c r="P1223" s="3">
        <v>4388.96</v>
      </c>
      <c r="Q1223" s="3">
        <v>2097.4899999999998</v>
      </c>
      <c r="R1223" s="3">
        <v>1193.95</v>
      </c>
      <c r="S1223" s="3">
        <f>SUM(Table1[[#This Row],[Product_Cost]:[Other_Cost]])</f>
        <v>66163.87</v>
      </c>
      <c r="T1223" s="3">
        <f>Table1[[#This Row],[Net_Sales]]-Table1[[#This Row],[Product_Cost]]</f>
        <v>35656.071354298809</v>
      </c>
      <c r="U1223" s="3">
        <f>Table1[[#This Row],[Net_Sales]]-Table1[[#This Row],[Total_Cost]]</f>
        <v>24890.04135429881</v>
      </c>
      <c r="V1223" s="4">
        <f>Table1[[#This Row],[Net_Profit]]/Table1[[#This Row],[Net_Sales]]</f>
        <v>0.27335499358670562</v>
      </c>
      <c r="W1223" t="s">
        <v>33</v>
      </c>
      <c r="X1223" t="s">
        <v>1280</v>
      </c>
      <c r="Y1223">
        <v>11</v>
      </c>
      <c r="Z1223" t="str">
        <f>IF(Table1[[#This Row],[Month_No]]&lt;=6, "H1","H2")</f>
        <v>H2</v>
      </c>
    </row>
    <row r="1224" spans="1:26" x14ac:dyDescent="0.25">
      <c r="A1224" s="2">
        <v>45967</v>
      </c>
      <c r="B1224" t="s">
        <v>1307</v>
      </c>
      <c r="C1224" t="s">
        <v>27</v>
      </c>
      <c r="D1224" t="s">
        <v>74</v>
      </c>
      <c r="E1224" t="s">
        <v>75</v>
      </c>
      <c r="F1224" t="s">
        <v>30</v>
      </c>
      <c r="G1224" t="s">
        <v>71</v>
      </c>
      <c r="H1224" t="s">
        <v>59</v>
      </c>
      <c r="I1224">
        <v>80.807039797080463</v>
      </c>
      <c r="J1224" s="3">
        <v>6138.93</v>
      </c>
      <c r="K1224" s="3">
        <f>Table1[[#This Row],[Quantity]]*Table1[[#This Row],[Unit_Price]]</f>
        <v>496068.76082149119</v>
      </c>
      <c r="L1224" s="3">
        <v>21847.23</v>
      </c>
      <c r="M1224" s="3">
        <f>Table1[[#This Row],[Gross_Sales]]-Table1[[#This Row],[Discount]]</f>
        <v>474221.53082149121</v>
      </c>
      <c r="N1224" s="3">
        <v>328981.65999999997</v>
      </c>
      <c r="O1224" s="3">
        <v>12546.97</v>
      </c>
      <c r="P1224" s="3">
        <v>24405.32</v>
      </c>
      <c r="Q1224" s="3">
        <v>8816.6200000000008</v>
      </c>
      <c r="R1224" s="3">
        <v>7801.23</v>
      </c>
      <c r="S1224" s="3">
        <f>SUM(Table1[[#This Row],[Product_Cost]:[Other_Cost]])</f>
        <v>382551.79999999993</v>
      </c>
      <c r="T1224" s="3">
        <f>Table1[[#This Row],[Net_Sales]]-Table1[[#This Row],[Product_Cost]]</f>
        <v>145239.87082149123</v>
      </c>
      <c r="U1224" s="3">
        <f>Table1[[#This Row],[Net_Sales]]-Table1[[#This Row],[Total_Cost]]</f>
        <v>91669.730821491277</v>
      </c>
      <c r="V1224" s="4">
        <f>Table1[[#This Row],[Net_Profit]]/Table1[[#This Row],[Net_Sales]]</f>
        <v>0.19330571233805502</v>
      </c>
      <c r="W1224" t="s">
        <v>33</v>
      </c>
      <c r="X1224" t="s">
        <v>1280</v>
      </c>
      <c r="Y1224">
        <v>11</v>
      </c>
      <c r="Z1224" t="str">
        <f>IF(Table1[[#This Row],[Month_No]]&lt;=6, "H1","H2")</f>
        <v>H2</v>
      </c>
    </row>
    <row r="1225" spans="1:26" x14ac:dyDescent="0.25">
      <c r="A1225" s="2">
        <v>45967</v>
      </c>
      <c r="B1225" t="s">
        <v>1308</v>
      </c>
      <c r="C1225" t="s">
        <v>70</v>
      </c>
      <c r="D1225" t="s">
        <v>28</v>
      </c>
      <c r="E1225" t="s">
        <v>29</v>
      </c>
      <c r="F1225" t="s">
        <v>46</v>
      </c>
      <c r="G1225" t="s">
        <v>58</v>
      </c>
      <c r="H1225" t="s">
        <v>41</v>
      </c>
      <c r="I1225">
        <v>72.944933517884721</v>
      </c>
      <c r="J1225" s="3">
        <v>1261.8</v>
      </c>
      <c r="K1225" s="3">
        <f>Table1[[#This Row],[Quantity]]*Table1[[#This Row],[Unit_Price]]</f>
        <v>92041.91711286694</v>
      </c>
      <c r="L1225" s="3">
        <v>4715.04</v>
      </c>
      <c r="M1225" s="3">
        <f>Table1[[#This Row],[Gross_Sales]]-Table1[[#This Row],[Discount]]</f>
        <v>87326.877112866947</v>
      </c>
      <c r="N1225" s="3">
        <v>48375.63</v>
      </c>
      <c r="O1225" s="3">
        <v>1775.63</v>
      </c>
      <c r="P1225" s="3">
        <v>4294.33</v>
      </c>
      <c r="Q1225" s="3">
        <v>2146.73</v>
      </c>
      <c r="R1225" s="3">
        <v>1626.77</v>
      </c>
      <c r="S1225" s="3">
        <f>SUM(Table1[[#This Row],[Product_Cost]:[Other_Cost]])</f>
        <v>58219.09</v>
      </c>
      <c r="T1225" s="3">
        <f>Table1[[#This Row],[Net_Sales]]-Table1[[#This Row],[Product_Cost]]</f>
        <v>38951.247112866949</v>
      </c>
      <c r="U1225" s="3">
        <f>Table1[[#This Row],[Net_Sales]]-Table1[[#This Row],[Total_Cost]]</f>
        <v>29107.78711286695</v>
      </c>
      <c r="V1225" s="4">
        <f>Table1[[#This Row],[Net_Profit]]/Table1[[#This Row],[Net_Sales]]</f>
        <v>0.33331991335549704</v>
      </c>
      <c r="W1225" t="s">
        <v>33</v>
      </c>
      <c r="X1225" t="s">
        <v>1280</v>
      </c>
      <c r="Y1225">
        <v>11</v>
      </c>
      <c r="Z1225" t="str">
        <f>IF(Table1[[#This Row],[Month_No]]&lt;=6, "H1","H2")</f>
        <v>H2</v>
      </c>
    </row>
    <row r="1226" spans="1:26" x14ac:dyDescent="0.25">
      <c r="A1226" s="2">
        <v>45967</v>
      </c>
      <c r="B1226" t="s">
        <v>1309</v>
      </c>
      <c r="C1226" t="s">
        <v>78</v>
      </c>
      <c r="D1226" t="s">
        <v>56</v>
      </c>
      <c r="E1226" t="s">
        <v>57</v>
      </c>
      <c r="F1226" t="s">
        <v>52</v>
      </c>
      <c r="G1226" t="s">
        <v>86</v>
      </c>
      <c r="H1226" t="s">
        <v>41</v>
      </c>
      <c r="I1226">
        <v>71.548566715028173</v>
      </c>
      <c r="J1226" s="3">
        <v>3394.94</v>
      </c>
      <c r="K1226" s="3">
        <f>Table1[[#This Row],[Quantity]]*Table1[[#This Row],[Unit_Price]]</f>
        <v>242903.09108351773</v>
      </c>
      <c r="L1226" s="3">
        <v>11476.64</v>
      </c>
      <c r="M1226" s="3">
        <f>Table1[[#This Row],[Gross_Sales]]-Table1[[#This Row],[Discount]]</f>
        <v>231426.45108351775</v>
      </c>
      <c r="N1226" s="3">
        <v>117892.58</v>
      </c>
      <c r="O1226" s="3">
        <v>3551</v>
      </c>
      <c r="P1226" s="3">
        <v>12578.06</v>
      </c>
      <c r="Q1226" s="3">
        <v>5645.3</v>
      </c>
      <c r="R1226" s="3">
        <v>4754.82</v>
      </c>
      <c r="S1226" s="3">
        <f>SUM(Table1[[#This Row],[Product_Cost]:[Other_Cost]])</f>
        <v>144421.76000000001</v>
      </c>
      <c r="T1226" s="3">
        <f>Table1[[#This Row],[Net_Sales]]-Table1[[#This Row],[Product_Cost]]</f>
        <v>113533.87108351775</v>
      </c>
      <c r="U1226" s="3">
        <f>Table1[[#This Row],[Net_Sales]]-Table1[[#This Row],[Total_Cost]]</f>
        <v>87004.69108351774</v>
      </c>
      <c r="V1226" s="4">
        <f>Table1[[#This Row],[Net_Profit]]/Table1[[#This Row],[Net_Sales]]</f>
        <v>0.37594964048478308</v>
      </c>
      <c r="W1226" t="s">
        <v>33</v>
      </c>
      <c r="X1226" t="s">
        <v>1280</v>
      </c>
      <c r="Y1226">
        <v>11</v>
      </c>
      <c r="Z1226" t="str">
        <f>IF(Table1[[#This Row],[Month_No]]&lt;=6, "H1","H2")</f>
        <v>H2</v>
      </c>
    </row>
    <row r="1227" spans="1:26" x14ac:dyDescent="0.25">
      <c r="A1227" s="2">
        <v>45968</v>
      </c>
      <c r="B1227" t="s">
        <v>1310</v>
      </c>
      <c r="C1227" t="s">
        <v>78</v>
      </c>
      <c r="D1227" t="s">
        <v>66</v>
      </c>
      <c r="E1227" t="s">
        <v>51</v>
      </c>
      <c r="F1227" t="s">
        <v>46</v>
      </c>
      <c r="G1227" t="s">
        <v>31</v>
      </c>
      <c r="H1227" t="s">
        <v>59</v>
      </c>
      <c r="I1227">
        <v>45.210970416133399</v>
      </c>
      <c r="J1227" s="3">
        <v>1676.69</v>
      </c>
      <c r="K1227" s="3">
        <f>Table1[[#This Row],[Quantity]]*Table1[[#This Row],[Unit_Price]]</f>
        <v>75804.781987026712</v>
      </c>
      <c r="L1227" s="3">
        <v>2994.64</v>
      </c>
      <c r="M1227" s="3">
        <f>Table1[[#This Row],[Gross_Sales]]-Table1[[#This Row],[Discount]]</f>
        <v>72810.141987026713</v>
      </c>
      <c r="N1227" s="3">
        <v>35621.379999999997</v>
      </c>
      <c r="O1227" s="3">
        <v>1473.58</v>
      </c>
      <c r="P1227" s="3">
        <v>3846.77</v>
      </c>
      <c r="Q1227" s="3">
        <v>1642.04</v>
      </c>
      <c r="R1227" s="3">
        <v>1084.02</v>
      </c>
      <c r="S1227" s="3">
        <f>SUM(Table1[[#This Row],[Product_Cost]:[Other_Cost]])</f>
        <v>43667.789999999994</v>
      </c>
      <c r="T1227" s="3">
        <f>Table1[[#This Row],[Net_Sales]]-Table1[[#This Row],[Product_Cost]]</f>
        <v>37188.761987026715</v>
      </c>
      <c r="U1227" s="3">
        <f>Table1[[#This Row],[Net_Sales]]-Table1[[#This Row],[Total_Cost]]</f>
        <v>29142.351987026719</v>
      </c>
      <c r="V1227" s="4">
        <f>Table1[[#This Row],[Net_Profit]]/Table1[[#This Row],[Net_Sales]]</f>
        <v>0.400251272579846</v>
      </c>
      <c r="W1227" t="s">
        <v>33</v>
      </c>
      <c r="X1227" t="s">
        <v>1280</v>
      </c>
      <c r="Y1227">
        <v>11</v>
      </c>
      <c r="Z1227" t="str">
        <f>IF(Table1[[#This Row],[Month_No]]&lt;=6, "H1","H2")</f>
        <v>H2</v>
      </c>
    </row>
    <row r="1228" spans="1:26" x14ac:dyDescent="0.25">
      <c r="A1228" s="2">
        <v>45968</v>
      </c>
      <c r="B1228" t="s">
        <v>1311</v>
      </c>
      <c r="C1228" t="s">
        <v>27</v>
      </c>
      <c r="D1228" t="s">
        <v>28</v>
      </c>
      <c r="E1228" t="s">
        <v>29</v>
      </c>
      <c r="F1228" t="s">
        <v>52</v>
      </c>
      <c r="G1228" t="s">
        <v>86</v>
      </c>
      <c r="H1228" t="s">
        <v>41</v>
      </c>
      <c r="I1228">
        <v>68.713220178788418</v>
      </c>
      <c r="J1228" s="3">
        <v>1248.68</v>
      </c>
      <c r="K1228" s="3">
        <f>Table1[[#This Row],[Quantity]]*Table1[[#This Row],[Unit_Price]]</f>
        <v>85800.82377284953</v>
      </c>
      <c r="L1228" s="3">
        <v>3005.87</v>
      </c>
      <c r="M1228" s="3">
        <f>Table1[[#This Row],[Gross_Sales]]-Table1[[#This Row],[Discount]]</f>
        <v>82794.953772849534</v>
      </c>
      <c r="N1228" s="3">
        <v>44019.199999999997</v>
      </c>
      <c r="O1228" s="3">
        <v>1735.23</v>
      </c>
      <c r="P1228" s="3">
        <v>4990.57</v>
      </c>
      <c r="Q1228" s="3">
        <v>2641.24</v>
      </c>
      <c r="R1228" s="3">
        <v>1297.92</v>
      </c>
      <c r="S1228" s="3">
        <f>SUM(Table1[[#This Row],[Product_Cost]:[Other_Cost]])</f>
        <v>54684.159999999996</v>
      </c>
      <c r="T1228" s="3">
        <f>Table1[[#This Row],[Net_Sales]]-Table1[[#This Row],[Product_Cost]]</f>
        <v>38775.753772849537</v>
      </c>
      <c r="U1228" s="3">
        <f>Table1[[#This Row],[Net_Sales]]-Table1[[#This Row],[Total_Cost]]</f>
        <v>28110.793772849538</v>
      </c>
      <c r="V1228" s="4">
        <f>Table1[[#This Row],[Net_Profit]]/Table1[[#This Row],[Net_Sales]]</f>
        <v>0.33952303240572307</v>
      </c>
      <c r="W1228" t="s">
        <v>72</v>
      </c>
      <c r="X1228" t="s">
        <v>1280</v>
      </c>
      <c r="Y1228">
        <v>11</v>
      </c>
      <c r="Z1228" t="str">
        <f>IF(Table1[[#This Row],[Month_No]]&lt;=6, "H1","H2")</f>
        <v>H2</v>
      </c>
    </row>
    <row r="1229" spans="1:26" x14ac:dyDescent="0.25">
      <c r="A1229" s="2">
        <v>45968</v>
      </c>
      <c r="B1229" t="s">
        <v>1312</v>
      </c>
      <c r="C1229" t="s">
        <v>107</v>
      </c>
      <c r="D1229" t="s">
        <v>100</v>
      </c>
      <c r="E1229" t="s">
        <v>75</v>
      </c>
      <c r="F1229" t="s">
        <v>30</v>
      </c>
      <c r="G1229" t="s">
        <v>58</v>
      </c>
      <c r="H1229" t="s">
        <v>59</v>
      </c>
      <c r="I1229">
        <v>57.31928557972882</v>
      </c>
      <c r="J1229" s="3">
        <v>7371.43</v>
      </c>
      <c r="K1229" s="3">
        <f>Table1[[#This Row],[Quantity]]*Table1[[#This Row],[Unit_Price]]</f>
        <v>422525.10130098043</v>
      </c>
      <c r="L1229" s="3">
        <v>17993.75</v>
      </c>
      <c r="M1229" s="3">
        <f>Table1[[#This Row],[Gross_Sales]]-Table1[[#This Row],[Discount]]</f>
        <v>404531.35130098043</v>
      </c>
      <c r="N1229" s="3">
        <v>220152.8</v>
      </c>
      <c r="O1229" s="3">
        <v>10866.86</v>
      </c>
      <c r="P1229" s="3">
        <v>20755.55</v>
      </c>
      <c r="Q1229" s="3">
        <v>11638.3</v>
      </c>
      <c r="R1229" s="3">
        <v>8766.33</v>
      </c>
      <c r="S1229" s="3">
        <f>SUM(Table1[[#This Row],[Product_Cost]:[Other_Cost]])</f>
        <v>272179.83999999997</v>
      </c>
      <c r="T1229" s="3">
        <f>Table1[[#This Row],[Net_Sales]]-Table1[[#This Row],[Product_Cost]]</f>
        <v>184378.55130098044</v>
      </c>
      <c r="U1229" s="3">
        <f>Table1[[#This Row],[Net_Sales]]-Table1[[#This Row],[Total_Cost]]</f>
        <v>132351.51130098046</v>
      </c>
      <c r="V1229" s="4">
        <f>Table1[[#This Row],[Net_Profit]]/Table1[[#This Row],[Net_Sales]]</f>
        <v>0.32717244504124465</v>
      </c>
      <c r="W1229" t="s">
        <v>33</v>
      </c>
      <c r="X1229" t="s">
        <v>1280</v>
      </c>
      <c r="Y1229">
        <v>11</v>
      </c>
      <c r="Z1229" t="str">
        <f>IF(Table1[[#This Row],[Month_No]]&lt;=6, "H1","H2")</f>
        <v>H2</v>
      </c>
    </row>
    <row r="1230" spans="1:26" x14ac:dyDescent="0.25">
      <c r="A1230" s="2">
        <v>45968</v>
      </c>
      <c r="B1230" t="s">
        <v>1313</v>
      </c>
      <c r="C1230" t="s">
        <v>70</v>
      </c>
      <c r="D1230" t="s">
        <v>44</v>
      </c>
      <c r="E1230" t="s">
        <v>45</v>
      </c>
      <c r="F1230" t="s">
        <v>52</v>
      </c>
      <c r="G1230" t="s">
        <v>31</v>
      </c>
      <c r="H1230" t="s">
        <v>41</v>
      </c>
      <c r="I1230">
        <v>36.886324369079873</v>
      </c>
      <c r="J1230" s="3">
        <v>5031.91</v>
      </c>
      <c r="K1230" s="3">
        <f>Table1[[#This Row],[Quantity]]*Table1[[#This Row],[Unit_Price]]</f>
        <v>185608.6644560167</v>
      </c>
      <c r="L1230" s="3">
        <v>8919.6299999999992</v>
      </c>
      <c r="M1230" s="3">
        <f>Table1[[#This Row],[Gross_Sales]]-Table1[[#This Row],[Discount]]</f>
        <v>176689.0344560167</v>
      </c>
      <c r="N1230" s="3">
        <v>109947.98</v>
      </c>
      <c r="O1230" s="3">
        <v>2938.51</v>
      </c>
      <c r="P1230" s="3">
        <v>10593.16</v>
      </c>
      <c r="Q1230" s="3">
        <v>5453.88</v>
      </c>
      <c r="R1230" s="3">
        <v>2208.31</v>
      </c>
      <c r="S1230" s="3">
        <f>SUM(Table1[[#This Row],[Product_Cost]:[Other_Cost]])</f>
        <v>131141.84</v>
      </c>
      <c r="T1230" s="3">
        <f>Table1[[#This Row],[Net_Sales]]-Table1[[#This Row],[Product_Cost]]</f>
        <v>66741.054456016704</v>
      </c>
      <c r="U1230" s="3">
        <f>Table1[[#This Row],[Net_Sales]]-Table1[[#This Row],[Total_Cost]]</f>
        <v>45547.194456016703</v>
      </c>
      <c r="V1230" s="4">
        <f>Table1[[#This Row],[Net_Profit]]/Table1[[#This Row],[Net_Sales]]</f>
        <v>0.25778167047120737</v>
      </c>
      <c r="W1230" t="s">
        <v>33</v>
      </c>
      <c r="X1230" t="s">
        <v>1280</v>
      </c>
      <c r="Y1230">
        <v>11</v>
      </c>
      <c r="Z1230" t="str">
        <f>IF(Table1[[#This Row],[Month_No]]&lt;=6, "H1","H2")</f>
        <v>H2</v>
      </c>
    </row>
    <row r="1231" spans="1:26" x14ac:dyDescent="0.25">
      <c r="A1231" s="2">
        <v>45968</v>
      </c>
      <c r="B1231" t="s">
        <v>1314</v>
      </c>
      <c r="C1231" t="s">
        <v>107</v>
      </c>
      <c r="D1231" t="s">
        <v>81</v>
      </c>
      <c r="E1231" t="s">
        <v>45</v>
      </c>
      <c r="F1231" t="s">
        <v>30</v>
      </c>
      <c r="G1231" t="s">
        <v>58</v>
      </c>
      <c r="H1231" t="s">
        <v>47</v>
      </c>
      <c r="I1231">
        <v>48.405946607191787</v>
      </c>
      <c r="J1231" s="3">
        <v>6937.61</v>
      </c>
      <c r="K1231" s="3">
        <f>Table1[[#This Row],[Quantity]]*Table1[[#This Row],[Unit_Price]]</f>
        <v>335821.57924151979</v>
      </c>
      <c r="L1231" s="3">
        <v>16269.29</v>
      </c>
      <c r="M1231" s="3">
        <f>Table1[[#This Row],[Gross_Sales]]-Table1[[#This Row],[Discount]]</f>
        <v>319552.28924151981</v>
      </c>
      <c r="N1231" s="3">
        <v>162900.69</v>
      </c>
      <c r="O1231" s="3">
        <v>6996.83</v>
      </c>
      <c r="P1231" s="3">
        <v>17154.71</v>
      </c>
      <c r="Q1231" s="3">
        <v>10036.76</v>
      </c>
      <c r="R1231" s="3">
        <v>5108.1400000000003</v>
      </c>
      <c r="S1231" s="3">
        <f>SUM(Table1[[#This Row],[Product_Cost]:[Other_Cost]])</f>
        <v>202197.13</v>
      </c>
      <c r="T1231" s="3">
        <f>Table1[[#This Row],[Net_Sales]]-Table1[[#This Row],[Product_Cost]]</f>
        <v>156651.59924151981</v>
      </c>
      <c r="U1231" s="3">
        <f>Table1[[#This Row],[Net_Sales]]-Table1[[#This Row],[Total_Cost]]</f>
        <v>117355.15924151981</v>
      </c>
      <c r="V1231" s="4">
        <f>Table1[[#This Row],[Net_Profit]]/Table1[[#This Row],[Net_Sales]]</f>
        <v>0.36724868884548023</v>
      </c>
      <c r="W1231" t="s">
        <v>72</v>
      </c>
      <c r="X1231" t="s">
        <v>1280</v>
      </c>
      <c r="Y1231">
        <v>11</v>
      </c>
      <c r="Z1231" t="str">
        <f>IF(Table1[[#This Row],[Month_No]]&lt;=6, "H1","H2")</f>
        <v>H2</v>
      </c>
    </row>
    <row r="1232" spans="1:26" x14ac:dyDescent="0.25">
      <c r="A1232" s="2">
        <v>45968</v>
      </c>
      <c r="B1232" t="s">
        <v>1315</v>
      </c>
      <c r="C1232" t="s">
        <v>55</v>
      </c>
      <c r="D1232" t="s">
        <v>28</v>
      </c>
      <c r="E1232" t="s">
        <v>29</v>
      </c>
      <c r="F1232" t="s">
        <v>30</v>
      </c>
      <c r="G1232" t="s">
        <v>86</v>
      </c>
      <c r="H1232" t="s">
        <v>41</v>
      </c>
      <c r="I1232">
        <v>43.378663164259187</v>
      </c>
      <c r="J1232" s="3">
        <v>1259.42</v>
      </c>
      <c r="K1232" s="3">
        <f>Table1[[#This Row],[Quantity]]*Table1[[#This Row],[Unit_Price]]</f>
        <v>54631.955962331311</v>
      </c>
      <c r="L1232" s="3">
        <v>2448.5700000000002</v>
      </c>
      <c r="M1232" s="3">
        <f>Table1[[#This Row],[Gross_Sales]]-Table1[[#This Row],[Discount]]</f>
        <v>52183.385962331311</v>
      </c>
      <c r="N1232" s="3">
        <v>28359.84</v>
      </c>
      <c r="O1232" s="3">
        <v>1270.2</v>
      </c>
      <c r="P1232" s="3">
        <v>3146.67</v>
      </c>
      <c r="Q1232" s="3">
        <v>1360.55</v>
      </c>
      <c r="R1232" s="3">
        <v>763.37</v>
      </c>
      <c r="S1232" s="3">
        <f>SUM(Table1[[#This Row],[Product_Cost]:[Other_Cost]])</f>
        <v>34900.630000000005</v>
      </c>
      <c r="T1232" s="3">
        <f>Table1[[#This Row],[Net_Sales]]-Table1[[#This Row],[Product_Cost]]</f>
        <v>23823.545962331311</v>
      </c>
      <c r="U1232" s="3">
        <f>Table1[[#This Row],[Net_Sales]]-Table1[[#This Row],[Total_Cost]]</f>
        <v>17282.755962331306</v>
      </c>
      <c r="V1232" s="4">
        <f>Table1[[#This Row],[Net_Profit]]/Table1[[#This Row],[Net_Sales]]</f>
        <v>0.33119268984973305</v>
      </c>
      <c r="W1232" t="s">
        <v>33</v>
      </c>
      <c r="X1232" t="s">
        <v>1280</v>
      </c>
      <c r="Y1232">
        <v>11</v>
      </c>
      <c r="Z1232" t="str">
        <f>IF(Table1[[#This Row],[Month_No]]&lt;=6, "H1","H2")</f>
        <v>H2</v>
      </c>
    </row>
    <row r="1233" spans="1:26" x14ac:dyDescent="0.25">
      <c r="A1233" s="2">
        <v>45969</v>
      </c>
      <c r="B1233" t="s">
        <v>1316</v>
      </c>
      <c r="C1233" t="s">
        <v>36</v>
      </c>
      <c r="D1233" t="s">
        <v>183</v>
      </c>
      <c r="E1233" t="s">
        <v>38</v>
      </c>
      <c r="F1233" t="s">
        <v>30</v>
      </c>
      <c r="G1233" t="s">
        <v>86</v>
      </c>
      <c r="H1233" t="s">
        <v>41</v>
      </c>
      <c r="I1233">
        <v>14.90281225109209</v>
      </c>
      <c r="J1233" s="3">
        <v>7441.05</v>
      </c>
      <c r="K1233" s="3">
        <f>Table1[[#This Row],[Quantity]]*Table1[[#This Row],[Unit_Price]]</f>
        <v>110892.5711009888</v>
      </c>
      <c r="L1233" s="3">
        <v>4474.0200000000004</v>
      </c>
      <c r="M1233" s="3">
        <f>Table1[[#This Row],[Gross_Sales]]-Table1[[#This Row],[Discount]]</f>
        <v>106418.5511009888</v>
      </c>
      <c r="N1233" s="3">
        <v>59544.73</v>
      </c>
      <c r="O1233" s="3">
        <v>2464.38</v>
      </c>
      <c r="P1233" s="3">
        <v>6563.01</v>
      </c>
      <c r="Q1233" s="3">
        <v>2663.79</v>
      </c>
      <c r="R1233" s="3">
        <v>1297.1300000000001</v>
      </c>
      <c r="S1233" s="3">
        <f>SUM(Table1[[#This Row],[Product_Cost]:[Other_Cost]])</f>
        <v>72533.039999999994</v>
      </c>
      <c r="T1233" s="3">
        <f>Table1[[#This Row],[Net_Sales]]-Table1[[#This Row],[Product_Cost]]</f>
        <v>46873.821100988796</v>
      </c>
      <c r="U1233" s="3">
        <f>Table1[[#This Row],[Net_Sales]]-Table1[[#This Row],[Total_Cost]]</f>
        <v>33885.511100988806</v>
      </c>
      <c r="V1233" s="4">
        <f>Table1[[#This Row],[Net_Profit]]/Table1[[#This Row],[Net_Sales]]</f>
        <v>0.31841733185064908</v>
      </c>
      <c r="W1233" t="s">
        <v>33</v>
      </c>
      <c r="X1233" t="s">
        <v>1280</v>
      </c>
      <c r="Y1233">
        <v>11</v>
      </c>
      <c r="Z1233" t="str">
        <f>IF(Table1[[#This Row],[Month_No]]&lt;=6, "H1","H2")</f>
        <v>H2</v>
      </c>
    </row>
    <row r="1234" spans="1:26" x14ac:dyDescent="0.25">
      <c r="A1234" s="2">
        <v>45969</v>
      </c>
      <c r="B1234" t="s">
        <v>1317</v>
      </c>
      <c r="C1234" t="s">
        <v>107</v>
      </c>
      <c r="D1234" t="s">
        <v>56</v>
      </c>
      <c r="E1234" t="s">
        <v>57</v>
      </c>
      <c r="F1234" t="s">
        <v>39</v>
      </c>
      <c r="G1234" t="s">
        <v>76</v>
      </c>
      <c r="H1234" t="s">
        <v>59</v>
      </c>
      <c r="I1234">
        <v>32.127162810341822</v>
      </c>
      <c r="J1234" s="3">
        <v>3316.56</v>
      </c>
      <c r="K1234" s="3">
        <f>Table1[[#This Row],[Quantity]]*Table1[[#This Row],[Unit_Price]]</f>
        <v>106551.66309026728</v>
      </c>
      <c r="L1234" s="3">
        <v>2939.13</v>
      </c>
      <c r="M1234" s="3">
        <f>Table1[[#This Row],[Gross_Sales]]-Table1[[#This Row],[Discount]]</f>
        <v>103612.53309026727</v>
      </c>
      <c r="N1234" s="3">
        <v>53290.27</v>
      </c>
      <c r="O1234" s="3">
        <v>2783.5</v>
      </c>
      <c r="P1234" s="3">
        <v>5038.5200000000004</v>
      </c>
      <c r="Q1234" s="3">
        <v>2097.42</v>
      </c>
      <c r="R1234" s="3">
        <v>2227.1799999999998</v>
      </c>
      <c r="S1234" s="3">
        <f>SUM(Table1[[#This Row],[Product_Cost]:[Other_Cost]])</f>
        <v>65436.889999999992</v>
      </c>
      <c r="T1234" s="3">
        <f>Table1[[#This Row],[Net_Sales]]-Table1[[#This Row],[Product_Cost]]</f>
        <v>50322.263090267275</v>
      </c>
      <c r="U1234" s="3">
        <f>Table1[[#This Row],[Net_Sales]]-Table1[[#This Row],[Total_Cost]]</f>
        <v>38175.64309026728</v>
      </c>
      <c r="V1234" s="4">
        <f>Table1[[#This Row],[Net_Profit]]/Table1[[#This Row],[Net_Sales]]</f>
        <v>0.368446190356225</v>
      </c>
      <c r="W1234" t="s">
        <v>72</v>
      </c>
      <c r="X1234" t="s">
        <v>1280</v>
      </c>
      <c r="Y1234">
        <v>11</v>
      </c>
      <c r="Z1234" t="str">
        <f>IF(Table1[[#This Row],[Month_No]]&lt;=6, "H1","H2")</f>
        <v>H2</v>
      </c>
    </row>
    <row r="1235" spans="1:26" x14ac:dyDescent="0.25">
      <c r="A1235" s="2">
        <v>45969</v>
      </c>
      <c r="B1235" t="s">
        <v>1318</v>
      </c>
      <c r="C1235" t="s">
        <v>70</v>
      </c>
      <c r="D1235" t="s">
        <v>50</v>
      </c>
      <c r="E1235" t="s">
        <v>51</v>
      </c>
      <c r="F1235" t="s">
        <v>46</v>
      </c>
      <c r="G1235" t="s">
        <v>58</v>
      </c>
      <c r="H1235" t="s">
        <v>59</v>
      </c>
      <c r="I1235">
        <v>57.998123288137293</v>
      </c>
      <c r="J1235" s="3">
        <v>917.04</v>
      </c>
      <c r="K1235" s="3">
        <f>Table1[[#This Row],[Quantity]]*Table1[[#This Row],[Unit_Price]]</f>
        <v>53186.598980153423</v>
      </c>
      <c r="L1235" s="3">
        <v>1838.33</v>
      </c>
      <c r="M1235" s="3">
        <f>Table1[[#This Row],[Gross_Sales]]-Table1[[#This Row],[Discount]]</f>
        <v>51348.268980153422</v>
      </c>
      <c r="N1235" s="3">
        <v>31930.55</v>
      </c>
      <c r="O1235" s="3">
        <v>1048.51</v>
      </c>
      <c r="P1235" s="3">
        <v>2877.01</v>
      </c>
      <c r="Q1235" s="3">
        <v>1429.56</v>
      </c>
      <c r="R1235" s="3">
        <v>678.99</v>
      </c>
      <c r="S1235" s="3">
        <f>SUM(Table1[[#This Row],[Product_Cost]:[Other_Cost]])</f>
        <v>37964.619999999995</v>
      </c>
      <c r="T1235" s="3">
        <f>Table1[[#This Row],[Net_Sales]]-Table1[[#This Row],[Product_Cost]]</f>
        <v>19417.718980153422</v>
      </c>
      <c r="U1235" s="3">
        <f>Table1[[#This Row],[Net_Sales]]-Table1[[#This Row],[Total_Cost]]</f>
        <v>13383.648980153426</v>
      </c>
      <c r="V1235" s="4">
        <f>Table1[[#This Row],[Net_Profit]]/Table1[[#This Row],[Net_Sales]]</f>
        <v>0.26064459904824311</v>
      </c>
      <c r="W1235" t="s">
        <v>33</v>
      </c>
      <c r="X1235" t="s">
        <v>1280</v>
      </c>
      <c r="Y1235">
        <v>11</v>
      </c>
      <c r="Z1235" t="str">
        <f>IF(Table1[[#This Row],[Month_No]]&lt;=6, "H1","H2")</f>
        <v>H2</v>
      </c>
    </row>
    <row r="1236" spans="1:26" x14ac:dyDescent="0.25">
      <c r="A1236" s="2">
        <v>45969</v>
      </c>
      <c r="B1236" t="s">
        <v>1319</v>
      </c>
      <c r="C1236" t="s">
        <v>107</v>
      </c>
      <c r="D1236" t="s">
        <v>81</v>
      </c>
      <c r="E1236" t="s">
        <v>45</v>
      </c>
      <c r="F1236" t="s">
        <v>39</v>
      </c>
      <c r="G1236" t="s">
        <v>76</v>
      </c>
      <c r="H1236" t="s">
        <v>59</v>
      </c>
      <c r="I1236">
        <v>35.003068650028247</v>
      </c>
      <c r="J1236" s="3">
        <v>7185.86</v>
      </c>
      <c r="K1236" s="3">
        <f>Table1[[#This Row],[Quantity]]*Table1[[#This Row],[Unit_Price]]</f>
        <v>251527.15088949198</v>
      </c>
      <c r="L1236" s="3">
        <v>11291.09</v>
      </c>
      <c r="M1236" s="3">
        <f>Table1[[#This Row],[Gross_Sales]]-Table1[[#This Row],[Discount]]</f>
        <v>240236.06088949199</v>
      </c>
      <c r="N1236" s="3">
        <v>124917.65</v>
      </c>
      <c r="O1236" s="3">
        <v>7757.85</v>
      </c>
      <c r="P1236" s="3">
        <v>12728.11</v>
      </c>
      <c r="Q1236" s="3">
        <v>5047.5</v>
      </c>
      <c r="R1236" s="3">
        <v>4949.8599999999997</v>
      </c>
      <c r="S1236" s="3">
        <f>SUM(Table1[[#This Row],[Product_Cost]:[Other_Cost]])</f>
        <v>155400.96999999997</v>
      </c>
      <c r="T1236" s="3">
        <f>Table1[[#This Row],[Net_Sales]]-Table1[[#This Row],[Product_Cost]]</f>
        <v>115318.41088949199</v>
      </c>
      <c r="U1236" s="3">
        <f>Table1[[#This Row],[Net_Sales]]-Table1[[#This Row],[Total_Cost]]</f>
        <v>84835.090889492014</v>
      </c>
      <c r="V1236" s="4">
        <f>Table1[[#This Row],[Net_Profit]]/Table1[[#This Row],[Net_Sales]]</f>
        <v>0.35313220910875637</v>
      </c>
      <c r="W1236" t="s">
        <v>33</v>
      </c>
      <c r="X1236" t="s">
        <v>1280</v>
      </c>
      <c r="Y1236">
        <v>11</v>
      </c>
      <c r="Z1236" t="str">
        <f>IF(Table1[[#This Row],[Month_No]]&lt;=6, "H1","H2")</f>
        <v>H2</v>
      </c>
    </row>
    <row r="1237" spans="1:26" x14ac:dyDescent="0.25">
      <c r="A1237" s="2">
        <v>45969</v>
      </c>
      <c r="B1237" t="s">
        <v>1320</v>
      </c>
      <c r="C1237" t="s">
        <v>70</v>
      </c>
      <c r="D1237" t="s">
        <v>28</v>
      </c>
      <c r="E1237" t="s">
        <v>29</v>
      </c>
      <c r="F1237" t="s">
        <v>39</v>
      </c>
      <c r="G1237" t="s">
        <v>58</v>
      </c>
      <c r="H1237" t="s">
        <v>47</v>
      </c>
      <c r="I1237">
        <v>51.026640345645319</v>
      </c>
      <c r="J1237" s="3">
        <v>1279.93</v>
      </c>
      <c r="K1237" s="3">
        <f>Table1[[#This Row],[Quantity]]*Table1[[#This Row],[Unit_Price]]</f>
        <v>65310.527777601819</v>
      </c>
      <c r="L1237" s="3">
        <v>2584.65</v>
      </c>
      <c r="M1237" s="3">
        <f>Table1[[#This Row],[Gross_Sales]]-Table1[[#This Row],[Discount]]</f>
        <v>62725.877777601818</v>
      </c>
      <c r="N1237" s="3">
        <v>35241.120000000003</v>
      </c>
      <c r="O1237" s="3">
        <v>2127.5300000000002</v>
      </c>
      <c r="P1237" s="3">
        <v>3324.4</v>
      </c>
      <c r="Q1237" s="3">
        <v>1946.14</v>
      </c>
      <c r="R1237" s="3">
        <v>933.35</v>
      </c>
      <c r="S1237" s="3">
        <f>SUM(Table1[[#This Row],[Product_Cost]:[Other_Cost]])</f>
        <v>43572.54</v>
      </c>
      <c r="T1237" s="3">
        <f>Table1[[#This Row],[Net_Sales]]-Table1[[#This Row],[Product_Cost]]</f>
        <v>27484.757777601815</v>
      </c>
      <c r="U1237" s="3">
        <f>Table1[[#This Row],[Net_Sales]]-Table1[[#This Row],[Total_Cost]]</f>
        <v>19153.337777601817</v>
      </c>
      <c r="V1237" s="4">
        <f>Table1[[#This Row],[Net_Profit]]/Table1[[#This Row],[Net_Sales]]</f>
        <v>0.30534985649002905</v>
      </c>
      <c r="W1237" t="s">
        <v>33</v>
      </c>
      <c r="X1237" t="s">
        <v>1280</v>
      </c>
      <c r="Y1237">
        <v>11</v>
      </c>
      <c r="Z1237" t="str">
        <f>IF(Table1[[#This Row],[Month_No]]&lt;=6, "H1","H2")</f>
        <v>H2</v>
      </c>
    </row>
    <row r="1238" spans="1:26" x14ac:dyDescent="0.25">
      <c r="A1238" s="2">
        <v>45970</v>
      </c>
      <c r="B1238" t="s">
        <v>1321</v>
      </c>
      <c r="C1238" t="s">
        <v>27</v>
      </c>
      <c r="D1238" t="s">
        <v>100</v>
      </c>
      <c r="E1238" t="s">
        <v>75</v>
      </c>
      <c r="F1238" t="s">
        <v>46</v>
      </c>
      <c r="G1238" t="s">
        <v>86</v>
      </c>
      <c r="H1238" t="s">
        <v>47</v>
      </c>
      <c r="I1238">
        <v>54.321139882957837</v>
      </c>
      <c r="J1238" s="3">
        <v>7797.01</v>
      </c>
      <c r="K1238" s="3">
        <f>Table1[[#This Row],[Quantity]]*Table1[[#This Row],[Unit_Price]]</f>
        <v>423542.4708788211</v>
      </c>
      <c r="L1238" s="3">
        <v>11879.21</v>
      </c>
      <c r="M1238" s="3">
        <f>Table1[[#This Row],[Gross_Sales]]-Table1[[#This Row],[Discount]]</f>
        <v>411663.26087882108</v>
      </c>
      <c r="N1238" s="3">
        <v>226652.49</v>
      </c>
      <c r="O1238" s="3">
        <v>8951.41</v>
      </c>
      <c r="P1238" s="3">
        <v>20099.64</v>
      </c>
      <c r="Q1238" s="3">
        <v>9579.24</v>
      </c>
      <c r="R1238" s="3">
        <v>8863.4599999999991</v>
      </c>
      <c r="S1238" s="3">
        <f>SUM(Table1[[#This Row],[Product_Cost]:[Other_Cost]])</f>
        <v>274146.24</v>
      </c>
      <c r="T1238" s="3">
        <f>Table1[[#This Row],[Net_Sales]]-Table1[[#This Row],[Product_Cost]]</f>
        <v>185010.77087882109</v>
      </c>
      <c r="U1238" s="3">
        <f>Table1[[#This Row],[Net_Sales]]-Table1[[#This Row],[Total_Cost]]</f>
        <v>137517.02087882109</v>
      </c>
      <c r="V1238" s="4">
        <f>Table1[[#This Row],[Net_Profit]]/Table1[[#This Row],[Net_Sales]]</f>
        <v>0.33405220710065059</v>
      </c>
      <c r="W1238" t="s">
        <v>33</v>
      </c>
      <c r="X1238" t="s">
        <v>1280</v>
      </c>
      <c r="Y1238">
        <v>11</v>
      </c>
      <c r="Z1238" t="str">
        <f>IF(Table1[[#This Row],[Month_No]]&lt;=6, "H1","H2")</f>
        <v>H2</v>
      </c>
    </row>
    <row r="1239" spans="1:26" x14ac:dyDescent="0.25">
      <c r="A1239" s="2">
        <v>45970</v>
      </c>
      <c r="B1239" t="s">
        <v>1322</v>
      </c>
      <c r="C1239" t="s">
        <v>98</v>
      </c>
      <c r="D1239" t="s">
        <v>74</v>
      </c>
      <c r="E1239" t="s">
        <v>75</v>
      </c>
      <c r="F1239" t="s">
        <v>39</v>
      </c>
      <c r="G1239" t="s">
        <v>64</v>
      </c>
      <c r="H1239" t="s">
        <v>41</v>
      </c>
      <c r="I1239">
        <v>52.923254261438743</v>
      </c>
      <c r="J1239" s="3">
        <v>5906.9</v>
      </c>
      <c r="K1239" s="3">
        <f>Table1[[#This Row],[Quantity]]*Table1[[#This Row],[Unit_Price]]</f>
        <v>312612.37059689249</v>
      </c>
      <c r="L1239" s="3">
        <v>13644.38</v>
      </c>
      <c r="M1239" s="3">
        <f>Table1[[#This Row],[Gross_Sales]]-Table1[[#This Row],[Discount]]</f>
        <v>298967.99059689249</v>
      </c>
      <c r="N1239" s="3">
        <v>199390.09</v>
      </c>
      <c r="O1239" s="3">
        <v>9615.0499999999993</v>
      </c>
      <c r="P1239" s="3">
        <v>17437.349999999999</v>
      </c>
      <c r="Q1239" s="3">
        <v>6828.02</v>
      </c>
      <c r="R1239" s="3">
        <v>4161.96</v>
      </c>
      <c r="S1239" s="3">
        <f>SUM(Table1[[#This Row],[Product_Cost]:[Other_Cost]])</f>
        <v>237432.46999999997</v>
      </c>
      <c r="T1239" s="3">
        <f>Table1[[#This Row],[Net_Sales]]-Table1[[#This Row],[Product_Cost]]</f>
        <v>99577.90059689249</v>
      </c>
      <c r="U1239" s="3">
        <f>Table1[[#This Row],[Net_Sales]]-Table1[[#This Row],[Total_Cost]]</f>
        <v>61535.520596892515</v>
      </c>
      <c r="V1239" s="4">
        <f>Table1[[#This Row],[Net_Profit]]/Table1[[#This Row],[Net_Sales]]</f>
        <v>0.2058264514339353</v>
      </c>
      <c r="W1239" t="s">
        <v>72</v>
      </c>
      <c r="X1239" t="s">
        <v>1280</v>
      </c>
      <c r="Y1239">
        <v>11</v>
      </c>
      <c r="Z1239" t="str">
        <f>IF(Table1[[#This Row],[Month_No]]&lt;=6, "H1","H2")</f>
        <v>H2</v>
      </c>
    </row>
    <row r="1240" spans="1:26" x14ac:dyDescent="0.25">
      <c r="A1240" s="2">
        <v>45970</v>
      </c>
      <c r="B1240" t="s">
        <v>1323</v>
      </c>
      <c r="C1240" t="s">
        <v>107</v>
      </c>
      <c r="D1240" t="s">
        <v>183</v>
      </c>
      <c r="E1240" t="s">
        <v>38</v>
      </c>
      <c r="F1240" t="s">
        <v>52</v>
      </c>
      <c r="G1240" t="s">
        <v>31</v>
      </c>
      <c r="H1240" t="s">
        <v>41</v>
      </c>
      <c r="I1240">
        <v>61.388099678993846</v>
      </c>
      <c r="J1240" s="3">
        <v>7101.14</v>
      </c>
      <c r="K1240" s="3">
        <f>Table1[[#This Row],[Quantity]]*Table1[[#This Row],[Unit_Price]]</f>
        <v>435925.4901544904</v>
      </c>
      <c r="L1240" s="3">
        <v>15601.77</v>
      </c>
      <c r="M1240" s="3">
        <f>Table1[[#This Row],[Gross_Sales]]-Table1[[#This Row],[Discount]]</f>
        <v>420323.72015449038</v>
      </c>
      <c r="N1240" s="3">
        <v>213170.14</v>
      </c>
      <c r="O1240" s="3">
        <v>8078.22</v>
      </c>
      <c r="P1240" s="3">
        <v>23446.35</v>
      </c>
      <c r="Q1240" s="3">
        <v>9817.76</v>
      </c>
      <c r="R1240" s="3">
        <v>7143.14</v>
      </c>
      <c r="S1240" s="3">
        <f>SUM(Table1[[#This Row],[Product_Cost]:[Other_Cost]])</f>
        <v>261655.61000000004</v>
      </c>
      <c r="T1240" s="3">
        <f>Table1[[#This Row],[Net_Sales]]-Table1[[#This Row],[Product_Cost]]</f>
        <v>207153.58015449037</v>
      </c>
      <c r="U1240" s="3">
        <f>Table1[[#This Row],[Net_Sales]]-Table1[[#This Row],[Total_Cost]]</f>
        <v>158668.11015449034</v>
      </c>
      <c r="V1240" s="4">
        <f>Table1[[#This Row],[Net_Profit]]/Table1[[#This Row],[Net_Sales]]</f>
        <v>0.37749025940332781</v>
      </c>
      <c r="W1240" t="s">
        <v>72</v>
      </c>
      <c r="X1240" t="s">
        <v>1280</v>
      </c>
      <c r="Y1240">
        <v>11</v>
      </c>
      <c r="Z1240" t="str">
        <f>IF(Table1[[#This Row],[Month_No]]&lt;=6, "H1","H2")</f>
        <v>H2</v>
      </c>
    </row>
    <row r="1241" spans="1:26" x14ac:dyDescent="0.25">
      <c r="A1241" s="2">
        <v>45970</v>
      </c>
      <c r="B1241" t="s">
        <v>1324</v>
      </c>
      <c r="C1241" t="s">
        <v>78</v>
      </c>
      <c r="D1241" t="s">
        <v>44</v>
      </c>
      <c r="E1241" t="s">
        <v>45</v>
      </c>
      <c r="F1241" t="s">
        <v>39</v>
      </c>
      <c r="G1241" t="s">
        <v>76</v>
      </c>
      <c r="H1241" t="s">
        <v>47</v>
      </c>
      <c r="I1241">
        <v>52.372899291699547</v>
      </c>
      <c r="J1241" s="3">
        <v>4993.01</v>
      </c>
      <c r="K1241" s="3">
        <f>Table1[[#This Row],[Quantity]]*Table1[[#This Row],[Unit_Price]]</f>
        <v>261498.40989244878</v>
      </c>
      <c r="L1241" s="3">
        <v>12491.06</v>
      </c>
      <c r="M1241" s="3">
        <f>Table1[[#This Row],[Gross_Sales]]-Table1[[#This Row],[Discount]]</f>
        <v>249007.34989244878</v>
      </c>
      <c r="N1241" s="3">
        <v>155027.23000000001</v>
      </c>
      <c r="O1241" s="3">
        <v>7874.98</v>
      </c>
      <c r="P1241" s="3">
        <v>13164.3</v>
      </c>
      <c r="Q1241" s="3">
        <v>7328.65</v>
      </c>
      <c r="R1241" s="3">
        <v>4914.47</v>
      </c>
      <c r="S1241" s="3">
        <f>SUM(Table1[[#This Row],[Product_Cost]:[Other_Cost]])</f>
        <v>188309.63</v>
      </c>
      <c r="T1241" s="3">
        <f>Table1[[#This Row],[Net_Sales]]-Table1[[#This Row],[Product_Cost]]</f>
        <v>93980.119892448769</v>
      </c>
      <c r="U1241" s="3">
        <f>Table1[[#This Row],[Net_Sales]]-Table1[[#This Row],[Total_Cost]]</f>
        <v>60697.719892448775</v>
      </c>
      <c r="V1241" s="4">
        <f>Table1[[#This Row],[Net_Profit]]/Table1[[#This Row],[Net_Sales]]</f>
        <v>0.24375874816010581</v>
      </c>
      <c r="W1241" t="s">
        <v>33</v>
      </c>
      <c r="X1241" t="s">
        <v>1280</v>
      </c>
      <c r="Y1241">
        <v>11</v>
      </c>
      <c r="Z1241" t="str">
        <f>IF(Table1[[#This Row],[Month_No]]&lt;=6, "H1","H2")</f>
        <v>H2</v>
      </c>
    </row>
    <row r="1242" spans="1:26" x14ac:dyDescent="0.25">
      <c r="A1242" s="2">
        <v>45971</v>
      </c>
      <c r="B1242" t="s">
        <v>1325</v>
      </c>
      <c r="C1242" t="s">
        <v>55</v>
      </c>
      <c r="D1242" t="s">
        <v>68</v>
      </c>
      <c r="E1242" t="s">
        <v>29</v>
      </c>
      <c r="F1242" t="s">
        <v>30</v>
      </c>
      <c r="G1242" t="s">
        <v>31</v>
      </c>
      <c r="H1242" t="s">
        <v>41</v>
      </c>
      <c r="I1242">
        <v>97.091091458983172</v>
      </c>
      <c r="J1242" s="3">
        <v>412.2</v>
      </c>
      <c r="K1242" s="3">
        <f>Table1[[#This Row],[Quantity]]*Table1[[#This Row],[Unit_Price]]</f>
        <v>40020.947899392864</v>
      </c>
      <c r="L1242" s="3">
        <v>2019.55</v>
      </c>
      <c r="M1242" s="3">
        <f>Table1[[#This Row],[Gross_Sales]]-Table1[[#This Row],[Discount]]</f>
        <v>38001.397899392861</v>
      </c>
      <c r="N1242" s="3">
        <v>28670.16</v>
      </c>
      <c r="O1242" s="3">
        <v>1050.45</v>
      </c>
      <c r="P1242" s="3">
        <v>1859.74</v>
      </c>
      <c r="Q1242" s="3">
        <v>1212.8599999999999</v>
      </c>
      <c r="R1242" s="3">
        <v>647.41</v>
      </c>
      <c r="S1242" s="3">
        <f>SUM(Table1[[#This Row],[Product_Cost]:[Other_Cost]])</f>
        <v>33440.620000000003</v>
      </c>
      <c r="T1242" s="3">
        <f>Table1[[#This Row],[Net_Sales]]-Table1[[#This Row],[Product_Cost]]</f>
        <v>9331.2378993928614</v>
      </c>
      <c r="U1242" s="3">
        <f>Table1[[#This Row],[Net_Sales]]-Table1[[#This Row],[Total_Cost]]</f>
        <v>4560.7778993928587</v>
      </c>
      <c r="V1242" s="4">
        <f>Table1[[#This Row],[Net_Profit]]/Table1[[#This Row],[Net_Sales]]</f>
        <v>0.12001605602686856</v>
      </c>
      <c r="W1242" t="s">
        <v>33</v>
      </c>
      <c r="X1242" t="s">
        <v>1280</v>
      </c>
      <c r="Y1242">
        <v>11</v>
      </c>
      <c r="Z1242" t="str">
        <f>IF(Table1[[#This Row],[Month_No]]&lt;=6, "H1","H2")</f>
        <v>H2</v>
      </c>
    </row>
    <row r="1243" spans="1:26" x14ac:dyDescent="0.25">
      <c r="A1243" s="2">
        <v>45971</v>
      </c>
      <c r="B1243" t="s">
        <v>1326</v>
      </c>
      <c r="C1243" t="s">
        <v>63</v>
      </c>
      <c r="D1243" t="s">
        <v>56</v>
      </c>
      <c r="E1243" t="s">
        <v>57</v>
      </c>
      <c r="F1243" t="s">
        <v>52</v>
      </c>
      <c r="G1243" t="s">
        <v>40</v>
      </c>
      <c r="H1243" t="s">
        <v>41</v>
      </c>
      <c r="I1243">
        <v>50.249008171634998</v>
      </c>
      <c r="J1243" s="3">
        <v>3456.48</v>
      </c>
      <c r="K1243" s="3">
        <f>Table1[[#This Row],[Quantity]]*Table1[[#This Row],[Unit_Price]]</f>
        <v>173684.69176509292</v>
      </c>
      <c r="L1243" s="3">
        <v>6014.14</v>
      </c>
      <c r="M1243" s="3">
        <f>Table1[[#This Row],[Gross_Sales]]-Table1[[#This Row],[Discount]]</f>
        <v>167670.55176509291</v>
      </c>
      <c r="N1243" s="3">
        <v>88002</v>
      </c>
      <c r="O1243" s="3">
        <v>2733.9</v>
      </c>
      <c r="P1243" s="3">
        <v>8618.89</v>
      </c>
      <c r="Q1243" s="3">
        <v>4377.71</v>
      </c>
      <c r="R1243" s="3">
        <v>3022.8</v>
      </c>
      <c r="S1243" s="3">
        <f>SUM(Table1[[#This Row],[Product_Cost]:[Other_Cost]])</f>
        <v>106755.3</v>
      </c>
      <c r="T1243" s="3">
        <f>Table1[[#This Row],[Net_Sales]]-Table1[[#This Row],[Product_Cost]]</f>
        <v>79668.551765092911</v>
      </c>
      <c r="U1243" s="3">
        <f>Table1[[#This Row],[Net_Sales]]-Table1[[#This Row],[Total_Cost]]</f>
        <v>60915.251765092908</v>
      </c>
      <c r="V1243" s="4">
        <f>Table1[[#This Row],[Net_Profit]]/Table1[[#This Row],[Net_Sales]]</f>
        <v>0.36330322244323149</v>
      </c>
      <c r="W1243" t="s">
        <v>33</v>
      </c>
      <c r="X1243" t="s">
        <v>1280</v>
      </c>
      <c r="Y1243">
        <v>11</v>
      </c>
      <c r="Z1243" t="str">
        <f>IF(Table1[[#This Row],[Month_No]]&lt;=6, "H1","H2")</f>
        <v>H2</v>
      </c>
    </row>
    <row r="1244" spans="1:26" x14ac:dyDescent="0.25">
      <c r="A1244" s="2">
        <v>45971</v>
      </c>
      <c r="B1244" t="s">
        <v>1327</v>
      </c>
      <c r="C1244" t="s">
        <v>78</v>
      </c>
      <c r="D1244" t="s">
        <v>28</v>
      </c>
      <c r="E1244" t="s">
        <v>29</v>
      </c>
      <c r="F1244" t="s">
        <v>30</v>
      </c>
      <c r="G1244" t="s">
        <v>40</v>
      </c>
      <c r="H1244" t="s">
        <v>41</v>
      </c>
      <c r="I1244">
        <v>78.585818719835828</v>
      </c>
      <c r="J1244" s="3">
        <v>1303</v>
      </c>
      <c r="K1244" s="3">
        <f>Table1[[#This Row],[Quantity]]*Table1[[#This Row],[Unit_Price]]</f>
        <v>102397.32179194609</v>
      </c>
      <c r="L1244" s="3">
        <v>4336.97</v>
      </c>
      <c r="M1244" s="3">
        <f>Table1[[#This Row],[Gross_Sales]]-Table1[[#This Row],[Discount]]</f>
        <v>98060.351791946086</v>
      </c>
      <c r="N1244" s="3">
        <v>51652.36</v>
      </c>
      <c r="O1244" s="3">
        <v>2523.39</v>
      </c>
      <c r="P1244" s="3">
        <v>5227.0200000000004</v>
      </c>
      <c r="Q1244" s="3">
        <v>2129.06</v>
      </c>
      <c r="R1244" s="3">
        <v>2124.6</v>
      </c>
      <c r="S1244" s="3">
        <f>SUM(Table1[[#This Row],[Product_Cost]:[Other_Cost]])</f>
        <v>63656.43</v>
      </c>
      <c r="T1244" s="3">
        <f>Table1[[#This Row],[Net_Sales]]-Table1[[#This Row],[Product_Cost]]</f>
        <v>46407.991791946086</v>
      </c>
      <c r="U1244" s="3">
        <f>Table1[[#This Row],[Net_Sales]]-Table1[[#This Row],[Total_Cost]]</f>
        <v>34403.921791946086</v>
      </c>
      <c r="V1244" s="4">
        <f>Table1[[#This Row],[Net_Profit]]/Table1[[#This Row],[Net_Sales]]</f>
        <v>0.35084436434554739</v>
      </c>
      <c r="W1244" t="s">
        <v>33</v>
      </c>
      <c r="X1244" t="s">
        <v>1280</v>
      </c>
      <c r="Y1244">
        <v>11</v>
      </c>
      <c r="Z1244" t="str">
        <f>IF(Table1[[#This Row],[Month_No]]&lt;=6, "H1","H2")</f>
        <v>H2</v>
      </c>
    </row>
    <row r="1245" spans="1:26" x14ac:dyDescent="0.25">
      <c r="A1245" s="2">
        <v>45971</v>
      </c>
      <c r="B1245" t="s">
        <v>1328</v>
      </c>
      <c r="C1245" t="s">
        <v>117</v>
      </c>
      <c r="D1245" t="s">
        <v>183</v>
      </c>
      <c r="E1245" t="s">
        <v>38</v>
      </c>
      <c r="F1245" t="s">
        <v>30</v>
      </c>
      <c r="G1245" t="s">
        <v>58</v>
      </c>
      <c r="H1245" t="s">
        <v>59</v>
      </c>
      <c r="I1245">
        <v>58.121767445554532</v>
      </c>
      <c r="J1245" s="3">
        <v>7437.24</v>
      </c>
      <c r="K1245" s="3">
        <f>Table1[[#This Row],[Quantity]]*Table1[[#This Row],[Unit_Price]]</f>
        <v>432265.533716776</v>
      </c>
      <c r="L1245" s="3">
        <v>11630.85</v>
      </c>
      <c r="M1245" s="3">
        <f>Table1[[#This Row],[Gross_Sales]]-Table1[[#This Row],[Discount]]</f>
        <v>420634.68371677602</v>
      </c>
      <c r="N1245" s="3">
        <v>219354.77</v>
      </c>
      <c r="O1245" s="3">
        <v>10835</v>
      </c>
      <c r="P1245" s="3">
        <v>21872.86</v>
      </c>
      <c r="Q1245" s="3">
        <v>8128.27</v>
      </c>
      <c r="R1245" s="3">
        <v>6226.79</v>
      </c>
      <c r="S1245" s="3">
        <f>SUM(Table1[[#This Row],[Product_Cost]:[Other_Cost]])</f>
        <v>266417.69</v>
      </c>
      <c r="T1245" s="3">
        <f>Table1[[#This Row],[Net_Sales]]-Table1[[#This Row],[Product_Cost]]</f>
        <v>201279.91371677603</v>
      </c>
      <c r="U1245" s="3">
        <f>Table1[[#This Row],[Net_Sales]]-Table1[[#This Row],[Total_Cost]]</f>
        <v>154216.99371677602</v>
      </c>
      <c r="V1245" s="4">
        <f>Table1[[#This Row],[Net_Profit]]/Table1[[#This Row],[Net_Sales]]</f>
        <v>0.36662928590219207</v>
      </c>
      <c r="W1245" t="s">
        <v>33</v>
      </c>
      <c r="X1245" t="s">
        <v>1280</v>
      </c>
      <c r="Y1245">
        <v>11</v>
      </c>
      <c r="Z1245" t="str">
        <f>IF(Table1[[#This Row],[Month_No]]&lt;=6, "H1","H2")</f>
        <v>H2</v>
      </c>
    </row>
    <row r="1246" spans="1:26" x14ac:dyDescent="0.25">
      <c r="A1246" s="2">
        <v>45971</v>
      </c>
      <c r="B1246" t="s">
        <v>1329</v>
      </c>
      <c r="C1246" t="s">
        <v>36</v>
      </c>
      <c r="D1246" t="s">
        <v>28</v>
      </c>
      <c r="E1246" t="s">
        <v>29</v>
      </c>
      <c r="F1246" t="s">
        <v>52</v>
      </c>
      <c r="G1246" t="s">
        <v>40</v>
      </c>
      <c r="H1246" t="s">
        <v>32</v>
      </c>
      <c r="I1246">
        <v>95.127115646256726</v>
      </c>
      <c r="J1246" s="3">
        <v>1284.47</v>
      </c>
      <c r="K1246" s="3">
        <f>Table1[[#This Row],[Quantity]]*Table1[[#This Row],[Unit_Price]]</f>
        <v>122187.92623414738</v>
      </c>
      <c r="L1246" s="3">
        <v>7098.23</v>
      </c>
      <c r="M1246" s="3">
        <f>Table1[[#This Row],[Gross_Sales]]-Table1[[#This Row],[Discount]]</f>
        <v>115089.69623414738</v>
      </c>
      <c r="N1246" s="3">
        <v>58011.54</v>
      </c>
      <c r="O1246" s="3">
        <v>2207.46</v>
      </c>
      <c r="P1246" s="3">
        <v>7120.5</v>
      </c>
      <c r="Q1246" s="3">
        <v>2826.61</v>
      </c>
      <c r="R1246" s="3">
        <v>1541.85</v>
      </c>
      <c r="S1246" s="3">
        <f>SUM(Table1[[#This Row],[Product_Cost]:[Other_Cost]])</f>
        <v>71707.960000000006</v>
      </c>
      <c r="T1246" s="3">
        <f>Table1[[#This Row],[Net_Sales]]-Table1[[#This Row],[Product_Cost]]</f>
        <v>57078.156234147384</v>
      </c>
      <c r="U1246" s="3">
        <f>Table1[[#This Row],[Net_Sales]]-Table1[[#This Row],[Total_Cost]]</f>
        <v>43381.736234147378</v>
      </c>
      <c r="V1246" s="4">
        <f>Table1[[#This Row],[Net_Profit]]/Table1[[#This Row],[Net_Sales]]</f>
        <v>0.3769384893143537</v>
      </c>
      <c r="W1246" t="s">
        <v>33</v>
      </c>
      <c r="X1246" t="s">
        <v>1280</v>
      </c>
      <c r="Y1246">
        <v>11</v>
      </c>
      <c r="Z1246" t="str">
        <f>IF(Table1[[#This Row],[Month_No]]&lt;=6, "H1","H2")</f>
        <v>H2</v>
      </c>
    </row>
    <row r="1247" spans="1:26" x14ac:dyDescent="0.25">
      <c r="A1247" s="2">
        <v>45972</v>
      </c>
      <c r="B1247" t="s">
        <v>1330</v>
      </c>
      <c r="C1247" t="s">
        <v>83</v>
      </c>
      <c r="D1247" t="s">
        <v>74</v>
      </c>
      <c r="E1247" t="s">
        <v>75</v>
      </c>
      <c r="F1247" t="s">
        <v>52</v>
      </c>
      <c r="G1247" t="s">
        <v>71</v>
      </c>
      <c r="H1247" t="s">
        <v>41</v>
      </c>
      <c r="I1247">
        <v>65.701375406691511</v>
      </c>
      <c r="J1247" s="3">
        <v>6177.58</v>
      </c>
      <c r="K1247" s="3">
        <f>Table1[[#This Row],[Quantity]]*Table1[[#This Row],[Unit_Price]]</f>
        <v>405875.50268486934</v>
      </c>
      <c r="L1247" s="3">
        <v>16582.759999999998</v>
      </c>
      <c r="M1247" s="3">
        <f>Table1[[#This Row],[Gross_Sales]]-Table1[[#This Row],[Discount]]</f>
        <v>389292.74268486933</v>
      </c>
      <c r="N1247" s="3">
        <v>264837.63</v>
      </c>
      <c r="O1247" s="3">
        <v>6150.75</v>
      </c>
      <c r="P1247" s="3">
        <v>22897.7</v>
      </c>
      <c r="Q1247" s="3">
        <v>10853.59</v>
      </c>
      <c r="R1247" s="3">
        <v>5763.28</v>
      </c>
      <c r="S1247" s="3">
        <f>SUM(Table1[[#This Row],[Product_Cost]:[Other_Cost]])</f>
        <v>310502.95000000007</v>
      </c>
      <c r="T1247" s="3">
        <f>Table1[[#This Row],[Net_Sales]]-Table1[[#This Row],[Product_Cost]]</f>
        <v>124455.11268486932</v>
      </c>
      <c r="U1247" s="3">
        <f>Table1[[#This Row],[Net_Sales]]-Table1[[#This Row],[Total_Cost]]</f>
        <v>78789.792684869259</v>
      </c>
      <c r="V1247" s="4">
        <f>Table1[[#This Row],[Net_Profit]]/Table1[[#This Row],[Net_Sales]]</f>
        <v>0.20239214361272909</v>
      </c>
      <c r="W1247" t="s">
        <v>33</v>
      </c>
      <c r="X1247" t="s">
        <v>1280</v>
      </c>
      <c r="Y1247">
        <v>11</v>
      </c>
      <c r="Z1247" t="str">
        <f>IF(Table1[[#This Row],[Month_No]]&lt;=6, "H1","H2")</f>
        <v>H2</v>
      </c>
    </row>
    <row r="1248" spans="1:26" x14ac:dyDescent="0.25">
      <c r="A1248" s="2">
        <v>45972</v>
      </c>
      <c r="B1248" t="s">
        <v>1331</v>
      </c>
      <c r="C1248" t="s">
        <v>107</v>
      </c>
      <c r="D1248" t="s">
        <v>183</v>
      </c>
      <c r="E1248" t="s">
        <v>38</v>
      </c>
      <c r="F1248" t="s">
        <v>52</v>
      </c>
      <c r="G1248" t="s">
        <v>71</v>
      </c>
      <c r="H1248" t="s">
        <v>41</v>
      </c>
      <c r="I1248">
        <v>40.327939951243621</v>
      </c>
      <c r="J1248" s="3">
        <v>7358.67</v>
      </c>
      <c r="K1248" s="3">
        <f>Table1[[#This Row],[Quantity]]*Table1[[#This Row],[Unit_Price]]</f>
        <v>296760.00188101787</v>
      </c>
      <c r="L1248" s="3">
        <v>14125.04</v>
      </c>
      <c r="M1248" s="3">
        <f>Table1[[#This Row],[Gross_Sales]]-Table1[[#This Row],[Discount]]</f>
        <v>282634.96188101789</v>
      </c>
      <c r="N1248" s="3">
        <v>145566.41</v>
      </c>
      <c r="O1248" s="3">
        <v>5686.59</v>
      </c>
      <c r="P1248" s="3">
        <v>17329.62</v>
      </c>
      <c r="Q1248" s="3">
        <v>6172.83</v>
      </c>
      <c r="R1248" s="3">
        <v>4513.92</v>
      </c>
      <c r="S1248" s="3">
        <f>SUM(Table1[[#This Row],[Product_Cost]:[Other_Cost]])</f>
        <v>179269.37</v>
      </c>
      <c r="T1248" s="3">
        <f>Table1[[#This Row],[Net_Sales]]-Table1[[#This Row],[Product_Cost]]</f>
        <v>137068.55188101789</v>
      </c>
      <c r="U1248" s="3">
        <f>Table1[[#This Row],[Net_Sales]]-Table1[[#This Row],[Total_Cost]]</f>
        <v>103365.5918810179</v>
      </c>
      <c r="V1248" s="4">
        <f>Table1[[#This Row],[Net_Profit]]/Table1[[#This Row],[Net_Sales]]</f>
        <v>0.36572118039852469</v>
      </c>
      <c r="W1248" t="s">
        <v>33</v>
      </c>
      <c r="X1248" t="s">
        <v>1280</v>
      </c>
      <c r="Y1248">
        <v>11</v>
      </c>
      <c r="Z1248" t="str">
        <f>IF(Table1[[#This Row],[Month_No]]&lt;=6, "H1","H2")</f>
        <v>H2</v>
      </c>
    </row>
    <row r="1249" spans="1:26" x14ac:dyDescent="0.25">
      <c r="A1249" s="2">
        <v>45972</v>
      </c>
      <c r="B1249" t="s">
        <v>1332</v>
      </c>
      <c r="C1249" t="s">
        <v>36</v>
      </c>
      <c r="D1249" t="s">
        <v>74</v>
      </c>
      <c r="E1249" t="s">
        <v>75</v>
      </c>
      <c r="F1249" t="s">
        <v>52</v>
      </c>
      <c r="G1249" t="s">
        <v>40</v>
      </c>
      <c r="H1249" t="s">
        <v>59</v>
      </c>
      <c r="I1249">
        <v>56.373743252181399</v>
      </c>
      <c r="J1249" s="3">
        <v>6092.45</v>
      </c>
      <c r="K1249" s="3">
        <f>Table1[[#This Row],[Quantity]]*Table1[[#This Row],[Unit_Price]]</f>
        <v>343454.21207675256</v>
      </c>
      <c r="L1249" s="3">
        <v>7847.2</v>
      </c>
      <c r="M1249" s="3">
        <f>Table1[[#This Row],[Gross_Sales]]-Table1[[#This Row],[Discount]]</f>
        <v>335607.01207675255</v>
      </c>
      <c r="N1249" s="3">
        <v>235633.87</v>
      </c>
      <c r="O1249" s="3">
        <v>5930.41</v>
      </c>
      <c r="P1249" s="3">
        <v>19034</v>
      </c>
      <c r="Q1249" s="3">
        <v>10097.129999999999</v>
      </c>
      <c r="R1249" s="3">
        <v>5581.74</v>
      </c>
      <c r="S1249" s="3">
        <f>SUM(Table1[[#This Row],[Product_Cost]:[Other_Cost]])</f>
        <v>276277.14999999997</v>
      </c>
      <c r="T1249" s="3">
        <f>Table1[[#This Row],[Net_Sales]]-Table1[[#This Row],[Product_Cost]]</f>
        <v>99973.142076752556</v>
      </c>
      <c r="U1249" s="3">
        <f>Table1[[#This Row],[Net_Sales]]-Table1[[#This Row],[Total_Cost]]</f>
        <v>59329.862076752586</v>
      </c>
      <c r="V1249" s="4">
        <f>Table1[[#This Row],[Net_Profit]]/Table1[[#This Row],[Net_Sales]]</f>
        <v>0.17678373794878868</v>
      </c>
      <c r="W1249" t="s">
        <v>72</v>
      </c>
      <c r="X1249" t="s">
        <v>1280</v>
      </c>
      <c r="Y1249">
        <v>11</v>
      </c>
      <c r="Z1249" t="str">
        <f>IF(Table1[[#This Row],[Month_No]]&lt;=6, "H1","H2")</f>
        <v>H2</v>
      </c>
    </row>
    <row r="1250" spans="1:26" x14ac:dyDescent="0.25">
      <c r="A1250" s="2">
        <v>45972</v>
      </c>
      <c r="B1250" t="s">
        <v>1333</v>
      </c>
      <c r="C1250" t="s">
        <v>117</v>
      </c>
      <c r="D1250" t="s">
        <v>50</v>
      </c>
      <c r="E1250" t="s">
        <v>51</v>
      </c>
      <c r="F1250" t="s">
        <v>30</v>
      </c>
      <c r="G1250" t="s">
        <v>71</v>
      </c>
      <c r="H1250" t="s">
        <v>41</v>
      </c>
      <c r="I1250">
        <v>57.037376085255339</v>
      </c>
      <c r="J1250" s="3">
        <v>905.98</v>
      </c>
      <c r="K1250" s="3">
        <f>Table1[[#This Row],[Quantity]]*Table1[[#This Row],[Unit_Price]]</f>
        <v>51674.721985719632</v>
      </c>
      <c r="L1250" s="3">
        <v>2141.37</v>
      </c>
      <c r="M1250" s="3">
        <f>Table1[[#This Row],[Gross_Sales]]-Table1[[#This Row],[Discount]]</f>
        <v>49533.35198571963</v>
      </c>
      <c r="N1250" s="3">
        <v>29393.13</v>
      </c>
      <c r="O1250" s="3">
        <v>1402.33</v>
      </c>
      <c r="P1250" s="3">
        <v>2802.11</v>
      </c>
      <c r="Q1250" s="3">
        <v>1375.63</v>
      </c>
      <c r="R1250" s="3">
        <v>853.46</v>
      </c>
      <c r="S1250" s="3">
        <f>SUM(Table1[[#This Row],[Product_Cost]:[Other_Cost]])</f>
        <v>35826.659999999996</v>
      </c>
      <c r="T1250" s="3">
        <f>Table1[[#This Row],[Net_Sales]]-Table1[[#This Row],[Product_Cost]]</f>
        <v>20140.221985719629</v>
      </c>
      <c r="U1250" s="3">
        <f>Table1[[#This Row],[Net_Sales]]-Table1[[#This Row],[Total_Cost]]</f>
        <v>13706.691985719634</v>
      </c>
      <c r="V1250" s="4">
        <f>Table1[[#This Row],[Net_Profit]]/Table1[[#This Row],[Net_Sales]]</f>
        <v>0.27671642310157502</v>
      </c>
      <c r="W1250" t="s">
        <v>33</v>
      </c>
      <c r="X1250" t="s">
        <v>1280</v>
      </c>
      <c r="Y1250">
        <v>11</v>
      </c>
      <c r="Z1250" t="str">
        <f>IF(Table1[[#This Row],[Month_No]]&lt;=6, "H1","H2")</f>
        <v>H2</v>
      </c>
    </row>
    <row r="1251" spans="1:26" x14ac:dyDescent="0.25">
      <c r="A1251" s="2">
        <v>45973</v>
      </c>
      <c r="B1251" t="s">
        <v>1334</v>
      </c>
      <c r="C1251" t="s">
        <v>63</v>
      </c>
      <c r="D1251" t="s">
        <v>183</v>
      </c>
      <c r="E1251" t="s">
        <v>38</v>
      </c>
      <c r="F1251" t="s">
        <v>39</v>
      </c>
      <c r="G1251" t="s">
        <v>31</v>
      </c>
      <c r="H1251" t="s">
        <v>41</v>
      </c>
      <c r="I1251">
        <v>59.173577669574321</v>
      </c>
      <c r="J1251" s="3">
        <v>7285.37</v>
      </c>
      <c r="K1251" s="3">
        <f>Table1[[#This Row],[Quantity]]*Table1[[#This Row],[Unit_Price]]</f>
        <v>431101.40754658665</v>
      </c>
      <c r="L1251" s="3">
        <v>23432.78</v>
      </c>
      <c r="M1251" s="3">
        <f>Table1[[#This Row],[Gross_Sales]]-Table1[[#This Row],[Discount]]</f>
        <v>407668.62754658668</v>
      </c>
      <c r="N1251" s="3">
        <v>221185.19</v>
      </c>
      <c r="O1251" s="3">
        <v>13482.41</v>
      </c>
      <c r="P1251" s="3">
        <v>24602.14</v>
      </c>
      <c r="Q1251" s="3">
        <v>7447.19</v>
      </c>
      <c r="R1251" s="3">
        <v>8747.2800000000007</v>
      </c>
      <c r="S1251" s="3">
        <f>SUM(Table1[[#This Row],[Product_Cost]:[Other_Cost]])</f>
        <v>275464.21000000002</v>
      </c>
      <c r="T1251" s="3">
        <f>Table1[[#This Row],[Net_Sales]]-Table1[[#This Row],[Product_Cost]]</f>
        <v>186483.43754658668</v>
      </c>
      <c r="U1251" s="3">
        <f>Table1[[#This Row],[Net_Sales]]-Table1[[#This Row],[Total_Cost]]</f>
        <v>132204.41754658666</v>
      </c>
      <c r="V1251" s="4">
        <f>Table1[[#This Row],[Net_Profit]]/Table1[[#This Row],[Net_Sales]]</f>
        <v>0.32429382251514777</v>
      </c>
      <c r="W1251" t="s">
        <v>33</v>
      </c>
      <c r="X1251" t="s">
        <v>1280</v>
      </c>
      <c r="Y1251">
        <v>11</v>
      </c>
      <c r="Z1251" t="str">
        <f>IF(Table1[[#This Row],[Month_No]]&lt;=6, "H1","H2")</f>
        <v>H2</v>
      </c>
    </row>
    <row r="1252" spans="1:26" x14ac:dyDescent="0.25">
      <c r="A1252" s="2">
        <v>45973</v>
      </c>
      <c r="B1252" t="s">
        <v>1335</v>
      </c>
      <c r="C1252" t="s">
        <v>83</v>
      </c>
      <c r="D1252" t="s">
        <v>74</v>
      </c>
      <c r="E1252" t="s">
        <v>75</v>
      </c>
      <c r="F1252" t="s">
        <v>52</v>
      </c>
      <c r="G1252" t="s">
        <v>86</v>
      </c>
      <c r="H1252" t="s">
        <v>47</v>
      </c>
      <c r="I1252">
        <v>76.690338359311951</v>
      </c>
      <c r="J1252" s="3">
        <v>6238.34</v>
      </c>
      <c r="K1252" s="3">
        <f>Table1[[#This Row],[Quantity]]*Table1[[#This Row],[Unit_Price]]</f>
        <v>478420.40540043014</v>
      </c>
      <c r="L1252" s="3">
        <v>19836.16</v>
      </c>
      <c r="M1252" s="3">
        <f>Table1[[#This Row],[Gross_Sales]]-Table1[[#This Row],[Discount]]</f>
        <v>458584.24540043017</v>
      </c>
      <c r="N1252" s="3">
        <v>310856.17</v>
      </c>
      <c r="O1252" s="3">
        <v>8001.79</v>
      </c>
      <c r="P1252" s="3">
        <v>22609.75</v>
      </c>
      <c r="Q1252" s="3">
        <v>12814.87</v>
      </c>
      <c r="R1252" s="3">
        <v>7900.25</v>
      </c>
      <c r="S1252" s="3">
        <f>SUM(Table1[[#This Row],[Product_Cost]:[Other_Cost]])</f>
        <v>362182.82999999996</v>
      </c>
      <c r="T1252" s="3">
        <f>Table1[[#This Row],[Net_Sales]]-Table1[[#This Row],[Product_Cost]]</f>
        <v>147728.07540043019</v>
      </c>
      <c r="U1252" s="3">
        <f>Table1[[#This Row],[Net_Sales]]-Table1[[#This Row],[Total_Cost]]</f>
        <v>96401.415400430211</v>
      </c>
      <c r="V1252" s="4">
        <f>Table1[[#This Row],[Net_Profit]]/Table1[[#This Row],[Net_Sales]]</f>
        <v>0.2102152796728847</v>
      </c>
      <c r="W1252" t="s">
        <v>33</v>
      </c>
      <c r="X1252" t="s">
        <v>1280</v>
      </c>
      <c r="Y1252">
        <v>11</v>
      </c>
      <c r="Z1252" t="str">
        <f>IF(Table1[[#This Row],[Month_No]]&lt;=6, "H1","H2")</f>
        <v>H2</v>
      </c>
    </row>
    <row r="1253" spans="1:26" x14ac:dyDescent="0.25">
      <c r="A1253" s="2">
        <v>45973</v>
      </c>
      <c r="B1253" t="s">
        <v>1336</v>
      </c>
      <c r="C1253" t="s">
        <v>83</v>
      </c>
      <c r="D1253" t="s">
        <v>100</v>
      </c>
      <c r="E1253" t="s">
        <v>75</v>
      </c>
      <c r="F1253" t="s">
        <v>39</v>
      </c>
      <c r="G1253" t="s">
        <v>31</v>
      </c>
      <c r="H1253" t="s">
        <v>41</v>
      </c>
      <c r="I1253">
        <v>57.290396453017422</v>
      </c>
      <c r="J1253" s="3">
        <v>7817.27</v>
      </c>
      <c r="K1253" s="3">
        <f>Table1[[#This Row],[Quantity]]*Table1[[#This Row],[Unit_Price]]</f>
        <v>447854.49748027953</v>
      </c>
      <c r="L1253" s="3">
        <v>18006.04</v>
      </c>
      <c r="M1253" s="3">
        <f>Table1[[#This Row],[Gross_Sales]]-Table1[[#This Row],[Discount]]</f>
        <v>429848.45748027955</v>
      </c>
      <c r="N1253" s="3">
        <v>243141.92</v>
      </c>
      <c r="O1253" s="3">
        <v>13753.25</v>
      </c>
      <c r="P1253" s="3">
        <v>21014.82</v>
      </c>
      <c r="Q1253" s="3">
        <v>8902.6299999999992</v>
      </c>
      <c r="R1253" s="3">
        <v>7666.99</v>
      </c>
      <c r="S1253" s="3">
        <f>SUM(Table1[[#This Row],[Product_Cost]:[Other_Cost]])</f>
        <v>294479.61</v>
      </c>
      <c r="T1253" s="3">
        <f>Table1[[#This Row],[Net_Sales]]-Table1[[#This Row],[Product_Cost]]</f>
        <v>186706.53748027954</v>
      </c>
      <c r="U1253" s="3">
        <f>Table1[[#This Row],[Net_Sales]]-Table1[[#This Row],[Total_Cost]]</f>
        <v>135368.84748027957</v>
      </c>
      <c r="V1253" s="4">
        <f>Table1[[#This Row],[Net_Profit]]/Table1[[#This Row],[Net_Sales]]</f>
        <v>0.3149222595186118</v>
      </c>
      <c r="W1253" t="s">
        <v>72</v>
      </c>
      <c r="X1253" t="s">
        <v>1280</v>
      </c>
      <c r="Y1253">
        <v>11</v>
      </c>
      <c r="Z1253" t="str">
        <f>IF(Table1[[#This Row],[Month_No]]&lt;=6, "H1","H2")</f>
        <v>H2</v>
      </c>
    </row>
    <row r="1254" spans="1:26" x14ac:dyDescent="0.25">
      <c r="A1254" s="2">
        <v>45973</v>
      </c>
      <c r="B1254" t="s">
        <v>1337</v>
      </c>
      <c r="C1254" t="s">
        <v>63</v>
      </c>
      <c r="D1254" t="s">
        <v>81</v>
      </c>
      <c r="E1254" t="s">
        <v>45</v>
      </c>
      <c r="F1254" t="s">
        <v>52</v>
      </c>
      <c r="G1254" t="s">
        <v>86</v>
      </c>
      <c r="H1254" t="s">
        <v>47</v>
      </c>
      <c r="I1254">
        <v>64.03173662135319</v>
      </c>
      <c r="J1254" s="3">
        <v>6985.65</v>
      </c>
      <c r="K1254" s="3">
        <f>Table1[[#This Row],[Quantity]]*Table1[[#This Row],[Unit_Price]]</f>
        <v>447303.3009289559</v>
      </c>
      <c r="L1254" s="3">
        <v>17290.46</v>
      </c>
      <c r="M1254" s="3">
        <f>Table1[[#This Row],[Gross_Sales]]-Table1[[#This Row],[Discount]]</f>
        <v>430012.84092895588</v>
      </c>
      <c r="N1254" s="3">
        <v>220139.8</v>
      </c>
      <c r="O1254" s="3">
        <v>7998.83</v>
      </c>
      <c r="P1254" s="3">
        <v>24190.78</v>
      </c>
      <c r="Q1254" s="3">
        <v>11014.88</v>
      </c>
      <c r="R1254" s="3">
        <v>5408.75</v>
      </c>
      <c r="S1254" s="3">
        <f>SUM(Table1[[#This Row],[Product_Cost]:[Other_Cost]])</f>
        <v>268753.03999999998</v>
      </c>
      <c r="T1254" s="3">
        <f>Table1[[#This Row],[Net_Sales]]-Table1[[#This Row],[Product_Cost]]</f>
        <v>209873.04092895589</v>
      </c>
      <c r="U1254" s="3">
        <f>Table1[[#This Row],[Net_Sales]]-Table1[[#This Row],[Total_Cost]]</f>
        <v>161259.8009289559</v>
      </c>
      <c r="V1254" s="4">
        <f>Table1[[#This Row],[Net_Profit]]/Table1[[#This Row],[Net_Sales]]</f>
        <v>0.37501159402725431</v>
      </c>
      <c r="W1254" t="s">
        <v>33</v>
      </c>
      <c r="X1254" t="s">
        <v>1280</v>
      </c>
      <c r="Y1254">
        <v>11</v>
      </c>
      <c r="Z1254" t="str">
        <f>IF(Table1[[#This Row],[Month_No]]&lt;=6, "H1","H2")</f>
        <v>H2</v>
      </c>
    </row>
    <row r="1255" spans="1:26" x14ac:dyDescent="0.25">
      <c r="A1255" s="2">
        <v>45974</v>
      </c>
      <c r="B1255" t="s">
        <v>1338</v>
      </c>
      <c r="C1255" t="s">
        <v>27</v>
      </c>
      <c r="D1255" t="s">
        <v>74</v>
      </c>
      <c r="E1255" t="s">
        <v>75</v>
      </c>
      <c r="F1255" t="s">
        <v>52</v>
      </c>
      <c r="G1255" t="s">
        <v>58</v>
      </c>
      <c r="H1255" t="s">
        <v>47</v>
      </c>
      <c r="I1255">
        <v>36.682885649681559</v>
      </c>
      <c r="J1255" s="3">
        <v>6184.55</v>
      </c>
      <c r="K1255" s="3">
        <f>Table1[[#This Row],[Quantity]]*Table1[[#This Row],[Unit_Price]]</f>
        <v>226867.14044473809</v>
      </c>
      <c r="L1255" s="3">
        <v>5880.7</v>
      </c>
      <c r="M1255" s="3">
        <f>Table1[[#This Row],[Gross_Sales]]-Table1[[#This Row],[Discount]]</f>
        <v>220986.44044473808</v>
      </c>
      <c r="N1255" s="3">
        <v>145430.92000000001</v>
      </c>
      <c r="O1255" s="3">
        <v>3477.03</v>
      </c>
      <c r="P1255" s="3">
        <v>10886.32</v>
      </c>
      <c r="Q1255" s="3">
        <v>6383.13</v>
      </c>
      <c r="R1255" s="3">
        <v>3616.71</v>
      </c>
      <c r="S1255" s="3">
        <f>SUM(Table1[[#This Row],[Product_Cost]:[Other_Cost]])</f>
        <v>169794.11000000002</v>
      </c>
      <c r="T1255" s="3">
        <f>Table1[[#This Row],[Net_Sales]]-Table1[[#This Row],[Product_Cost]]</f>
        <v>75555.520444738067</v>
      </c>
      <c r="U1255" s="3">
        <f>Table1[[#This Row],[Net_Sales]]-Table1[[#This Row],[Total_Cost]]</f>
        <v>51192.330444738065</v>
      </c>
      <c r="V1255" s="4">
        <f>Table1[[#This Row],[Net_Profit]]/Table1[[#This Row],[Net_Sales]]</f>
        <v>0.23165371749376493</v>
      </c>
      <c r="W1255" t="s">
        <v>33</v>
      </c>
      <c r="X1255" t="s">
        <v>1280</v>
      </c>
      <c r="Y1255">
        <v>11</v>
      </c>
      <c r="Z1255" t="str">
        <f>IF(Table1[[#This Row],[Month_No]]&lt;=6, "H1","H2")</f>
        <v>H2</v>
      </c>
    </row>
    <row r="1256" spans="1:26" x14ac:dyDescent="0.25">
      <c r="A1256" s="2">
        <v>45974</v>
      </c>
      <c r="B1256" t="s">
        <v>1339</v>
      </c>
      <c r="C1256" t="s">
        <v>70</v>
      </c>
      <c r="D1256" t="s">
        <v>74</v>
      </c>
      <c r="E1256" t="s">
        <v>75</v>
      </c>
      <c r="F1256" t="s">
        <v>52</v>
      </c>
      <c r="G1256" t="s">
        <v>86</v>
      </c>
      <c r="H1256" t="s">
        <v>47</v>
      </c>
      <c r="I1256">
        <v>75.003241102272312</v>
      </c>
      <c r="J1256" s="3">
        <v>6022.35</v>
      </c>
      <c r="K1256" s="3">
        <f>Table1[[#This Row],[Quantity]]*Table1[[#This Row],[Unit_Price]]</f>
        <v>451695.76905226969</v>
      </c>
      <c r="L1256" s="3">
        <v>14749.83</v>
      </c>
      <c r="M1256" s="3">
        <f>Table1[[#This Row],[Gross_Sales]]-Table1[[#This Row],[Discount]]</f>
        <v>436945.93905226968</v>
      </c>
      <c r="N1256" s="3">
        <v>312783.57</v>
      </c>
      <c r="O1256" s="3">
        <v>7112.33</v>
      </c>
      <c r="P1256" s="3">
        <v>26215.34</v>
      </c>
      <c r="Q1256" s="3">
        <v>12933.47</v>
      </c>
      <c r="R1256" s="3">
        <v>5818.36</v>
      </c>
      <c r="S1256" s="3">
        <f>SUM(Table1[[#This Row],[Product_Cost]:[Other_Cost]])</f>
        <v>364863.07</v>
      </c>
      <c r="T1256" s="3">
        <f>Table1[[#This Row],[Net_Sales]]-Table1[[#This Row],[Product_Cost]]</f>
        <v>124162.36905226967</v>
      </c>
      <c r="U1256" s="3">
        <f>Table1[[#This Row],[Net_Sales]]-Table1[[#This Row],[Total_Cost]]</f>
        <v>72082.869052269671</v>
      </c>
      <c r="V1256" s="4">
        <f>Table1[[#This Row],[Net_Profit]]/Table1[[#This Row],[Net_Sales]]</f>
        <v>0.16496976538703281</v>
      </c>
      <c r="W1256" t="s">
        <v>72</v>
      </c>
      <c r="X1256" t="s">
        <v>1280</v>
      </c>
      <c r="Y1256">
        <v>11</v>
      </c>
      <c r="Z1256" t="str">
        <f>IF(Table1[[#This Row],[Month_No]]&lt;=6, "H1","H2")</f>
        <v>H2</v>
      </c>
    </row>
    <row r="1257" spans="1:26" x14ac:dyDescent="0.25">
      <c r="A1257" s="2">
        <v>45974</v>
      </c>
      <c r="B1257" t="s">
        <v>1340</v>
      </c>
      <c r="C1257" t="s">
        <v>55</v>
      </c>
      <c r="D1257" t="s">
        <v>37</v>
      </c>
      <c r="E1257" t="s">
        <v>38</v>
      </c>
      <c r="F1257" t="s">
        <v>46</v>
      </c>
      <c r="G1257" t="s">
        <v>64</v>
      </c>
      <c r="H1257" t="s">
        <v>41</v>
      </c>
      <c r="I1257">
        <v>35.011689733442203</v>
      </c>
      <c r="J1257" s="3">
        <v>4699.4399999999996</v>
      </c>
      <c r="K1257" s="3">
        <f>Table1[[#This Row],[Quantity]]*Table1[[#This Row],[Unit_Price]]</f>
        <v>164535.33520092763</v>
      </c>
      <c r="L1257" s="3">
        <v>8366.2999999999993</v>
      </c>
      <c r="M1257" s="3">
        <f>Table1[[#This Row],[Gross_Sales]]-Table1[[#This Row],[Discount]]</f>
        <v>156169.03520092764</v>
      </c>
      <c r="N1257" s="3">
        <v>104927.96</v>
      </c>
      <c r="O1257" s="3">
        <v>2883.73</v>
      </c>
      <c r="P1257" s="3">
        <v>9579.82</v>
      </c>
      <c r="Q1257" s="3">
        <v>3100.17</v>
      </c>
      <c r="R1257" s="3">
        <v>2909.2</v>
      </c>
      <c r="S1257" s="3">
        <f>SUM(Table1[[#This Row],[Product_Cost]:[Other_Cost]])</f>
        <v>123400.88</v>
      </c>
      <c r="T1257" s="3">
        <f>Table1[[#This Row],[Net_Sales]]-Table1[[#This Row],[Product_Cost]]</f>
        <v>51241.075200927633</v>
      </c>
      <c r="U1257" s="3">
        <f>Table1[[#This Row],[Net_Sales]]-Table1[[#This Row],[Total_Cost]]</f>
        <v>32768.155200927635</v>
      </c>
      <c r="V1257" s="4">
        <f>Table1[[#This Row],[Net_Profit]]/Table1[[#This Row],[Net_Sales]]</f>
        <v>0.20982491925347435</v>
      </c>
      <c r="W1257" t="s">
        <v>33</v>
      </c>
      <c r="X1257" t="s">
        <v>1280</v>
      </c>
      <c r="Y1257">
        <v>11</v>
      </c>
      <c r="Z1257" t="str">
        <f>IF(Table1[[#This Row],[Month_No]]&lt;=6, "H1","H2")</f>
        <v>H2</v>
      </c>
    </row>
    <row r="1258" spans="1:26" x14ac:dyDescent="0.25">
      <c r="A1258" s="2">
        <v>45974</v>
      </c>
      <c r="B1258" t="s">
        <v>1341</v>
      </c>
      <c r="C1258" t="s">
        <v>107</v>
      </c>
      <c r="D1258" t="s">
        <v>44</v>
      </c>
      <c r="E1258" t="s">
        <v>45</v>
      </c>
      <c r="F1258" t="s">
        <v>30</v>
      </c>
      <c r="G1258" t="s">
        <v>76</v>
      </c>
      <c r="H1258" t="s">
        <v>32</v>
      </c>
      <c r="I1258">
        <v>71.395644706463131</v>
      </c>
      <c r="J1258" s="3">
        <v>4679.46</v>
      </c>
      <c r="K1258" s="3">
        <f>Table1[[#This Row],[Quantity]]*Table1[[#This Row],[Unit_Price]]</f>
        <v>334093.06357810594</v>
      </c>
      <c r="L1258" s="3">
        <v>19942.79</v>
      </c>
      <c r="M1258" s="3">
        <f>Table1[[#This Row],[Gross_Sales]]-Table1[[#This Row],[Discount]]</f>
        <v>314150.27357810596</v>
      </c>
      <c r="N1258" s="3">
        <v>201274.42</v>
      </c>
      <c r="O1258" s="3">
        <v>7641.07</v>
      </c>
      <c r="P1258" s="3">
        <v>16379.79</v>
      </c>
      <c r="Q1258" s="3">
        <v>7483.57</v>
      </c>
      <c r="R1258" s="3">
        <v>5143.26</v>
      </c>
      <c r="S1258" s="3">
        <f>SUM(Table1[[#This Row],[Product_Cost]:[Other_Cost]])</f>
        <v>237922.11000000004</v>
      </c>
      <c r="T1258" s="3">
        <f>Table1[[#This Row],[Net_Sales]]-Table1[[#This Row],[Product_Cost]]</f>
        <v>112875.85357810595</v>
      </c>
      <c r="U1258" s="3">
        <f>Table1[[#This Row],[Net_Sales]]-Table1[[#This Row],[Total_Cost]]</f>
        <v>76228.163578105916</v>
      </c>
      <c r="V1258" s="4">
        <f>Table1[[#This Row],[Net_Profit]]/Table1[[#This Row],[Net_Sales]]</f>
        <v>0.24264872575116062</v>
      </c>
      <c r="W1258" t="s">
        <v>33</v>
      </c>
      <c r="X1258" t="s">
        <v>1280</v>
      </c>
      <c r="Y1258">
        <v>11</v>
      </c>
      <c r="Z1258" t="str">
        <f>IF(Table1[[#This Row],[Month_No]]&lt;=6, "H1","H2")</f>
        <v>H2</v>
      </c>
    </row>
    <row r="1259" spans="1:26" x14ac:dyDescent="0.25">
      <c r="A1259" s="2">
        <v>45975</v>
      </c>
      <c r="B1259" t="s">
        <v>1342</v>
      </c>
      <c r="C1259" t="s">
        <v>70</v>
      </c>
      <c r="D1259" t="s">
        <v>81</v>
      </c>
      <c r="E1259" t="s">
        <v>45</v>
      </c>
      <c r="F1259" t="s">
        <v>52</v>
      </c>
      <c r="G1259" t="s">
        <v>31</v>
      </c>
      <c r="H1259" t="s">
        <v>47</v>
      </c>
      <c r="I1259">
        <v>78.704576660779026</v>
      </c>
      <c r="J1259" s="3">
        <v>7148.05</v>
      </c>
      <c r="K1259" s="3">
        <f>Table1[[#This Row],[Quantity]]*Table1[[#This Row],[Unit_Price]]</f>
        <v>562584.24920008157</v>
      </c>
      <c r="L1259" s="3">
        <v>28079.34</v>
      </c>
      <c r="M1259" s="3">
        <f>Table1[[#This Row],[Gross_Sales]]-Table1[[#This Row],[Discount]]</f>
        <v>534504.9092000816</v>
      </c>
      <c r="N1259" s="3">
        <v>268412.84999999998</v>
      </c>
      <c r="O1259" s="3">
        <v>10881.47</v>
      </c>
      <c r="P1259" s="3">
        <v>30709.03</v>
      </c>
      <c r="Q1259" s="3">
        <v>12581.75</v>
      </c>
      <c r="R1259" s="3">
        <v>11059.8</v>
      </c>
      <c r="S1259" s="3">
        <f>SUM(Table1[[#This Row],[Product_Cost]:[Other_Cost]])</f>
        <v>333644.89999999997</v>
      </c>
      <c r="T1259" s="3">
        <f>Table1[[#This Row],[Net_Sales]]-Table1[[#This Row],[Product_Cost]]</f>
        <v>266092.05920008163</v>
      </c>
      <c r="U1259" s="3">
        <f>Table1[[#This Row],[Net_Sales]]-Table1[[#This Row],[Total_Cost]]</f>
        <v>200860.00920008164</v>
      </c>
      <c r="V1259" s="4">
        <f>Table1[[#This Row],[Net_Profit]]/Table1[[#This Row],[Net_Sales]]</f>
        <v>0.37578702410924641</v>
      </c>
      <c r="W1259" t="s">
        <v>33</v>
      </c>
      <c r="X1259" t="s">
        <v>1280</v>
      </c>
      <c r="Y1259">
        <v>11</v>
      </c>
      <c r="Z1259" t="str">
        <f>IF(Table1[[#This Row],[Month_No]]&lt;=6, "H1","H2")</f>
        <v>H2</v>
      </c>
    </row>
    <row r="1260" spans="1:26" x14ac:dyDescent="0.25">
      <c r="A1260" s="2">
        <v>45976</v>
      </c>
      <c r="B1260" t="s">
        <v>1343</v>
      </c>
      <c r="C1260" t="s">
        <v>78</v>
      </c>
      <c r="D1260" t="s">
        <v>28</v>
      </c>
      <c r="E1260" t="s">
        <v>29</v>
      </c>
      <c r="F1260" t="s">
        <v>30</v>
      </c>
      <c r="G1260" t="s">
        <v>40</v>
      </c>
      <c r="H1260" t="s">
        <v>41</v>
      </c>
      <c r="I1260">
        <v>93.413834578358603</v>
      </c>
      <c r="J1260" s="3">
        <v>1309.33</v>
      </c>
      <c r="K1260" s="3">
        <f>Table1[[#This Row],[Quantity]]*Table1[[#This Row],[Unit_Price]]</f>
        <v>122309.53602848227</v>
      </c>
      <c r="L1260" s="3">
        <v>4195.45</v>
      </c>
      <c r="M1260" s="3">
        <f>Table1[[#This Row],[Gross_Sales]]-Table1[[#This Row],[Discount]]</f>
        <v>118114.08602848227</v>
      </c>
      <c r="N1260" s="3">
        <v>63215.38</v>
      </c>
      <c r="O1260" s="3">
        <v>3108.74</v>
      </c>
      <c r="P1260" s="3">
        <v>6884.85</v>
      </c>
      <c r="Q1260" s="3">
        <v>2893.7</v>
      </c>
      <c r="R1260" s="3">
        <v>2182.73</v>
      </c>
      <c r="S1260" s="3">
        <f>SUM(Table1[[#This Row],[Product_Cost]:[Other_Cost]])</f>
        <v>78285.399999999994</v>
      </c>
      <c r="T1260" s="3">
        <f>Table1[[#This Row],[Net_Sales]]-Table1[[#This Row],[Product_Cost]]</f>
        <v>54898.706028482273</v>
      </c>
      <c r="U1260" s="3">
        <f>Table1[[#This Row],[Net_Sales]]-Table1[[#This Row],[Total_Cost]]</f>
        <v>39828.686028482276</v>
      </c>
      <c r="V1260" s="4">
        <f>Table1[[#This Row],[Net_Profit]]/Table1[[#This Row],[Net_Sales]]</f>
        <v>0.3372052171565541</v>
      </c>
      <c r="W1260" t="s">
        <v>33</v>
      </c>
      <c r="X1260" t="s">
        <v>1280</v>
      </c>
      <c r="Y1260">
        <v>11</v>
      </c>
      <c r="Z1260" t="str">
        <f>IF(Table1[[#This Row],[Month_No]]&lt;=6, "H1","H2")</f>
        <v>H2</v>
      </c>
    </row>
    <row r="1261" spans="1:26" x14ac:dyDescent="0.25">
      <c r="A1261" s="2">
        <v>45976</v>
      </c>
      <c r="B1261" t="s">
        <v>1344</v>
      </c>
      <c r="C1261" t="s">
        <v>78</v>
      </c>
      <c r="D1261" t="s">
        <v>37</v>
      </c>
      <c r="E1261" t="s">
        <v>38</v>
      </c>
      <c r="F1261" t="s">
        <v>30</v>
      </c>
      <c r="G1261" t="s">
        <v>71</v>
      </c>
      <c r="H1261" t="s">
        <v>41</v>
      </c>
      <c r="I1261">
        <v>95.125122729945829</v>
      </c>
      <c r="J1261" s="3">
        <v>4972.5600000000004</v>
      </c>
      <c r="K1261" s="3">
        <f>Table1[[#This Row],[Quantity]]*Table1[[#This Row],[Unit_Price]]</f>
        <v>473015.3802820195</v>
      </c>
      <c r="L1261" s="3">
        <v>17392.29</v>
      </c>
      <c r="M1261" s="3">
        <f>Table1[[#This Row],[Gross_Sales]]-Table1[[#This Row],[Discount]]</f>
        <v>455623.09028201952</v>
      </c>
      <c r="N1261" s="3">
        <v>302252.65000000002</v>
      </c>
      <c r="O1261" s="3">
        <v>10736.74</v>
      </c>
      <c r="P1261" s="3">
        <v>22231.47</v>
      </c>
      <c r="Q1261" s="3">
        <v>12699.85</v>
      </c>
      <c r="R1261" s="3">
        <v>9096.5400000000009</v>
      </c>
      <c r="S1261" s="3">
        <f>SUM(Table1[[#This Row],[Product_Cost]:[Other_Cost]])</f>
        <v>357017.24999999994</v>
      </c>
      <c r="T1261" s="3">
        <f>Table1[[#This Row],[Net_Sales]]-Table1[[#This Row],[Product_Cost]]</f>
        <v>153370.4402820195</v>
      </c>
      <c r="U1261" s="3">
        <f>Table1[[#This Row],[Net_Sales]]-Table1[[#This Row],[Total_Cost]]</f>
        <v>98605.840282019577</v>
      </c>
      <c r="V1261" s="4">
        <f>Table1[[#This Row],[Net_Profit]]/Table1[[#This Row],[Net_Sales]]</f>
        <v>0.21641976094974683</v>
      </c>
      <c r="W1261" t="s">
        <v>72</v>
      </c>
      <c r="X1261" t="s">
        <v>1280</v>
      </c>
      <c r="Y1261">
        <v>11</v>
      </c>
      <c r="Z1261" t="str">
        <f>IF(Table1[[#This Row],[Month_No]]&lt;=6, "H1","H2")</f>
        <v>H2</v>
      </c>
    </row>
    <row r="1262" spans="1:26" x14ac:dyDescent="0.25">
      <c r="A1262" s="2">
        <v>45977</v>
      </c>
      <c r="B1262" t="s">
        <v>1345</v>
      </c>
      <c r="C1262" t="s">
        <v>27</v>
      </c>
      <c r="D1262" t="s">
        <v>100</v>
      </c>
      <c r="E1262" t="s">
        <v>75</v>
      </c>
      <c r="F1262" t="s">
        <v>52</v>
      </c>
      <c r="G1262" t="s">
        <v>76</v>
      </c>
      <c r="H1262" t="s">
        <v>47</v>
      </c>
      <c r="I1262">
        <v>31.87721093726655</v>
      </c>
      <c r="J1262" s="3">
        <v>7700.27</v>
      </c>
      <c r="K1262" s="3">
        <f>Table1[[#This Row],[Quantity]]*Table1[[#This Row],[Unit_Price]]</f>
        <v>245463.13106390552</v>
      </c>
      <c r="L1262" s="3">
        <v>9589.0499999999993</v>
      </c>
      <c r="M1262" s="3">
        <f>Table1[[#This Row],[Gross_Sales]]-Table1[[#This Row],[Discount]]</f>
        <v>235874.08106390553</v>
      </c>
      <c r="N1262" s="3">
        <v>129412.22</v>
      </c>
      <c r="O1262" s="3">
        <v>4955.59</v>
      </c>
      <c r="P1262" s="3">
        <v>13255.1</v>
      </c>
      <c r="Q1262" s="3">
        <v>5480.43</v>
      </c>
      <c r="R1262" s="3">
        <v>3993.36</v>
      </c>
      <c r="S1262" s="3">
        <f>SUM(Table1[[#This Row],[Product_Cost]:[Other_Cost]])</f>
        <v>157096.69999999998</v>
      </c>
      <c r="T1262" s="3">
        <f>Table1[[#This Row],[Net_Sales]]-Table1[[#This Row],[Product_Cost]]</f>
        <v>106461.86106390553</v>
      </c>
      <c r="U1262" s="3">
        <f>Table1[[#This Row],[Net_Sales]]-Table1[[#This Row],[Total_Cost]]</f>
        <v>78777.381063905545</v>
      </c>
      <c r="V1262" s="4">
        <f>Table1[[#This Row],[Net_Profit]]/Table1[[#This Row],[Net_Sales]]</f>
        <v>0.33398065912363784</v>
      </c>
      <c r="W1262" t="s">
        <v>33</v>
      </c>
      <c r="X1262" t="s">
        <v>1280</v>
      </c>
      <c r="Y1262">
        <v>11</v>
      </c>
      <c r="Z1262" t="str">
        <f>IF(Table1[[#This Row],[Month_No]]&lt;=6, "H1","H2")</f>
        <v>H2</v>
      </c>
    </row>
    <row r="1263" spans="1:26" x14ac:dyDescent="0.25">
      <c r="A1263" s="2">
        <v>45977</v>
      </c>
      <c r="B1263" t="s">
        <v>1346</v>
      </c>
      <c r="C1263" t="s">
        <v>49</v>
      </c>
      <c r="D1263" t="s">
        <v>50</v>
      </c>
      <c r="E1263" t="s">
        <v>51</v>
      </c>
      <c r="F1263" t="s">
        <v>46</v>
      </c>
      <c r="G1263" t="s">
        <v>76</v>
      </c>
      <c r="H1263" t="s">
        <v>41</v>
      </c>
      <c r="I1263">
        <v>87.048086297452556</v>
      </c>
      <c r="J1263" s="3">
        <v>946.19</v>
      </c>
      <c r="K1263" s="3">
        <f>Table1[[#This Row],[Quantity]]*Table1[[#This Row],[Unit_Price]]</f>
        <v>82364.028773786646</v>
      </c>
      <c r="L1263" s="3">
        <v>3751.66</v>
      </c>
      <c r="M1263" s="3">
        <f>Table1[[#This Row],[Gross_Sales]]-Table1[[#This Row],[Discount]]</f>
        <v>78612.368773786642</v>
      </c>
      <c r="N1263" s="3">
        <v>48407.7</v>
      </c>
      <c r="O1263" s="3">
        <v>1982.03</v>
      </c>
      <c r="P1263" s="3">
        <v>4786.2700000000004</v>
      </c>
      <c r="Q1263" s="3">
        <v>1846.97</v>
      </c>
      <c r="R1263" s="3">
        <v>1173.58</v>
      </c>
      <c r="S1263" s="3">
        <f>SUM(Table1[[#This Row],[Product_Cost]:[Other_Cost]])</f>
        <v>58196.55</v>
      </c>
      <c r="T1263" s="3">
        <f>Table1[[#This Row],[Net_Sales]]-Table1[[#This Row],[Product_Cost]]</f>
        <v>30204.668773786645</v>
      </c>
      <c r="U1263" s="3">
        <f>Table1[[#This Row],[Net_Sales]]-Table1[[#This Row],[Total_Cost]]</f>
        <v>20415.818773786639</v>
      </c>
      <c r="V1263" s="4">
        <f>Table1[[#This Row],[Net_Profit]]/Table1[[#This Row],[Net_Sales]]</f>
        <v>0.25970237371341381</v>
      </c>
      <c r="W1263" t="s">
        <v>72</v>
      </c>
      <c r="X1263" t="s">
        <v>1280</v>
      </c>
      <c r="Y1263">
        <v>11</v>
      </c>
      <c r="Z1263" t="str">
        <f>IF(Table1[[#This Row],[Month_No]]&lt;=6, "H1","H2")</f>
        <v>H2</v>
      </c>
    </row>
    <row r="1264" spans="1:26" x14ac:dyDescent="0.25">
      <c r="A1264" s="2">
        <v>45978</v>
      </c>
      <c r="B1264" t="s">
        <v>1347</v>
      </c>
      <c r="C1264" t="s">
        <v>117</v>
      </c>
      <c r="D1264" t="s">
        <v>100</v>
      </c>
      <c r="E1264" t="s">
        <v>75</v>
      </c>
      <c r="F1264" t="s">
        <v>30</v>
      </c>
      <c r="G1264" t="s">
        <v>61</v>
      </c>
      <c r="H1264" t="s">
        <v>41</v>
      </c>
      <c r="I1264">
        <v>42.639662827862907</v>
      </c>
      <c r="J1264" s="3">
        <v>7228.06</v>
      </c>
      <c r="K1264" s="3">
        <f>Table1[[#This Row],[Quantity]]*Table1[[#This Row],[Unit_Price]]</f>
        <v>308202.04129956278</v>
      </c>
      <c r="L1264" s="3">
        <v>14702.36</v>
      </c>
      <c r="M1264" s="3">
        <f>Table1[[#This Row],[Gross_Sales]]-Table1[[#This Row],[Discount]]</f>
        <v>293499.6812995628</v>
      </c>
      <c r="N1264" s="3">
        <v>158420.57999999999</v>
      </c>
      <c r="O1264" s="3">
        <v>6657.78</v>
      </c>
      <c r="P1264" s="3">
        <v>16702.75</v>
      </c>
      <c r="Q1264" s="3">
        <v>5324.91</v>
      </c>
      <c r="R1264" s="3">
        <v>4524.29</v>
      </c>
      <c r="S1264" s="3">
        <f>SUM(Table1[[#This Row],[Product_Cost]:[Other_Cost]])</f>
        <v>191630.31</v>
      </c>
      <c r="T1264" s="3">
        <f>Table1[[#This Row],[Net_Sales]]-Table1[[#This Row],[Product_Cost]]</f>
        <v>135079.10129956281</v>
      </c>
      <c r="U1264" s="3">
        <f>Table1[[#This Row],[Net_Sales]]-Table1[[#This Row],[Total_Cost]]</f>
        <v>101869.3712995628</v>
      </c>
      <c r="V1264" s="4">
        <f>Table1[[#This Row],[Net_Profit]]/Table1[[#This Row],[Net_Sales]]</f>
        <v>0.34708511725976632</v>
      </c>
      <c r="W1264" t="s">
        <v>33</v>
      </c>
      <c r="X1264" t="s">
        <v>1280</v>
      </c>
      <c r="Y1264">
        <v>11</v>
      </c>
      <c r="Z1264" t="str">
        <f>IF(Table1[[#This Row],[Month_No]]&lt;=6, "H1","H2")</f>
        <v>H2</v>
      </c>
    </row>
    <row r="1265" spans="1:26" x14ac:dyDescent="0.25">
      <c r="A1265" s="2">
        <v>45978</v>
      </c>
      <c r="B1265" t="s">
        <v>1348</v>
      </c>
      <c r="C1265" t="s">
        <v>70</v>
      </c>
      <c r="D1265" t="s">
        <v>183</v>
      </c>
      <c r="E1265" t="s">
        <v>38</v>
      </c>
      <c r="F1265" t="s">
        <v>52</v>
      </c>
      <c r="G1265" t="s">
        <v>71</v>
      </c>
      <c r="H1265" t="s">
        <v>32</v>
      </c>
      <c r="I1265">
        <v>72.969507957259836</v>
      </c>
      <c r="J1265" s="3">
        <v>7227.07</v>
      </c>
      <c r="K1265" s="3">
        <f>Table1[[#This Row],[Quantity]]*Table1[[#This Row],[Unit_Price]]</f>
        <v>527355.74187267385</v>
      </c>
      <c r="L1265" s="3">
        <v>25734.560000000001</v>
      </c>
      <c r="M1265" s="3">
        <f>Table1[[#This Row],[Gross_Sales]]-Table1[[#This Row],[Discount]]</f>
        <v>501621.18187267386</v>
      </c>
      <c r="N1265" s="3">
        <v>249003.8</v>
      </c>
      <c r="O1265" s="3">
        <v>9436.67</v>
      </c>
      <c r="P1265" s="3">
        <v>30864.76</v>
      </c>
      <c r="Q1265" s="3">
        <v>15610.26</v>
      </c>
      <c r="R1265" s="3">
        <v>6515.74</v>
      </c>
      <c r="S1265" s="3">
        <f>SUM(Table1[[#This Row],[Product_Cost]:[Other_Cost]])</f>
        <v>311431.23</v>
      </c>
      <c r="T1265" s="3">
        <f>Table1[[#This Row],[Net_Sales]]-Table1[[#This Row],[Product_Cost]]</f>
        <v>252617.38187267387</v>
      </c>
      <c r="U1265" s="3">
        <f>Table1[[#This Row],[Net_Sales]]-Table1[[#This Row],[Total_Cost]]</f>
        <v>190189.95187267388</v>
      </c>
      <c r="V1265" s="4">
        <f>Table1[[#This Row],[Net_Profit]]/Table1[[#This Row],[Net_Sales]]</f>
        <v>0.3791505597164947</v>
      </c>
      <c r="W1265" t="s">
        <v>72</v>
      </c>
      <c r="X1265" t="s">
        <v>1280</v>
      </c>
      <c r="Y1265">
        <v>11</v>
      </c>
      <c r="Z1265" t="str">
        <f>IF(Table1[[#This Row],[Month_No]]&lt;=6, "H1","H2")</f>
        <v>H2</v>
      </c>
    </row>
    <row r="1266" spans="1:26" x14ac:dyDescent="0.25">
      <c r="A1266" s="2">
        <v>45979</v>
      </c>
      <c r="B1266" t="s">
        <v>1349</v>
      </c>
      <c r="C1266" t="s">
        <v>36</v>
      </c>
      <c r="D1266" t="s">
        <v>37</v>
      </c>
      <c r="E1266" t="s">
        <v>38</v>
      </c>
      <c r="F1266" t="s">
        <v>52</v>
      </c>
      <c r="G1266" t="s">
        <v>64</v>
      </c>
      <c r="H1266" t="s">
        <v>41</v>
      </c>
      <c r="I1266">
        <v>64.732653325446805</v>
      </c>
      <c r="J1266" s="3">
        <v>4671.5600000000004</v>
      </c>
      <c r="K1266" s="3">
        <f>Table1[[#This Row],[Quantity]]*Table1[[#This Row],[Unit_Price]]</f>
        <v>302402.47396902432</v>
      </c>
      <c r="L1266" s="3">
        <v>14656.63</v>
      </c>
      <c r="M1266" s="3">
        <f>Table1[[#This Row],[Gross_Sales]]-Table1[[#This Row],[Discount]]</f>
        <v>287745.84396902431</v>
      </c>
      <c r="N1266" s="3">
        <v>190171.94</v>
      </c>
      <c r="O1266" s="3">
        <v>4275.03</v>
      </c>
      <c r="P1266" s="3">
        <v>15181.33</v>
      </c>
      <c r="Q1266" s="3">
        <v>5546.01</v>
      </c>
      <c r="R1266" s="3">
        <v>4539.57</v>
      </c>
      <c r="S1266" s="3">
        <f>SUM(Table1[[#This Row],[Product_Cost]:[Other_Cost]])</f>
        <v>219713.88</v>
      </c>
      <c r="T1266" s="3">
        <f>Table1[[#This Row],[Net_Sales]]-Table1[[#This Row],[Product_Cost]]</f>
        <v>97573.903969024308</v>
      </c>
      <c r="U1266" s="3">
        <f>Table1[[#This Row],[Net_Sales]]-Table1[[#This Row],[Total_Cost]]</f>
        <v>68031.963969024306</v>
      </c>
      <c r="V1266" s="4">
        <f>Table1[[#This Row],[Net_Profit]]/Table1[[#This Row],[Net_Sales]]</f>
        <v>0.23643074398790589</v>
      </c>
      <c r="W1266" t="s">
        <v>72</v>
      </c>
      <c r="X1266" t="s">
        <v>1280</v>
      </c>
      <c r="Y1266">
        <v>11</v>
      </c>
      <c r="Z1266" t="str">
        <f>IF(Table1[[#This Row],[Month_No]]&lt;=6, "H1","H2")</f>
        <v>H2</v>
      </c>
    </row>
    <row r="1267" spans="1:26" x14ac:dyDescent="0.25">
      <c r="A1267" s="2">
        <v>45979</v>
      </c>
      <c r="B1267" t="s">
        <v>1350</v>
      </c>
      <c r="C1267" t="s">
        <v>83</v>
      </c>
      <c r="D1267" t="s">
        <v>37</v>
      </c>
      <c r="E1267" t="s">
        <v>38</v>
      </c>
      <c r="F1267" t="s">
        <v>52</v>
      </c>
      <c r="G1267" t="s">
        <v>31</v>
      </c>
      <c r="H1267" t="s">
        <v>47</v>
      </c>
      <c r="I1267">
        <v>79.67414657875733</v>
      </c>
      <c r="J1267" s="3">
        <v>4802.1099999999997</v>
      </c>
      <c r="K1267" s="3">
        <f>Table1[[#This Row],[Quantity]]*Table1[[#This Row],[Unit_Price]]</f>
        <v>382604.01602731633</v>
      </c>
      <c r="L1267" s="3">
        <v>18322.37</v>
      </c>
      <c r="M1267" s="3">
        <f>Table1[[#This Row],[Gross_Sales]]-Table1[[#This Row],[Discount]]</f>
        <v>364281.64602731634</v>
      </c>
      <c r="N1267" s="3">
        <v>237769.36</v>
      </c>
      <c r="O1267" s="3">
        <v>6331.97</v>
      </c>
      <c r="P1267" s="3">
        <v>21425.78</v>
      </c>
      <c r="Q1267" s="3">
        <v>9898.3700000000008</v>
      </c>
      <c r="R1267" s="3">
        <v>7271.92</v>
      </c>
      <c r="S1267" s="3">
        <f>SUM(Table1[[#This Row],[Product_Cost]:[Other_Cost]])</f>
        <v>282697.39999999997</v>
      </c>
      <c r="T1267" s="3">
        <f>Table1[[#This Row],[Net_Sales]]-Table1[[#This Row],[Product_Cost]]</f>
        <v>126512.28602731635</v>
      </c>
      <c r="U1267" s="3">
        <f>Table1[[#This Row],[Net_Sales]]-Table1[[#This Row],[Total_Cost]]</f>
        <v>81584.246027316374</v>
      </c>
      <c r="V1267" s="4">
        <f>Table1[[#This Row],[Net_Profit]]/Table1[[#This Row],[Net_Sales]]</f>
        <v>0.22395925492551066</v>
      </c>
      <c r="W1267" t="s">
        <v>33</v>
      </c>
      <c r="X1267" t="s">
        <v>1280</v>
      </c>
      <c r="Y1267">
        <v>11</v>
      </c>
      <c r="Z1267" t="str">
        <f>IF(Table1[[#This Row],[Month_No]]&lt;=6, "H1","H2")</f>
        <v>H2</v>
      </c>
    </row>
    <row r="1268" spans="1:26" x14ac:dyDescent="0.25">
      <c r="A1268" s="2">
        <v>45979</v>
      </c>
      <c r="B1268" t="s">
        <v>1351</v>
      </c>
      <c r="C1268" t="s">
        <v>63</v>
      </c>
      <c r="D1268" t="s">
        <v>85</v>
      </c>
      <c r="E1268" t="s">
        <v>57</v>
      </c>
      <c r="F1268" t="s">
        <v>39</v>
      </c>
      <c r="G1268" t="s">
        <v>86</v>
      </c>
      <c r="H1268" t="s">
        <v>59</v>
      </c>
      <c r="I1268">
        <v>79.737891755383572</v>
      </c>
      <c r="J1268" s="3">
        <v>2165.5300000000002</v>
      </c>
      <c r="K1268" s="3">
        <f>Table1[[#This Row],[Quantity]]*Table1[[#This Row],[Unit_Price]]</f>
        <v>172674.79673303579</v>
      </c>
      <c r="L1268" s="3">
        <v>7058.46</v>
      </c>
      <c r="M1268" s="3">
        <f>Table1[[#This Row],[Gross_Sales]]-Table1[[#This Row],[Discount]]</f>
        <v>165616.3367330358</v>
      </c>
      <c r="N1268" s="3">
        <v>105170.98</v>
      </c>
      <c r="O1268" s="3">
        <v>4061.79</v>
      </c>
      <c r="P1268" s="3">
        <v>8349.17</v>
      </c>
      <c r="Q1268" s="3">
        <v>4320.03</v>
      </c>
      <c r="R1268" s="3">
        <v>2590.4899999999998</v>
      </c>
      <c r="S1268" s="3">
        <f>SUM(Table1[[#This Row],[Product_Cost]:[Other_Cost]])</f>
        <v>124492.45999999999</v>
      </c>
      <c r="T1268" s="3">
        <f>Table1[[#This Row],[Net_Sales]]-Table1[[#This Row],[Product_Cost]]</f>
        <v>60445.356733035806</v>
      </c>
      <c r="U1268" s="3">
        <f>Table1[[#This Row],[Net_Sales]]-Table1[[#This Row],[Total_Cost]]</f>
        <v>41123.87673303581</v>
      </c>
      <c r="V1268" s="4">
        <f>Table1[[#This Row],[Net_Profit]]/Table1[[#This Row],[Net_Sales]]</f>
        <v>0.24830809293484846</v>
      </c>
      <c r="W1268" t="s">
        <v>33</v>
      </c>
      <c r="X1268" t="s">
        <v>1280</v>
      </c>
      <c r="Y1268">
        <v>11</v>
      </c>
      <c r="Z1268" t="str">
        <f>IF(Table1[[#This Row],[Month_No]]&lt;=6, "H1","H2")</f>
        <v>H2</v>
      </c>
    </row>
    <row r="1269" spans="1:26" x14ac:dyDescent="0.25">
      <c r="A1269" s="2">
        <v>45979</v>
      </c>
      <c r="B1269" t="s">
        <v>1352</v>
      </c>
      <c r="C1269" t="s">
        <v>36</v>
      </c>
      <c r="D1269" t="s">
        <v>74</v>
      </c>
      <c r="E1269" t="s">
        <v>75</v>
      </c>
      <c r="F1269" t="s">
        <v>39</v>
      </c>
      <c r="G1269" t="s">
        <v>31</v>
      </c>
      <c r="H1269" t="s">
        <v>32</v>
      </c>
      <c r="I1269">
        <v>66.256244150889017</v>
      </c>
      <c r="J1269" s="3">
        <v>5818.33</v>
      </c>
      <c r="K1269" s="3">
        <f>Table1[[#This Row],[Quantity]]*Table1[[#This Row],[Unit_Price]]</f>
        <v>385500.69303044211</v>
      </c>
      <c r="L1269" s="3">
        <v>21144.65</v>
      </c>
      <c r="M1269" s="3">
        <f>Table1[[#This Row],[Gross_Sales]]-Table1[[#This Row],[Discount]]</f>
        <v>364356.04303044209</v>
      </c>
      <c r="N1269" s="3">
        <v>263117.7</v>
      </c>
      <c r="O1269" s="3">
        <v>13030.21</v>
      </c>
      <c r="P1269" s="3">
        <v>18480.47</v>
      </c>
      <c r="Q1269" s="3">
        <v>7308.53</v>
      </c>
      <c r="R1269" s="3">
        <v>5239.1499999999996</v>
      </c>
      <c r="S1269" s="3">
        <f>SUM(Table1[[#This Row],[Product_Cost]:[Other_Cost]])</f>
        <v>307176.06000000006</v>
      </c>
      <c r="T1269" s="3">
        <f>Table1[[#This Row],[Net_Sales]]-Table1[[#This Row],[Product_Cost]]</f>
        <v>101238.34303044208</v>
      </c>
      <c r="U1269" s="3">
        <f>Table1[[#This Row],[Net_Sales]]-Table1[[#This Row],[Total_Cost]]</f>
        <v>57179.983030442032</v>
      </c>
      <c r="V1269" s="4">
        <f>Table1[[#This Row],[Net_Profit]]/Table1[[#This Row],[Net_Sales]]</f>
        <v>0.1569343616613616</v>
      </c>
      <c r="W1269" t="s">
        <v>33</v>
      </c>
      <c r="X1269" t="s">
        <v>1280</v>
      </c>
      <c r="Y1269">
        <v>11</v>
      </c>
      <c r="Z1269" t="str">
        <f>IF(Table1[[#This Row],[Month_No]]&lt;=6, "H1","H2")</f>
        <v>H2</v>
      </c>
    </row>
    <row r="1270" spans="1:26" x14ac:dyDescent="0.25">
      <c r="A1270" s="2">
        <v>45979</v>
      </c>
      <c r="B1270" t="s">
        <v>1353</v>
      </c>
      <c r="C1270" t="s">
        <v>63</v>
      </c>
      <c r="D1270" t="s">
        <v>85</v>
      </c>
      <c r="E1270" t="s">
        <v>57</v>
      </c>
      <c r="F1270" t="s">
        <v>46</v>
      </c>
      <c r="G1270" t="s">
        <v>58</v>
      </c>
      <c r="H1270" t="s">
        <v>59</v>
      </c>
      <c r="I1270">
        <v>29.677807572222431</v>
      </c>
      <c r="J1270" s="3">
        <v>2070.1999999999998</v>
      </c>
      <c r="K1270" s="3">
        <f>Table1[[#This Row],[Quantity]]*Table1[[#This Row],[Unit_Price]]</f>
        <v>61438.997236014868</v>
      </c>
      <c r="L1270" s="3">
        <v>1920.93</v>
      </c>
      <c r="M1270" s="3">
        <f>Table1[[#This Row],[Gross_Sales]]-Table1[[#This Row],[Discount]]</f>
        <v>59518.067236014867</v>
      </c>
      <c r="N1270" s="3">
        <v>39428.44</v>
      </c>
      <c r="O1270" s="3">
        <v>1405.22</v>
      </c>
      <c r="P1270" s="3">
        <v>3335.6</v>
      </c>
      <c r="Q1270" s="3">
        <v>1233.1300000000001</v>
      </c>
      <c r="R1270" s="3">
        <v>1094.07</v>
      </c>
      <c r="S1270" s="3">
        <f>SUM(Table1[[#This Row],[Product_Cost]:[Other_Cost]])</f>
        <v>46496.46</v>
      </c>
      <c r="T1270" s="3">
        <f>Table1[[#This Row],[Net_Sales]]-Table1[[#This Row],[Product_Cost]]</f>
        <v>20089.627236014865</v>
      </c>
      <c r="U1270" s="3">
        <f>Table1[[#This Row],[Net_Sales]]-Table1[[#This Row],[Total_Cost]]</f>
        <v>13021.607236014868</v>
      </c>
      <c r="V1270" s="4">
        <f>Table1[[#This Row],[Net_Profit]]/Table1[[#This Row],[Net_Sales]]</f>
        <v>0.21878410776308588</v>
      </c>
      <c r="W1270" t="s">
        <v>33</v>
      </c>
      <c r="X1270" t="s">
        <v>1280</v>
      </c>
      <c r="Y1270">
        <v>11</v>
      </c>
      <c r="Z1270" t="str">
        <f>IF(Table1[[#This Row],[Month_No]]&lt;=6, "H1","H2")</f>
        <v>H2</v>
      </c>
    </row>
    <row r="1271" spans="1:26" x14ac:dyDescent="0.25">
      <c r="A1271" s="2">
        <v>45979</v>
      </c>
      <c r="B1271" t="s">
        <v>1354</v>
      </c>
      <c r="C1271" t="s">
        <v>83</v>
      </c>
      <c r="D1271" t="s">
        <v>74</v>
      </c>
      <c r="E1271" t="s">
        <v>75</v>
      </c>
      <c r="F1271" t="s">
        <v>30</v>
      </c>
      <c r="G1271" t="s">
        <v>86</v>
      </c>
      <c r="H1271" t="s">
        <v>59</v>
      </c>
      <c r="I1271">
        <v>80.011727844840891</v>
      </c>
      <c r="J1271" s="3">
        <v>5927.21</v>
      </c>
      <c r="K1271" s="3">
        <f>Table1[[#This Row],[Quantity]]*Table1[[#This Row],[Unit_Price]]</f>
        <v>474246.31339921936</v>
      </c>
      <c r="L1271" s="3">
        <v>16314.15</v>
      </c>
      <c r="M1271" s="3">
        <f>Table1[[#This Row],[Gross_Sales]]-Table1[[#This Row],[Discount]]</f>
        <v>457932.16339921934</v>
      </c>
      <c r="N1271" s="3">
        <v>334695.44</v>
      </c>
      <c r="O1271" s="3">
        <v>9855.64</v>
      </c>
      <c r="P1271" s="3">
        <v>27648.98</v>
      </c>
      <c r="Q1271" s="3">
        <v>13400.8</v>
      </c>
      <c r="R1271" s="3">
        <v>6872.73</v>
      </c>
      <c r="S1271" s="3">
        <f>SUM(Table1[[#This Row],[Product_Cost]:[Other_Cost]])</f>
        <v>392473.58999999997</v>
      </c>
      <c r="T1271" s="3">
        <f>Table1[[#This Row],[Net_Sales]]-Table1[[#This Row],[Product_Cost]]</f>
        <v>123236.72339921934</v>
      </c>
      <c r="U1271" s="3">
        <f>Table1[[#This Row],[Net_Sales]]-Table1[[#This Row],[Total_Cost]]</f>
        <v>65458.573399219371</v>
      </c>
      <c r="V1271" s="4">
        <f>Table1[[#This Row],[Net_Profit]]/Table1[[#This Row],[Net_Sales]]</f>
        <v>0.14294382144578352</v>
      </c>
      <c r="W1271" t="s">
        <v>33</v>
      </c>
      <c r="X1271" t="s">
        <v>1280</v>
      </c>
      <c r="Y1271">
        <v>11</v>
      </c>
      <c r="Z1271" t="str">
        <f>IF(Table1[[#This Row],[Month_No]]&lt;=6, "H1","H2")</f>
        <v>H2</v>
      </c>
    </row>
    <row r="1272" spans="1:26" x14ac:dyDescent="0.25">
      <c r="A1272" s="2">
        <v>45979</v>
      </c>
      <c r="B1272" t="s">
        <v>1355</v>
      </c>
      <c r="C1272" t="s">
        <v>36</v>
      </c>
      <c r="D1272" t="s">
        <v>74</v>
      </c>
      <c r="E1272" t="s">
        <v>75</v>
      </c>
      <c r="F1272" t="s">
        <v>30</v>
      </c>
      <c r="G1272" t="s">
        <v>61</v>
      </c>
      <c r="H1272" t="s">
        <v>32</v>
      </c>
      <c r="I1272">
        <v>33.313458167309527</v>
      </c>
      <c r="J1272" s="3">
        <v>5751.13</v>
      </c>
      <c r="K1272" s="3">
        <f>Table1[[#This Row],[Quantity]]*Table1[[#This Row],[Unit_Price]]</f>
        <v>191590.02866975885</v>
      </c>
      <c r="L1272" s="3">
        <v>6916.12</v>
      </c>
      <c r="M1272" s="3">
        <f>Table1[[#This Row],[Gross_Sales]]-Table1[[#This Row],[Discount]]</f>
        <v>184673.90866975885</v>
      </c>
      <c r="N1272" s="3">
        <v>125214.67</v>
      </c>
      <c r="O1272" s="3">
        <v>4919.03</v>
      </c>
      <c r="P1272" s="3">
        <v>9853.83</v>
      </c>
      <c r="Q1272" s="3">
        <v>4065.34</v>
      </c>
      <c r="R1272" s="3">
        <v>2810.98</v>
      </c>
      <c r="S1272" s="3">
        <f>SUM(Table1[[#This Row],[Product_Cost]:[Other_Cost]])</f>
        <v>146863.85</v>
      </c>
      <c r="T1272" s="3">
        <f>Table1[[#This Row],[Net_Sales]]-Table1[[#This Row],[Product_Cost]]</f>
        <v>59459.238669758852</v>
      </c>
      <c r="U1272" s="3">
        <f>Table1[[#This Row],[Net_Sales]]-Table1[[#This Row],[Total_Cost]]</f>
        <v>37810.058669758844</v>
      </c>
      <c r="V1272" s="4">
        <f>Table1[[#This Row],[Net_Profit]]/Table1[[#This Row],[Net_Sales]]</f>
        <v>0.20473958093003966</v>
      </c>
      <c r="W1272" t="s">
        <v>72</v>
      </c>
      <c r="X1272" t="s">
        <v>1280</v>
      </c>
      <c r="Y1272">
        <v>11</v>
      </c>
      <c r="Z1272" t="str">
        <f>IF(Table1[[#This Row],[Month_No]]&lt;=6, "H1","H2")</f>
        <v>H2</v>
      </c>
    </row>
    <row r="1273" spans="1:26" x14ac:dyDescent="0.25">
      <c r="A1273" s="2">
        <v>45979</v>
      </c>
      <c r="B1273" t="s">
        <v>1356</v>
      </c>
      <c r="C1273" t="s">
        <v>117</v>
      </c>
      <c r="D1273" t="s">
        <v>37</v>
      </c>
      <c r="E1273" t="s">
        <v>38</v>
      </c>
      <c r="F1273" t="s">
        <v>52</v>
      </c>
      <c r="G1273" t="s">
        <v>58</v>
      </c>
      <c r="H1273" t="s">
        <v>41</v>
      </c>
      <c r="I1273">
        <v>85.835094310577304</v>
      </c>
      <c r="J1273" s="3">
        <v>5019.72</v>
      </c>
      <c r="K1273" s="3">
        <f>Table1[[#This Row],[Quantity]]*Table1[[#This Row],[Unit_Price]]</f>
        <v>430868.13961269113</v>
      </c>
      <c r="L1273" s="3">
        <v>14590.33</v>
      </c>
      <c r="M1273" s="3">
        <f>Table1[[#This Row],[Gross_Sales]]-Table1[[#This Row],[Discount]]</f>
        <v>416277.80961269111</v>
      </c>
      <c r="N1273" s="3">
        <v>277452.96999999997</v>
      </c>
      <c r="O1273" s="3">
        <v>7253.72</v>
      </c>
      <c r="P1273" s="3">
        <v>21152</v>
      </c>
      <c r="Q1273" s="3">
        <v>7865.1</v>
      </c>
      <c r="R1273" s="3">
        <v>5311.17</v>
      </c>
      <c r="S1273" s="3">
        <f>SUM(Table1[[#This Row],[Product_Cost]:[Other_Cost]])</f>
        <v>319034.9599999999</v>
      </c>
      <c r="T1273" s="3">
        <f>Table1[[#This Row],[Net_Sales]]-Table1[[#This Row],[Product_Cost]]</f>
        <v>138824.83961269114</v>
      </c>
      <c r="U1273" s="3">
        <f>Table1[[#This Row],[Net_Sales]]-Table1[[#This Row],[Total_Cost]]</f>
        <v>97242.849612691207</v>
      </c>
      <c r="V1273" s="4">
        <f>Table1[[#This Row],[Net_Profit]]/Table1[[#This Row],[Net_Sales]]</f>
        <v>0.2336008486812374</v>
      </c>
      <c r="W1273" t="s">
        <v>72</v>
      </c>
      <c r="X1273" t="s">
        <v>1280</v>
      </c>
      <c r="Y1273">
        <v>11</v>
      </c>
      <c r="Z1273" t="str">
        <f>IF(Table1[[#This Row],[Month_No]]&lt;=6, "H1","H2")</f>
        <v>H2</v>
      </c>
    </row>
    <row r="1274" spans="1:26" x14ac:dyDescent="0.25">
      <c r="A1274" s="2">
        <v>45979</v>
      </c>
      <c r="B1274" t="s">
        <v>1357</v>
      </c>
      <c r="C1274" t="s">
        <v>117</v>
      </c>
      <c r="D1274" t="s">
        <v>81</v>
      </c>
      <c r="E1274" t="s">
        <v>45</v>
      </c>
      <c r="F1274" t="s">
        <v>39</v>
      </c>
      <c r="G1274" t="s">
        <v>61</v>
      </c>
      <c r="H1274" t="s">
        <v>47</v>
      </c>
      <c r="I1274">
        <v>36.108638876824052</v>
      </c>
      <c r="J1274" s="3">
        <v>7061.67</v>
      </c>
      <c r="K1274" s="3">
        <f>Table1[[#This Row],[Quantity]]*Table1[[#This Row],[Unit_Price]]</f>
        <v>254987.29189730212</v>
      </c>
      <c r="L1274" s="3">
        <v>9504.4599999999991</v>
      </c>
      <c r="M1274" s="3">
        <f>Table1[[#This Row],[Gross_Sales]]-Table1[[#This Row],[Discount]]</f>
        <v>245482.83189730212</v>
      </c>
      <c r="N1274" s="3">
        <v>133209.51999999999</v>
      </c>
      <c r="O1274" s="3">
        <v>7618.33</v>
      </c>
      <c r="P1274" s="3">
        <v>12906.26</v>
      </c>
      <c r="Q1274" s="3">
        <v>5072.8999999999996</v>
      </c>
      <c r="R1274" s="3">
        <v>5211.8500000000004</v>
      </c>
      <c r="S1274" s="3">
        <f>SUM(Table1[[#This Row],[Product_Cost]:[Other_Cost]])</f>
        <v>164018.85999999999</v>
      </c>
      <c r="T1274" s="3">
        <f>Table1[[#This Row],[Net_Sales]]-Table1[[#This Row],[Product_Cost]]</f>
        <v>112273.31189730213</v>
      </c>
      <c r="U1274" s="3">
        <f>Table1[[#This Row],[Net_Sales]]-Table1[[#This Row],[Total_Cost]]</f>
        <v>81463.971897302137</v>
      </c>
      <c r="V1274" s="4">
        <f>Table1[[#This Row],[Net_Profit]]/Table1[[#This Row],[Net_Sales]]</f>
        <v>0.33185201289914495</v>
      </c>
      <c r="W1274" t="s">
        <v>33</v>
      </c>
      <c r="X1274" t="s">
        <v>1280</v>
      </c>
      <c r="Y1274">
        <v>11</v>
      </c>
      <c r="Z1274" t="str">
        <f>IF(Table1[[#This Row],[Month_No]]&lt;=6, "H1","H2")</f>
        <v>H2</v>
      </c>
    </row>
    <row r="1275" spans="1:26" x14ac:dyDescent="0.25">
      <c r="A1275" s="2">
        <v>45979</v>
      </c>
      <c r="B1275" t="s">
        <v>1358</v>
      </c>
      <c r="C1275" t="s">
        <v>55</v>
      </c>
      <c r="D1275" t="s">
        <v>28</v>
      </c>
      <c r="E1275" t="s">
        <v>29</v>
      </c>
      <c r="F1275" t="s">
        <v>30</v>
      </c>
      <c r="G1275" t="s">
        <v>71</v>
      </c>
      <c r="H1275" t="s">
        <v>41</v>
      </c>
      <c r="I1275">
        <v>69.993619755572738</v>
      </c>
      <c r="J1275" s="3">
        <v>1268.6199999999999</v>
      </c>
      <c r="K1275" s="3">
        <f>Table1[[#This Row],[Quantity]]*Table1[[#This Row],[Unit_Price]]</f>
        <v>88795.305894314675</v>
      </c>
      <c r="L1275" s="3">
        <v>3664.56</v>
      </c>
      <c r="M1275" s="3">
        <f>Table1[[#This Row],[Gross_Sales]]-Table1[[#This Row],[Discount]]</f>
        <v>85130.745894314678</v>
      </c>
      <c r="N1275" s="3">
        <v>45255.519999999997</v>
      </c>
      <c r="O1275" s="3">
        <v>1855.83</v>
      </c>
      <c r="P1275" s="3">
        <v>5064.8599999999997</v>
      </c>
      <c r="Q1275" s="3">
        <v>2487.3000000000002</v>
      </c>
      <c r="R1275" s="3">
        <v>1753.48</v>
      </c>
      <c r="S1275" s="3">
        <f>SUM(Table1[[#This Row],[Product_Cost]:[Other_Cost]])</f>
        <v>56416.990000000005</v>
      </c>
      <c r="T1275" s="3">
        <f>Table1[[#This Row],[Net_Sales]]-Table1[[#This Row],[Product_Cost]]</f>
        <v>39875.225894314681</v>
      </c>
      <c r="U1275" s="3">
        <f>Table1[[#This Row],[Net_Sales]]-Table1[[#This Row],[Total_Cost]]</f>
        <v>28713.755894314672</v>
      </c>
      <c r="V1275" s="4">
        <f>Table1[[#This Row],[Net_Profit]]/Table1[[#This Row],[Net_Sales]]</f>
        <v>0.33729007766431746</v>
      </c>
      <c r="W1275" t="s">
        <v>33</v>
      </c>
      <c r="X1275" t="s">
        <v>1280</v>
      </c>
      <c r="Y1275">
        <v>11</v>
      </c>
      <c r="Z1275" t="str">
        <f>IF(Table1[[#This Row],[Month_No]]&lt;=6, "H1","H2")</f>
        <v>H2</v>
      </c>
    </row>
    <row r="1276" spans="1:26" x14ac:dyDescent="0.25">
      <c r="A1276" s="2">
        <v>45980</v>
      </c>
      <c r="B1276" t="s">
        <v>1359</v>
      </c>
      <c r="C1276" t="s">
        <v>78</v>
      </c>
      <c r="D1276" t="s">
        <v>81</v>
      </c>
      <c r="E1276" t="s">
        <v>45</v>
      </c>
      <c r="F1276" t="s">
        <v>52</v>
      </c>
      <c r="G1276" t="s">
        <v>58</v>
      </c>
      <c r="H1276" t="s">
        <v>41</v>
      </c>
      <c r="I1276">
        <v>40.672206663485277</v>
      </c>
      <c r="J1276" s="3">
        <v>7365.75</v>
      </c>
      <c r="K1276" s="3">
        <f>Table1[[#This Row],[Quantity]]*Table1[[#This Row],[Unit_Price]]</f>
        <v>299581.3062315667</v>
      </c>
      <c r="L1276" s="3">
        <v>14014.81</v>
      </c>
      <c r="M1276" s="3">
        <f>Table1[[#This Row],[Gross_Sales]]-Table1[[#This Row],[Discount]]</f>
        <v>285566.49623156671</v>
      </c>
      <c r="N1276" s="3">
        <v>145885.34</v>
      </c>
      <c r="O1276" s="3">
        <v>5009.12</v>
      </c>
      <c r="P1276" s="3">
        <v>14540.22</v>
      </c>
      <c r="Q1276" s="3">
        <v>8093.16</v>
      </c>
      <c r="R1276" s="3">
        <v>3458.88</v>
      </c>
      <c r="S1276" s="3">
        <f>SUM(Table1[[#This Row],[Product_Cost]:[Other_Cost]])</f>
        <v>176986.72</v>
      </c>
      <c r="T1276" s="3">
        <f>Table1[[#This Row],[Net_Sales]]-Table1[[#This Row],[Product_Cost]]</f>
        <v>139681.15623156671</v>
      </c>
      <c r="U1276" s="3">
        <f>Table1[[#This Row],[Net_Sales]]-Table1[[#This Row],[Total_Cost]]</f>
        <v>108579.77623156671</v>
      </c>
      <c r="V1276" s="4">
        <f>Table1[[#This Row],[Net_Profit]]/Table1[[#This Row],[Net_Sales]]</f>
        <v>0.38022589366897946</v>
      </c>
      <c r="W1276" t="s">
        <v>72</v>
      </c>
      <c r="X1276" t="s">
        <v>1280</v>
      </c>
      <c r="Y1276">
        <v>11</v>
      </c>
      <c r="Z1276" t="str">
        <f>IF(Table1[[#This Row],[Month_No]]&lt;=6, "H1","H2")</f>
        <v>H2</v>
      </c>
    </row>
    <row r="1277" spans="1:26" x14ac:dyDescent="0.25">
      <c r="A1277" s="2">
        <v>45980</v>
      </c>
      <c r="B1277" t="s">
        <v>1360</v>
      </c>
      <c r="C1277" t="s">
        <v>107</v>
      </c>
      <c r="D1277" t="s">
        <v>100</v>
      </c>
      <c r="E1277" t="s">
        <v>75</v>
      </c>
      <c r="F1277" t="s">
        <v>52</v>
      </c>
      <c r="G1277" t="s">
        <v>76</v>
      </c>
      <c r="H1277" t="s">
        <v>32</v>
      </c>
      <c r="I1277">
        <v>64.460920102832816</v>
      </c>
      <c r="J1277" s="3">
        <v>7263.57</v>
      </c>
      <c r="K1277" s="3">
        <f>Table1[[#This Row],[Quantity]]*Table1[[#This Row],[Unit_Price]]</f>
        <v>468216.40543133335</v>
      </c>
      <c r="L1277" s="3">
        <v>21635.53</v>
      </c>
      <c r="M1277" s="3">
        <f>Table1[[#This Row],[Gross_Sales]]-Table1[[#This Row],[Discount]]</f>
        <v>446580.87543133332</v>
      </c>
      <c r="N1277" s="3">
        <v>238956.59</v>
      </c>
      <c r="O1277" s="3">
        <v>8000.35</v>
      </c>
      <c r="P1277" s="3">
        <v>21837.64</v>
      </c>
      <c r="Q1277" s="3">
        <v>10056.66</v>
      </c>
      <c r="R1277" s="3">
        <v>9333.92</v>
      </c>
      <c r="S1277" s="3">
        <f>SUM(Table1[[#This Row],[Product_Cost]:[Other_Cost]])</f>
        <v>288185.15999999997</v>
      </c>
      <c r="T1277" s="3">
        <f>Table1[[#This Row],[Net_Sales]]-Table1[[#This Row],[Product_Cost]]</f>
        <v>207624.28543133332</v>
      </c>
      <c r="U1277" s="3">
        <f>Table1[[#This Row],[Net_Sales]]-Table1[[#This Row],[Total_Cost]]</f>
        <v>158395.71543133334</v>
      </c>
      <c r="V1277" s="4">
        <f>Table1[[#This Row],[Net_Profit]]/Table1[[#This Row],[Net_Sales]]</f>
        <v>0.35468539775319691</v>
      </c>
      <c r="W1277" t="s">
        <v>33</v>
      </c>
      <c r="X1277" t="s">
        <v>1280</v>
      </c>
      <c r="Y1277">
        <v>11</v>
      </c>
      <c r="Z1277" t="str">
        <f>IF(Table1[[#This Row],[Month_No]]&lt;=6, "H1","H2")</f>
        <v>H2</v>
      </c>
    </row>
    <row r="1278" spans="1:26" x14ac:dyDescent="0.25">
      <c r="A1278" s="2">
        <v>45980</v>
      </c>
      <c r="B1278" t="s">
        <v>1361</v>
      </c>
      <c r="C1278" t="s">
        <v>70</v>
      </c>
      <c r="D1278" t="s">
        <v>28</v>
      </c>
      <c r="E1278" t="s">
        <v>29</v>
      </c>
      <c r="F1278" t="s">
        <v>52</v>
      </c>
      <c r="G1278" t="s">
        <v>64</v>
      </c>
      <c r="H1278" t="s">
        <v>47</v>
      </c>
      <c r="I1278">
        <v>114.0574932556349</v>
      </c>
      <c r="J1278" s="3">
        <v>1319.17</v>
      </c>
      <c r="K1278" s="3">
        <f>Table1[[#This Row],[Quantity]]*Table1[[#This Row],[Unit_Price]]</f>
        <v>150461.22337803588</v>
      </c>
      <c r="L1278" s="3">
        <v>5684.32</v>
      </c>
      <c r="M1278" s="3">
        <f>Table1[[#This Row],[Gross_Sales]]-Table1[[#This Row],[Discount]]</f>
        <v>144776.90337803587</v>
      </c>
      <c r="N1278" s="3">
        <v>76886.929999999993</v>
      </c>
      <c r="O1278" s="3">
        <v>2572.5300000000002</v>
      </c>
      <c r="P1278" s="3">
        <v>8164.8</v>
      </c>
      <c r="Q1278" s="3">
        <v>4206.62</v>
      </c>
      <c r="R1278" s="3">
        <v>2186.46</v>
      </c>
      <c r="S1278" s="3">
        <f>SUM(Table1[[#This Row],[Product_Cost]:[Other_Cost]])</f>
        <v>94017.34</v>
      </c>
      <c r="T1278" s="3">
        <f>Table1[[#This Row],[Net_Sales]]-Table1[[#This Row],[Product_Cost]]</f>
        <v>67889.97337803588</v>
      </c>
      <c r="U1278" s="3">
        <f>Table1[[#This Row],[Net_Sales]]-Table1[[#This Row],[Total_Cost]]</f>
        <v>50759.563378035877</v>
      </c>
      <c r="V1278" s="4">
        <f>Table1[[#This Row],[Net_Profit]]/Table1[[#This Row],[Net_Sales]]</f>
        <v>0.3506053948777621</v>
      </c>
      <c r="W1278" t="s">
        <v>33</v>
      </c>
      <c r="X1278" t="s">
        <v>1280</v>
      </c>
      <c r="Y1278">
        <v>11</v>
      </c>
      <c r="Z1278" t="str">
        <f>IF(Table1[[#This Row],[Month_No]]&lt;=6, "H1","H2")</f>
        <v>H2</v>
      </c>
    </row>
    <row r="1279" spans="1:26" x14ac:dyDescent="0.25">
      <c r="A1279" s="2">
        <v>45980</v>
      </c>
      <c r="B1279" t="s">
        <v>1362</v>
      </c>
      <c r="C1279" t="s">
        <v>70</v>
      </c>
      <c r="D1279" t="s">
        <v>183</v>
      </c>
      <c r="E1279" t="s">
        <v>38</v>
      </c>
      <c r="F1279" t="s">
        <v>52</v>
      </c>
      <c r="G1279" t="s">
        <v>31</v>
      </c>
      <c r="H1279" t="s">
        <v>41</v>
      </c>
      <c r="I1279">
        <v>41.479047394400467</v>
      </c>
      <c r="J1279" s="3">
        <v>7364.99</v>
      </c>
      <c r="K1279" s="3">
        <f>Table1[[#This Row],[Quantity]]*Table1[[#This Row],[Unit_Price]]</f>
        <v>305492.76926928549</v>
      </c>
      <c r="L1279" s="3">
        <v>15041.19</v>
      </c>
      <c r="M1279" s="3">
        <f>Table1[[#This Row],[Gross_Sales]]-Table1[[#This Row],[Discount]]</f>
        <v>290451.57926928549</v>
      </c>
      <c r="N1279" s="3">
        <v>153279.93</v>
      </c>
      <c r="O1279" s="3">
        <v>4276.41</v>
      </c>
      <c r="P1279" s="3">
        <v>15190.09</v>
      </c>
      <c r="Q1279" s="3">
        <v>7738.82</v>
      </c>
      <c r="R1279" s="3">
        <v>5848.7</v>
      </c>
      <c r="S1279" s="3">
        <f>SUM(Table1[[#This Row],[Product_Cost]:[Other_Cost]])</f>
        <v>186333.95</v>
      </c>
      <c r="T1279" s="3">
        <f>Table1[[#This Row],[Net_Sales]]-Table1[[#This Row],[Product_Cost]]</f>
        <v>137171.6492692855</v>
      </c>
      <c r="U1279" s="3">
        <f>Table1[[#This Row],[Net_Sales]]-Table1[[#This Row],[Total_Cost]]</f>
        <v>104117.62926928548</v>
      </c>
      <c r="V1279" s="4">
        <f>Table1[[#This Row],[Net_Profit]]/Table1[[#This Row],[Net_Sales]]</f>
        <v>0.35846811207301171</v>
      </c>
      <c r="W1279" t="s">
        <v>33</v>
      </c>
      <c r="X1279" t="s">
        <v>1280</v>
      </c>
      <c r="Y1279">
        <v>11</v>
      </c>
      <c r="Z1279" t="str">
        <f>IF(Table1[[#This Row],[Month_No]]&lt;=6, "H1","H2")</f>
        <v>H2</v>
      </c>
    </row>
    <row r="1280" spans="1:26" x14ac:dyDescent="0.25">
      <c r="A1280" s="2">
        <v>45980</v>
      </c>
      <c r="B1280" t="s">
        <v>1363</v>
      </c>
      <c r="C1280" t="s">
        <v>117</v>
      </c>
      <c r="D1280" t="s">
        <v>28</v>
      </c>
      <c r="E1280" t="s">
        <v>29</v>
      </c>
      <c r="F1280" t="s">
        <v>52</v>
      </c>
      <c r="G1280" t="s">
        <v>61</v>
      </c>
      <c r="H1280" t="s">
        <v>47</v>
      </c>
      <c r="I1280">
        <v>69.061616747472328</v>
      </c>
      <c r="J1280" s="3">
        <v>1301.18</v>
      </c>
      <c r="K1280" s="3">
        <f>Table1[[#This Row],[Quantity]]*Table1[[#This Row],[Unit_Price]]</f>
        <v>89861.594479476043</v>
      </c>
      <c r="L1280" s="3">
        <v>3348.34</v>
      </c>
      <c r="M1280" s="3">
        <f>Table1[[#This Row],[Gross_Sales]]-Table1[[#This Row],[Discount]]</f>
        <v>86513.254479476047</v>
      </c>
      <c r="N1280" s="3">
        <v>43777.1</v>
      </c>
      <c r="O1280" s="3">
        <v>1419.83</v>
      </c>
      <c r="P1280" s="3">
        <v>4421.08</v>
      </c>
      <c r="Q1280" s="3">
        <v>1802.96</v>
      </c>
      <c r="R1280" s="3">
        <v>1290.69</v>
      </c>
      <c r="S1280" s="3">
        <f>SUM(Table1[[#This Row],[Product_Cost]:[Other_Cost]])</f>
        <v>52711.66</v>
      </c>
      <c r="T1280" s="3">
        <f>Table1[[#This Row],[Net_Sales]]-Table1[[#This Row],[Product_Cost]]</f>
        <v>42736.154479476048</v>
      </c>
      <c r="U1280" s="3">
        <f>Table1[[#This Row],[Net_Sales]]-Table1[[#This Row],[Total_Cost]]</f>
        <v>33801.594479476043</v>
      </c>
      <c r="V1280" s="4">
        <f>Table1[[#This Row],[Net_Profit]]/Table1[[#This Row],[Net_Sales]]</f>
        <v>0.39071000949912199</v>
      </c>
      <c r="W1280" t="s">
        <v>72</v>
      </c>
      <c r="X1280" t="s">
        <v>1280</v>
      </c>
      <c r="Y1280">
        <v>11</v>
      </c>
      <c r="Z1280" t="str">
        <f>IF(Table1[[#This Row],[Month_No]]&lt;=6, "H1","H2")</f>
        <v>H2</v>
      </c>
    </row>
    <row r="1281" spans="1:26" x14ac:dyDescent="0.25">
      <c r="A1281" s="2">
        <v>45980</v>
      </c>
      <c r="B1281" t="s">
        <v>1364</v>
      </c>
      <c r="C1281" t="s">
        <v>27</v>
      </c>
      <c r="D1281" t="s">
        <v>74</v>
      </c>
      <c r="E1281" t="s">
        <v>75</v>
      </c>
      <c r="F1281" t="s">
        <v>46</v>
      </c>
      <c r="G1281" t="s">
        <v>64</v>
      </c>
      <c r="H1281" t="s">
        <v>47</v>
      </c>
      <c r="I1281">
        <v>70.180617967331131</v>
      </c>
      <c r="J1281" s="3">
        <v>6005.69</v>
      </c>
      <c r="K1281" s="3">
        <f>Table1[[#This Row],[Quantity]]*Table1[[#This Row],[Unit_Price]]</f>
        <v>421483.03552022087</v>
      </c>
      <c r="L1281" s="3">
        <v>17236.21</v>
      </c>
      <c r="M1281" s="3">
        <f>Table1[[#This Row],[Gross_Sales]]-Table1[[#This Row],[Discount]]</f>
        <v>404246.82552022085</v>
      </c>
      <c r="N1281" s="3">
        <v>267386.09000000003</v>
      </c>
      <c r="O1281" s="3">
        <v>7666.27</v>
      </c>
      <c r="P1281" s="3">
        <v>22595.01</v>
      </c>
      <c r="Q1281" s="3">
        <v>11980.22</v>
      </c>
      <c r="R1281" s="3">
        <v>6107.86</v>
      </c>
      <c r="S1281" s="3">
        <f>SUM(Table1[[#This Row],[Product_Cost]:[Other_Cost]])</f>
        <v>315735.45</v>
      </c>
      <c r="T1281" s="3">
        <f>Table1[[#This Row],[Net_Sales]]-Table1[[#This Row],[Product_Cost]]</f>
        <v>136860.73552022083</v>
      </c>
      <c r="U1281" s="3">
        <f>Table1[[#This Row],[Net_Sales]]-Table1[[#This Row],[Total_Cost]]</f>
        <v>88511.375520220841</v>
      </c>
      <c r="V1281" s="4">
        <f>Table1[[#This Row],[Net_Profit]]/Table1[[#This Row],[Net_Sales]]</f>
        <v>0.21895379241708704</v>
      </c>
      <c r="W1281" t="s">
        <v>33</v>
      </c>
      <c r="X1281" t="s">
        <v>1280</v>
      </c>
      <c r="Y1281">
        <v>11</v>
      </c>
      <c r="Z1281" t="str">
        <f>IF(Table1[[#This Row],[Month_No]]&lt;=6, "H1","H2")</f>
        <v>H2</v>
      </c>
    </row>
    <row r="1282" spans="1:26" x14ac:dyDescent="0.25">
      <c r="A1282" s="2">
        <v>45981</v>
      </c>
      <c r="B1282" t="s">
        <v>1365</v>
      </c>
      <c r="C1282" t="s">
        <v>78</v>
      </c>
      <c r="D1282" t="s">
        <v>100</v>
      </c>
      <c r="E1282" t="s">
        <v>75</v>
      </c>
      <c r="F1282" t="s">
        <v>30</v>
      </c>
      <c r="G1282" t="s">
        <v>58</v>
      </c>
      <c r="H1282" t="s">
        <v>47</v>
      </c>
      <c r="I1282">
        <v>32.308015872143052</v>
      </c>
      <c r="J1282" s="3">
        <v>7643.74</v>
      </c>
      <c r="K1282" s="3">
        <f>Table1[[#This Row],[Quantity]]*Table1[[#This Row],[Unit_Price]]</f>
        <v>246954.07324253474</v>
      </c>
      <c r="L1282" s="3">
        <v>7281.41</v>
      </c>
      <c r="M1282" s="3">
        <f>Table1[[#This Row],[Gross_Sales]]-Table1[[#This Row],[Discount]]</f>
        <v>239672.66324253473</v>
      </c>
      <c r="N1282" s="3">
        <v>125974</v>
      </c>
      <c r="O1282" s="3">
        <v>6001.43</v>
      </c>
      <c r="P1282" s="3">
        <v>12288.63</v>
      </c>
      <c r="Q1282" s="3">
        <v>5613.26</v>
      </c>
      <c r="R1282" s="3">
        <v>3399.22</v>
      </c>
      <c r="S1282" s="3">
        <f>SUM(Table1[[#This Row],[Product_Cost]:[Other_Cost]])</f>
        <v>153276.54</v>
      </c>
      <c r="T1282" s="3">
        <f>Table1[[#This Row],[Net_Sales]]-Table1[[#This Row],[Product_Cost]]</f>
        <v>113698.66324253473</v>
      </c>
      <c r="U1282" s="3">
        <f>Table1[[#This Row],[Net_Sales]]-Table1[[#This Row],[Total_Cost]]</f>
        <v>86396.123242534726</v>
      </c>
      <c r="V1282" s="4">
        <f>Table1[[#This Row],[Net_Profit]]/Table1[[#This Row],[Net_Sales]]</f>
        <v>0.36047550051674809</v>
      </c>
      <c r="W1282" t="s">
        <v>33</v>
      </c>
      <c r="X1282" t="s">
        <v>1280</v>
      </c>
      <c r="Y1282">
        <v>11</v>
      </c>
      <c r="Z1282" t="str">
        <f>IF(Table1[[#This Row],[Month_No]]&lt;=6, "H1","H2")</f>
        <v>H2</v>
      </c>
    </row>
    <row r="1283" spans="1:26" x14ac:dyDescent="0.25">
      <c r="A1283" s="2">
        <v>45981</v>
      </c>
      <c r="B1283" t="s">
        <v>1366</v>
      </c>
      <c r="C1283" t="s">
        <v>117</v>
      </c>
      <c r="D1283" t="s">
        <v>68</v>
      </c>
      <c r="E1283" t="s">
        <v>29</v>
      </c>
      <c r="F1283" t="s">
        <v>52</v>
      </c>
      <c r="G1283" t="s">
        <v>64</v>
      </c>
      <c r="H1283" t="s">
        <v>41</v>
      </c>
      <c r="I1283">
        <v>140.49827181020919</v>
      </c>
      <c r="J1283" s="3">
        <v>419.96</v>
      </c>
      <c r="K1283" s="3">
        <f>Table1[[#This Row],[Quantity]]*Table1[[#This Row],[Unit_Price]]</f>
        <v>59003.65422941545</v>
      </c>
      <c r="L1283" s="3">
        <v>2250.16</v>
      </c>
      <c r="M1283" s="3">
        <f>Table1[[#This Row],[Gross_Sales]]-Table1[[#This Row],[Discount]]</f>
        <v>56753.494229415446</v>
      </c>
      <c r="N1283" s="3">
        <v>39422.980000000003</v>
      </c>
      <c r="O1283" s="3">
        <v>984.1</v>
      </c>
      <c r="P1283" s="3">
        <v>3211.26</v>
      </c>
      <c r="Q1283" s="3">
        <v>1512.71</v>
      </c>
      <c r="R1283" s="3">
        <v>1141.21</v>
      </c>
      <c r="S1283" s="3">
        <f>SUM(Table1[[#This Row],[Product_Cost]:[Other_Cost]])</f>
        <v>46272.26</v>
      </c>
      <c r="T1283" s="3">
        <f>Table1[[#This Row],[Net_Sales]]-Table1[[#This Row],[Product_Cost]]</f>
        <v>17330.514229415443</v>
      </c>
      <c r="U1283" s="3">
        <f>Table1[[#This Row],[Net_Sales]]-Table1[[#This Row],[Total_Cost]]</f>
        <v>10481.234229415444</v>
      </c>
      <c r="V1283" s="4">
        <f>Table1[[#This Row],[Net_Profit]]/Table1[[#This Row],[Net_Sales]]</f>
        <v>0.18467998088447213</v>
      </c>
      <c r="W1283" t="s">
        <v>72</v>
      </c>
      <c r="X1283" t="s">
        <v>1280</v>
      </c>
      <c r="Y1283">
        <v>11</v>
      </c>
      <c r="Z1283" t="str">
        <f>IF(Table1[[#This Row],[Month_No]]&lt;=6, "H1","H2")</f>
        <v>H2</v>
      </c>
    </row>
    <row r="1284" spans="1:26" x14ac:dyDescent="0.25">
      <c r="A1284" s="2">
        <v>45981</v>
      </c>
      <c r="B1284" t="s">
        <v>1367</v>
      </c>
      <c r="C1284" t="s">
        <v>36</v>
      </c>
      <c r="D1284" t="s">
        <v>81</v>
      </c>
      <c r="E1284" t="s">
        <v>45</v>
      </c>
      <c r="F1284" t="s">
        <v>52</v>
      </c>
      <c r="G1284" t="s">
        <v>86</v>
      </c>
      <c r="H1284" t="s">
        <v>32</v>
      </c>
      <c r="I1284">
        <v>31.613386787937099</v>
      </c>
      <c r="J1284" s="3">
        <v>7134.58</v>
      </c>
      <c r="K1284" s="3">
        <f>Table1[[#This Row],[Quantity]]*Table1[[#This Row],[Unit_Price]]</f>
        <v>225548.23710948025</v>
      </c>
      <c r="L1284" s="3">
        <v>11168.19</v>
      </c>
      <c r="M1284" s="3">
        <f>Table1[[#This Row],[Gross_Sales]]-Table1[[#This Row],[Discount]]</f>
        <v>214380.04710948025</v>
      </c>
      <c r="N1284" s="3">
        <v>104564.16</v>
      </c>
      <c r="O1284" s="3">
        <v>3793.54</v>
      </c>
      <c r="P1284" s="3">
        <v>11696.46</v>
      </c>
      <c r="Q1284" s="3">
        <v>4214.33</v>
      </c>
      <c r="R1284" s="3">
        <v>2573.59</v>
      </c>
      <c r="S1284" s="3">
        <f>SUM(Table1[[#This Row],[Product_Cost]:[Other_Cost]])</f>
        <v>126842.08</v>
      </c>
      <c r="T1284" s="3">
        <f>Table1[[#This Row],[Net_Sales]]-Table1[[#This Row],[Product_Cost]]</f>
        <v>109815.88710948025</v>
      </c>
      <c r="U1284" s="3">
        <f>Table1[[#This Row],[Net_Sales]]-Table1[[#This Row],[Total_Cost]]</f>
        <v>87537.967109480247</v>
      </c>
      <c r="V1284" s="4">
        <f>Table1[[#This Row],[Net_Profit]]/Table1[[#This Row],[Net_Sales]]</f>
        <v>0.40833075787494388</v>
      </c>
      <c r="W1284" t="s">
        <v>33</v>
      </c>
      <c r="X1284" t="s">
        <v>1280</v>
      </c>
      <c r="Y1284">
        <v>11</v>
      </c>
      <c r="Z1284" t="str">
        <f>IF(Table1[[#This Row],[Month_No]]&lt;=6, "H1","H2")</f>
        <v>H2</v>
      </c>
    </row>
    <row r="1285" spans="1:26" x14ac:dyDescent="0.25">
      <c r="A1285" s="2">
        <v>45981</v>
      </c>
      <c r="B1285" t="s">
        <v>1368</v>
      </c>
      <c r="C1285" t="s">
        <v>78</v>
      </c>
      <c r="D1285" t="s">
        <v>66</v>
      </c>
      <c r="E1285" t="s">
        <v>51</v>
      </c>
      <c r="F1285" t="s">
        <v>46</v>
      </c>
      <c r="G1285" t="s">
        <v>71</v>
      </c>
      <c r="H1285" t="s">
        <v>41</v>
      </c>
      <c r="I1285">
        <v>37.330741317102941</v>
      </c>
      <c r="J1285" s="3">
        <v>1584.26</v>
      </c>
      <c r="K1285" s="3">
        <f>Table1[[#This Row],[Quantity]]*Table1[[#This Row],[Unit_Price]]</f>
        <v>59141.600239033505</v>
      </c>
      <c r="L1285" s="3">
        <v>1853.26</v>
      </c>
      <c r="M1285" s="3">
        <f>Table1[[#This Row],[Gross_Sales]]-Table1[[#This Row],[Discount]]</f>
        <v>57288.340239033503</v>
      </c>
      <c r="N1285" s="3">
        <v>27077.98</v>
      </c>
      <c r="O1285" s="3">
        <v>1301.6600000000001</v>
      </c>
      <c r="P1285" s="3">
        <v>3194.14</v>
      </c>
      <c r="Q1285" s="3">
        <v>1628.44</v>
      </c>
      <c r="R1285" s="3">
        <v>1214.46</v>
      </c>
      <c r="S1285" s="3">
        <f>SUM(Table1[[#This Row],[Product_Cost]:[Other_Cost]])</f>
        <v>34416.68</v>
      </c>
      <c r="T1285" s="3">
        <f>Table1[[#This Row],[Net_Sales]]-Table1[[#This Row],[Product_Cost]]</f>
        <v>30210.360239033504</v>
      </c>
      <c r="U1285" s="3">
        <f>Table1[[#This Row],[Net_Sales]]-Table1[[#This Row],[Total_Cost]]</f>
        <v>22871.660239033503</v>
      </c>
      <c r="V1285" s="4">
        <f>Table1[[#This Row],[Net_Profit]]/Table1[[#This Row],[Net_Sales]]</f>
        <v>0.3992376135109228</v>
      </c>
      <c r="W1285" t="s">
        <v>33</v>
      </c>
      <c r="X1285" t="s">
        <v>1280</v>
      </c>
      <c r="Y1285">
        <v>11</v>
      </c>
      <c r="Z1285" t="str">
        <f>IF(Table1[[#This Row],[Month_No]]&lt;=6, "H1","H2")</f>
        <v>H2</v>
      </c>
    </row>
    <row r="1286" spans="1:26" x14ac:dyDescent="0.25">
      <c r="A1286" s="2">
        <v>45981</v>
      </c>
      <c r="B1286" t="s">
        <v>1369</v>
      </c>
      <c r="C1286" t="s">
        <v>49</v>
      </c>
      <c r="D1286" t="s">
        <v>68</v>
      </c>
      <c r="E1286" t="s">
        <v>29</v>
      </c>
      <c r="F1286" t="s">
        <v>52</v>
      </c>
      <c r="G1286" t="s">
        <v>40</v>
      </c>
      <c r="H1286" t="s">
        <v>41</v>
      </c>
      <c r="I1286">
        <v>74.966641799717152</v>
      </c>
      <c r="J1286" s="3">
        <v>403.23</v>
      </c>
      <c r="K1286" s="3">
        <f>Table1[[#This Row],[Quantity]]*Table1[[#This Row],[Unit_Price]]</f>
        <v>30228.798972899949</v>
      </c>
      <c r="L1286" s="3">
        <v>1029.29</v>
      </c>
      <c r="M1286" s="3">
        <f>Table1[[#This Row],[Gross_Sales]]-Table1[[#This Row],[Discount]]</f>
        <v>29199.508972899948</v>
      </c>
      <c r="N1286" s="3">
        <v>21427.89</v>
      </c>
      <c r="O1286" s="3">
        <v>578.70000000000005</v>
      </c>
      <c r="P1286" s="3">
        <v>1489.17</v>
      </c>
      <c r="Q1286" s="3">
        <v>778.04</v>
      </c>
      <c r="R1286" s="3">
        <v>631.54</v>
      </c>
      <c r="S1286" s="3">
        <f>SUM(Table1[[#This Row],[Product_Cost]:[Other_Cost]])</f>
        <v>24905.340000000004</v>
      </c>
      <c r="T1286" s="3">
        <f>Table1[[#This Row],[Net_Sales]]-Table1[[#This Row],[Product_Cost]]</f>
        <v>7771.6189728999489</v>
      </c>
      <c r="U1286" s="3">
        <f>Table1[[#This Row],[Net_Sales]]-Table1[[#This Row],[Total_Cost]]</f>
        <v>4294.1689728999445</v>
      </c>
      <c r="V1286" s="4">
        <f>Table1[[#This Row],[Net_Profit]]/Table1[[#This Row],[Net_Sales]]</f>
        <v>0.14706305427551405</v>
      </c>
      <c r="W1286" t="s">
        <v>33</v>
      </c>
      <c r="X1286" t="s">
        <v>1280</v>
      </c>
      <c r="Y1286">
        <v>11</v>
      </c>
      <c r="Z1286" t="str">
        <f>IF(Table1[[#This Row],[Month_No]]&lt;=6, "H1","H2")</f>
        <v>H2</v>
      </c>
    </row>
    <row r="1287" spans="1:26" x14ac:dyDescent="0.25">
      <c r="A1287" s="2">
        <v>45981</v>
      </c>
      <c r="B1287" t="s">
        <v>1370</v>
      </c>
      <c r="C1287" t="s">
        <v>117</v>
      </c>
      <c r="D1287" t="s">
        <v>28</v>
      </c>
      <c r="E1287" t="s">
        <v>29</v>
      </c>
      <c r="F1287" t="s">
        <v>30</v>
      </c>
      <c r="G1287" t="s">
        <v>31</v>
      </c>
      <c r="H1287" t="s">
        <v>59</v>
      </c>
      <c r="I1287">
        <v>66.419992852853753</v>
      </c>
      <c r="J1287" s="3">
        <v>1275.24</v>
      </c>
      <c r="K1287" s="3">
        <f>Table1[[#This Row],[Quantity]]*Table1[[#This Row],[Unit_Price]]</f>
        <v>84701.431685673218</v>
      </c>
      <c r="L1287" s="3">
        <v>3050.21</v>
      </c>
      <c r="M1287" s="3">
        <f>Table1[[#This Row],[Gross_Sales]]-Table1[[#This Row],[Discount]]</f>
        <v>81651.221685673212</v>
      </c>
      <c r="N1287" s="3">
        <v>41273.18</v>
      </c>
      <c r="O1287" s="3">
        <v>2128.6</v>
      </c>
      <c r="P1287" s="3">
        <v>4157.3</v>
      </c>
      <c r="Q1287" s="3">
        <v>1790.97</v>
      </c>
      <c r="R1287" s="3">
        <v>1552.42</v>
      </c>
      <c r="S1287" s="3">
        <f>SUM(Table1[[#This Row],[Product_Cost]:[Other_Cost]])</f>
        <v>50902.47</v>
      </c>
      <c r="T1287" s="3">
        <f>Table1[[#This Row],[Net_Sales]]-Table1[[#This Row],[Product_Cost]]</f>
        <v>40378.041685673212</v>
      </c>
      <c r="U1287" s="3">
        <f>Table1[[#This Row],[Net_Sales]]-Table1[[#This Row],[Total_Cost]]</f>
        <v>30748.751685673211</v>
      </c>
      <c r="V1287" s="4">
        <f>Table1[[#This Row],[Net_Profit]]/Table1[[#This Row],[Net_Sales]]</f>
        <v>0.37658654764584482</v>
      </c>
      <c r="W1287" t="s">
        <v>72</v>
      </c>
      <c r="X1287" t="s">
        <v>1280</v>
      </c>
      <c r="Y1287">
        <v>11</v>
      </c>
      <c r="Z1287" t="str">
        <f>IF(Table1[[#This Row],[Month_No]]&lt;=6, "H1","H2")</f>
        <v>H2</v>
      </c>
    </row>
    <row r="1288" spans="1:26" x14ac:dyDescent="0.25">
      <c r="A1288" s="2">
        <v>45981</v>
      </c>
      <c r="B1288" t="s">
        <v>1371</v>
      </c>
      <c r="C1288" t="s">
        <v>49</v>
      </c>
      <c r="D1288" t="s">
        <v>74</v>
      </c>
      <c r="E1288" t="s">
        <v>75</v>
      </c>
      <c r="F1288" t="s">
        <v>30</v>
      </c>
      <c r="G1288" t="s">
        <v>76</v>
      </c>
      <c r="H1288" t="s">
        <v>32</v>
      </c>
      <c r="I1288">
        <v>57.156668467407783</v>
      </c>
      <c r="J1288" s="3">
        <v>6000.46</v>
      </c>
      <c r="K1288" s="3">
        <f>Table1[[#This Row],[Quantity]]*Table1[[#This Row],[Unit_Price]]</f>
        <v>342966.30287194171</v>
      </c>
      <c r="L1288" s="3">
        <v>14593.41</v>
      </c>
      <c r="M1288" s="3">
        <f>Table1[[#This Row],[Gross_Sales]]-Table1[[#This Row],[Discount]]</f>
        <v>328372.89287194173</v>
      </c>
      <c r="N1288" s="3">
        <v>226610.49</v>
      </c>
      <c r="O1288" s="3">
        <v>8254.1200000000008</v>
      </c>
      <c r="P1288" s="3">
        <v>19717.03</v>
      </c>
      <c r="Q1288" s="3">
        <v>7528.9</v>
      </c>
      <c r="R1288" s="3">
        <v>5090.17</v>
      </c>
      <c r="S1288" s="3">
        <f>SUM(Table1[[#This Row],[Product_Cost]:[Other_Cost]])</f>
        <v>267200.70999999996</v>
      </c>
      <c r="T1288" s="3">
        <f>Table1[[#This Row],[Net_Sales]]-Table1[[#This Row],[Product_Cost]]</f>
        <v>101762.40287194174</v>
      </c>
      <c r="U1288" s="3">
        <f>Table1[[#This Row],[Net_Sales]]-Table1[[#This Row],[Total_Cost]]</f>
        <v>61172.182871941768</v>
      </c>
      <c r="V1288" s="4">
        <f>Table1[[#This Row],[Net_Profit]]/Table1[[#This Row],[Net_Sales]]</f>
        <v>0.18628877169772229</v>
      </c>
      <c r="W1288" t="s">
        <v>33</v>
      </c>
      <c r="X1288" t="s">
        <v>1280</v>
      </c>
      <c r="Y1288">
        <v>11</v>
      </c>
      <c r="Z1288" t="str">
        <f>IF(Table1[[#This Row],[Month_No]]&lt;=6, "H1","H2")</f>
        <v>H2</v>
      </c>
    </row>
    <row r="1289" spans="1:26" x14ac:dyDescent="0.25">
      <c r="A1289" s="2">
        <v>45981</v>
      </c>
      <c r="B1289" t="s">
        <v>1372</v>
      </c>
      <c r="C1289" t="s">
        <v>49</v>
      </c>
      <c r="D1289" t="s">
        <v>81</v>
      </c>
      <c r="E1289" t="s">
        <v>45</v>
      </c>
      <c r="F1289" t="s">
        <v>52</v>
      </c>
      <c r="G1289" t="s">
        <v>58</v>
      </c>
      <c r="H1289" t="s">
        <v>41</v>
      </c>
      <c r="I1289">
        <v>30.546342831107332</v>
      </c>
      <c r="J1289" s="3">
        <v>7157.38</v>
      </c>
      <c r="K1289" s="3">
        <f>Table1[[#This Row],[Quantity]]*Table1[[#This Row],[Unit_Price]]</f>
        <v>218631.783252511</v>
      </c>
      <c r="L1289" s="3">
        <v>7564.19</v>
      </c>
      <c r="M1289" s="3">
        <f>Table1[[#This Row],[Gross_Sales]]-Table1[[#This Row],[Discount]]</f>
        <v>211067.593252511</v>
      </c>
      <c r="N1289" s="3">
        <v>108954.66</v>
      </c>
      <c r="O1289" s="3">
        <v>3394.34</v>
      </c>
      <c r="P1289" s="3">
        <v>10630.05</v>
      </c>
      <c r="Q1289" s="3">
        <v>5002.21</v>
      </c>
      <c r="R1289" s="3">
        <v>3273.95</v>
      </c>
      <c r="S1289" s="3">
        <f>SUM(Table1[[#This Row],[Product_Cost]:[Other_Cost]])</f>
        <v>131255.21000000002</v>
      </c>
      <c r="T1289" s="3">
        <f>Table1[[#This Row],[Net_Sales]]-Table1[[#This Row],[Product_Cost]]</f>
        <v>102112.93325251099</v>
      </c>
      <c r="U1289" s="3">
        <f>Table1[[#This Row],[Net_Sales]]-Table1[[#This Row],[Total_Cost]]</f>
        <v>79812.383252510976</v>
      </c>
      <c r="V1289" s="4">
        <f>Table1[[#This Row],[Net_Profit]]/Table1[[#This Row],[Net_Sales]]</f>
        <v>0.37813660554241185</v>
      </c>
      <c r="W1289" t="s">
        <v>72</v>
      </c>
      <c r="X1289" t="s">
        <v>1280</v>
      </c>
      <c r="Y1289">
        <v>11</v>
      </c>
      <c r="Z1289" t="str">
        <f>IF(Table1[[#This Row],[Month_No]]&lt;=6, "H1","H2")</f>
        <v>H2</v>
      </c>
    </row>
    <row r="1290" spans="1:26" x14ac:dyDescent="0.25">
      <c r="A1290" s="2">
        <v>45982</v>
      </c>
      <c r="B1290" t="s">
        <v>1373</v>
      </c>
      <c r="C1290" t="s">
        <v>98</v>
      </c>
      <c r="D1290" t="s">
        <v>66</v>
      </c>
      <c r="E1290" t="s">
        <v>51</v>
      </c>
      <c r="F1290" t="s">
        <v>46</v>
      </c>
      <c r="G1290" t="s">
        <v>31</v>
      </c>
      <c r="H1290" t="s">
        <v>59</v>
      </c>
      <c r="I1290">
        <v>45.669968180554953</v>
      </c>
      <c r="J1290" s="3">
        <v>1619.32</v>
      </c>
      <c r="K1290" s="3">
        <f>Table1[[#This Row],[Quantity]]*Table1[[#This Row],[Unit_Price]]</f>
        <v>73954.292874136241</v>
      </c>
      <c r="L1290" s="3">
        <v>1920.95</v>
      </c>
      <c r="M1290" s="3">
        <f>Table1[[#This Row],[Gross_Sales]]-Table1[[#This Row],[Discount]]</f>
        <v>72033.342874136244</v>
      </c>
      <c r="N1290" s="3">
        <v>35129.64</v>
      </c>
      <c r="O1290" s="3">
        <v>1558.23</v>
      </c>
      <c r="P1290" s="3">
        <v>3580.91</v>
      </c>
      <c r="Q1290" s="3">
        <v>1652.78</v>
      </c>
      <c r="R1290" s="3">
        <v>1130.6300000000001</v>
      </c>
      <c r="S1290" s="3">
        <f>SUM(Table1[[#This Row],[Product_Cost]:[Other_Cost]])</f>
        <v>43052.189999999995</v>
      </c>
      <c r="T1290" s="3">
        <f>Table1[[#This Row],[Net_Sales]]-Table1[[#This Row],[Product_Cost]]</f>
        <v>36903.702874136245</v>
      </c>
      <c r="U1290" s="3">
        <f>Table1[[#This Row],[Net_Sales]]-Table1[[#This Row],[Total_Cost]]</f>
        <v>28981.152874136249</v>
      </c>
      <c r="V1290" s="4">
        <f>Table1[[#This Row],[Net_Profit]]/Table1[[#This Row],[Net_Sales]]</f>
        <v>0.40232969507988786</v>
      </c>
      <c r="W1290" t="s">
        <v>33</v>
      </c>
      <c r="X1290" t="s">
        <v>1280</v>
      </c>
      <c r="Y1290">
        <v>11</v>
      </c>
      <c r="Z1290" t="str">
        <f>IF(Table1[[#This Row],[Month_No]]&lt;=6, "H1","H2")</f>
        <v>H2</v>
      </c>
    </row>
    <row r="1291" spans="1:26" x14ac:dyDescent="0.25">
      <c r="A1291" s="2">
        <v>45982</v>
      </c>
      <c r="B1291" t="s">
        <v>1374</v>
      </c>
      <c r="C1291" t="s">
        <v>98</v>
      </c>
      <c r="D1291" t="s">
        <v>183</v>
      </c>
      <c r="E1291" t="s">
        <v>38</v>
      </c>
      <c r="F1291" t="s">
        <v>52</v>
      </c>
      <c r="G1291" t="s">
        <v>58</v>
      </c>
      <c r="H1291" t="s">
        <v>47</v>
      </c>
      <c r="I1291">
        <v>36.146951812653072</v>
      </c>
      <c r="J1291" s="3">
        <v>7138.4</v>
      </c>
      <c r="K1291" s="3">
        <f>Table1[[#This Row],[Quantity]]*Table1[[#This Row],[Unit_Price]]</f>
        <v>258031.40081944267</v>
      </c>
      <c r="L1291" s="3">
        <v>10607.91</v>
      </c>
      <c r="M1291" s="3">
        <f>Table1[[#This Row],[Gross_Sales]]-Table1[[#This Row],[Discount]]</f>
        <v>247423.49081944267</v>
      </c>
      <c r="N1291" s="3">
        <v>125488.34</v>
      </c>
      <c r="O1291" s="3">
        <v>4938.38</v>
      </c>
      <c r="P1291" s="3">
        <v>12307.7</v>
      </c>
      <c r="Q1291" s="3">
        <v>6094.35</v>
      </c>
      <c r="R1291" s="3">
        <v>4074.65</v>
      </c>
      <c r="S1291" s="3">
        <f>SUM(Table1[[#This Row],[Product_Cost]:[Other_Cost]])</f>
        <v>152903.42000000001</v>
      </c>
      <c r="T1291" s="3">
        <f>Table1[[#This Row],[Net_Sales]]-Table1[[#This Row],[Product_Cost]]</f>
        <v>121935.15081944267</v>
      </c>
      <c r="U1291" s="3">
        <f>Table1[[#This Row],[Net_Sales]]-Table1[[#This Row],[Total_Cost]]</f>
        <v>94520.070819442655</v>
      </c>
      <c r="V1291" s="4">
        <f>Table1[[#This Row],[Net_Profit]]/Table1[[#This Row],[Net_Sales]]</f>
        <v>0.38201736830404148</v>
      </c>
      <c r="W1291" t="s">
        <v>33</v>
      </c>
      <c r="X1291" t="s">
        <v>1280</v>
      </c>
      <c r="Y1291">
        <v>11</v>
      </c>
      <c r="Z1291" t="str">
        <f>IF(Table1[[#This Row],[Month_No]]&lt;=6, "H1","H2")</f>
        <v>H2</v>
      </c>
    </row>
    <row r="1292" spans="1:26" x14ac:dyDescent="0.25">
      <c r="A1292" s="2">
        <v>45982</v>
      </c>
      <c r="B1292" t="s">
        <v>1375</v>
      </c>
      <c r="C1292" t="s">
        <v>55</v>
      </c>
      <c r="D1292" t="s">
        <v>85</v>
      </c>
      <c r="E1292" t="s">
        <v>57</v>
      </c>
      <c r="F1292" t="s">
        <v>52</v>
      </c>
      <c r="G1292" t="s">
        <v>76</v>
      </c>
      <c r="H1292" t="s">
        <v>32</v>
      </c>
      <c r="I1292">
        <v>54.00314632524389</v>
      </c>
      <c r="J1292" s="3">
        <v>2045.09</v>
      </c>
      <c r="K1292" s="3">
        <f>Table1[[#This Row],[Quantity]]*Table1[[#This Row],[Unit_Price]]</f>
        <v>110441.29451829303</v>
      </c>
      <c r="L1292" s="3">
        <v>3887.71</v>
      </c>
      <c r="M1292" s="3">
        <f>Table1[[#This Row],[Gross_Sales]]-Table1[[#This Row],[Discount]]</f>
        <v>106553.58451829302</v>
      </c>
      <c r="N1292" s="3">
        <v>64666.17</v>
      </c>
      <c r="O1292" s="3">
        <v>1988.4</v>
      </c>
      <c r="P1292" s="3">
        <v>5363.09</v>
      </c>
      <c r="Q1292" s="3">
        <v>2877.82</v>
      </c>
      <c r="R1292" s="3">
        <v>1694.99</v>
      </c>
      <c r="S1292" s="3">
        <f>SUM(Table1[[#This Row],[Product_Cost]:[Other_Cost]])</f>
        <v>76590.47</v>
      </c>
      <c r="T1292" s="3">
        <f>Table1[[#This Row],[Net_Sales]]-Table1[[#This Row],[Product_Cost]]</f>
        <v>41887.414518293022</v>
      </c>
      <c r="U1292" s="3">
        <f>Table1[[#This Row],[Net_Sales]]-Table1[[#This Row],[Total_Cost]]</f>
        <v>29963.11451829302</v>
      </c>
      <c r="V1292" s="4">
        <f>Table1[[#This Row],[Net_Profit]]/Table1[[#This Row],[Net_Sales]]</f>
        <v>0.28120231387569117</v>
      </c>
      <c r="W1292" t="s">
        <v>33</v>
      </c>
      <c r="X1292" t="s">
        <v>1280</v>
      </c>
      <c r="Y1292">
        <v>11</v>
      </c>
      <c r="Z1292" t="str">
        <f>IF(Table1[[#This Row],[Month_No]]&lt;=6, "H1","H2")</f>
        <v>H2</v>
      </c>
    </row>
    <row r="1293" spans="1:26" x14ac:dyDescent="0.25">
      <c r="A1293" s="2">
        <v>45982</v>
      </c>
      <c r="B1293" t="s">
        <v>1376</v>
      </c>
      <c r="C1293" t="s">
        <v>27</v>
      </c>
      <c r="D1293" t="s">
        <v>66</v>
      </c>
      <c r="E1293" t="s">
        <v>51</v>
      </c>
      <c r="F1293" t="s">
        <v>30</v>
      </c>
      <c r="G1293" t="s">
        <v>31</v>
      </c>
      <c r="H1293" t="s">
        <v>59</v>
      </c>
      <c r="I1293">
        <v>34.743225488146869</v>
      </c>
      <c r="J1293" s="3">
        <v>1582.97</v>
      </c>
      <c r="K1293" s="3">
        <f>Table1[[#This Row],[Quantity]]*Table1[[#This Row],[Unit_Price]]</f>
        <v>54997.483650971852</v>
      </c>
      <c r="L1293" s="3">
        <v>1914.46</v>
      </c>
      <c r="M1293" s="3">
        <f>Table1[[#This Row],[Gross_Sales]]-Table1[[#This Row],[Discount]]</f>
        <v>53083.023650971852</v>
      </c>
      <c r="N1293" s="3">
        <v>24921.19</v>
      </c>
      <c r="O1293" s="3">
        <v>1197.1099999999999</v>
      </c>
      <c r="P1293" s="3">
        <v>3219.57</v>
      </c>
      <c r="Q1293" s="3">
        <v>1363.67</v>
      </c>
      <c r="R1293" s="3">
        <v>1017.77</v>
      </c>
      <c r="S1293" s="3">
        <f>SUM(Table1[[#This Row],[Product_Cost]:[Other_Cost]])</f>
        <v>31719.31</v>
      </c>
      <c r="T1293" s="3">
        <f>Table1[[#This Row],[Net_Sales]]-Table1[[#This Row],[Product_Cost]]</f>
        <v>28161.833650971854</v>
      </c>
      <c r="U1293" s="3">
        <f>Table1[[#This Row],[Net_Sales]]-Table1[[#This Row],[Total_Cost]]</f>
        <v>21363.713650971851</v>
      </c>
      <c r="V1293" s="4">
        <f>Table1[[#This Row],[Net_Profit]]/Table1[[#This Row],[Net_Sales]]</f>
        <v>0.40245849203016754</v>
      </c>
      <c r="W1293" t="s">
        <v>33</v>
      </c>
      <c r="X1293" t="s">
        <v>1280</v>
      </c>
      <c r="Y1293">
        <v>11</v>
      </c>
      <c r="Z1293" t="str">
        <f>IF(Table1[[#This Row],[Month_No]]&lt;=6, "H1","H2")</f>
        <v>H2</v>
      </c>
    </row>
    <row r="1294" spans="1:26" x14ac:dyDescent="0.25">
      <c r="A1294" s="2">
        <v>45982</v>
      </c>
      <c r="B1294" t="s">
        <v>1377</v>
      </c>
      <c r="C1294" t="s">
        <v>63</v>
      </c>
      <c r="D1294" t="s">
        <v>50</v>
      </c>
      <c r="E1294" t="s">
        <v>51</v>
      </c>
      <c r="F1294" t="s">
        <v>30</v>
      </c>
      <c r="G1294" t="s">
        <v>76</v>
      </c>
      <c r="H1294" t="s">
        <v>47</v>
      </c>
      <c r="I1294">
        <v>55.607157054892077</v>
      </c>
      <c r="J1294" s="3">
        <v>883.59</v>
      </c>
      <c r="K1294" s="3">
        <f>Table1[[#This Row],[Quantity]]*Table1[[#This Row],[Unit_Price]]</f>
        <v>49133.927902132091</v>
      </c>
      <c r="L1294" s="3">
        <v>2004.78</v>
      </c>
      <c r="M1294" s="3">
        <f>Table1[[#This Row],[Gross_Sales]]-Table1[[#This Row],[Discount]]</f>
        <v>47129.147902132092</v>
      </c>
      <c r="N1294" s="3">
        <v>29694.9</v>
      </c>
      <c r="O1294" s="3">
        <v>1054.3900000000001</v>
      </c>
      <c r="P1294" s="3">
        <v>2585.6</v>
      </c>
      <c r="Q1294" s="3">
        <v>1141.47</v>
      </c>
      <c r="R1294" s="3">
        <v>895.29</v>
      </c>
      <c r="S1294" s="3">
        <f>SUM(Table1[[#This Row],[Product_Cost]:[Other_Cost]])</f>
        <v>35371.65</v>
      </c>
      <c r="T1294" s="3">
        <f>Table1[[#This Row],[Net_Sales]]-Table1[[#This Row],[Product_Cost]]</f>
        <v>17434.247902132091</v>
      </c>
      <c r="U1294" s="3">
        <f>Table1[[#This Row],[Net_Sales]]-Table1[[#This Row],[Total_Cost]]</f>
        <v>11757.497902132091</v>
      </c>
      <c r="V1294" s="4">
        <f>Table1[[#This Row],[Net_Profit]]/Table1[[#This Row],[Net_Sales]]</f>
        <v>0.24947401821368786</v>
      </c>
      <c r="W1294" t="s">
        <v>33</v>
      </c>
      <c r="X1294" t="s">
        <v>1280</v>
      </c>
      <c r="Y1294">
        <v>11</v>
      </c>
      <c r="Z1294" t="str">
        <f>IF(Table1[[#This Row],[Month_No]]&lt;=6, "H1","H2")</f>
        <v>H2</v>
      </c>
    </row>
    <row r="1295" spans="1:26" x14ac:dyDescent="0.25">
      <c r="A1295" s="2">
        <v>45983</v>
      </c>
      <c r="B1295" t="s">
        <v>1378</v>
      </c>
      <c r="C1295" t="s">
        <v>117</v>
      </c>
      <c r="D1295" t="s">
        <v>66</v>
      </c>
      <c r="E1295" t="s">
        <v>51</v>
      </c>
      <c r="F1295" t="s">
        <v>52</v>
      </c>
      <c r="G1295" t="s">
        <v>61</v>
      </c>
      <c r="H1295" t="s">
        <v>59</v>
      </c>
      <c r="I1295">
        <v>30.288227776784151</v>
      </c>
      <c r="J1295" s="3">
        <v>1546.35</v>
      </c>
      <c r="K1295" s="3">
        <f>Table1[[#This Row],[Quantity]]*Table1[[#This Row],[Unit_Price]]</f>
        <v>46836.201022630172</v>
      </c>
      <c r="L1295" s="3">
        <v>1664.44</v>
      </c>
      <c r="M1295" s="3">
        <f>Table1[[#This Row],[Gross_Sales]]-Table1[[#This Row],[Discount]]</f>
        <v>45171.761022630169</v>
      </c>
      <c r="N1295" s="3">
        <v>21377.09</v>
      </c>
      <c r="O1295" s="3">
        <v>963.93</v>
      </c>
      <c r="P1295" s="3">
        <v>2663.06</v>
      </c>
      <c r="Q1295" s="3">
        <v>1059.68</v>
      </c>
      <c r="R1295" s="3">
        <v>874.86</v>
      </c>
      <c r="S1295" s="3">
        <f>SUM(Table1[[#This Row],[Product_Cost]:[Other_Cost]])</f>
        <v>26938.620000000003</v>
      </c>
      <c r="T1295" s="3">
        <f>Table1[[#This Row],[Net_Sales]]-Table1[[#This Row],[Product_Cost]]</f>
        <v>23794.671022630169</v>
      </c>
      <c r="U1295" s="3">
        <f>Table1[[#This Row],[Net_Sales]]-Table1[[#This Row],[Total_Cost]]</f>
        <v>18233.141022630167</v>
      </c>
      <c r="V1295" s="4">
        <f>Table1[[#This Row],[Net_Profit]]/Table1[[#This Row],[Net_Sales]]</f>
        <v>0.40364025244656104</v>
      </c>
      <c r="W1295" t="s">
        <v>72</v>
      </c>
      <c r="X1295" t="s">
        <v>1280</v>
      </c>
      <c r="Y1295">
        <v>11</v>
      </c>
      <c r="Z1295" t="str">
        <f>IF(Table1[[#This Row],[Month_No]]&lt;=6, "H1","H2")</f>
        <v>H2</v>
      </c>
    </row>
    <row r="1296" spans="1:26" x14ac:dyDescent="0.25">
      <c r="A1296" s="2">
        <v>45983</v>
      </c>
      <c r="B1296" t="s">
        <v>1379</v>
      </c>
      <c r="C1296" t="s">
        <v>36</v>
      </c>
      <c r="D1296" t="s">
        <v>28</v>
      </c>
      <c r="E1296" t="s">
        <v>29</v>
      </c>
      <c r="F1296" t="s">
        <v>30</v>
      </c>
      <c r="G1296" t="s">
        <v>76</v>
      </c>
      <c r="H1296" t="s">
        <v>32</v>
      </c>
      <c r="I1296">
        <v>20.4158365402706</v>
      </c>
      <c r="J1296" s="3">
        <v>1272.8</v>
      </c>
      <c r="K1296" s="3">
        <f>Table1[[#This Row],[Quantity]]*Table1[[#This Row],[Unit_Price]]</f>
        <v>25985.276748456417</v>
      </c>
      <c r="L1296" s="3">
        <v>1095.75</v>
      </c>
      <c r="M1296" s="3">
        <f>Table1[[#This Row],[Gross_Sales]]-Table1[[#This Row],[Discount]]</f>
        <v>24889.526748456417</v>
      </c>
      <c r="N1296" s="3">
        <v>13837.32</v>
      </c>
      <c r="O1296" s="3">
        <v>642.03</v>
      </c>
      <c r="P1296" s="3">
        <v>1502.22</v>
      </c>
      <c r="Q1296" s="3">
        <v>496.23</v>
      </c>
      <c r="R1296" s="3">
        <v>429.64</v>
      </c>
      <c r="S1296" s="3">
        <f>SUM(Table1[[#This Row],[Product_Cost]:[Other_Cost]])</f>
        <v>16907.439999999999</v>
      </c>
      <c r="T1296" s="3">
        <f>Table1[[#This Row],[Net_Sales]]-Table1[[#This Row],[Product_Cost]]</f>
        <v>11052.206748456418</v>
      </c>
      <c r="U1296" s="3">
        <f>Table1[[#This Row],[Net_Sales]]-Table1[[#This Row],[Total_Cost]]</f>
        <v>7982.0867484564187</v>
      </c>
      <c r="V1296" s="4">
        <f>Table1[[#This Row],[Net_Profit]]/Table1[[#This Row],[Net_Sales]]</f>
        <v>0.32070062356454593</v>
      </c>
      <c r="W1296" t="s">
        <v>33</v>
      </c>
      <c r="X1296" t="s">
        <v>1280</v>
      </c>
      <c r="Y1296">
        <v>11</v>
      </c>
      <c r="Z1296" t="str">
        <f>IF(Table1[[#This Row],[Month_No]]&lt;=6, "H1","H2")</f>
        <v>H2</v>
      </c>
    </row>
    <row r="1297" spans="1:26" x14ac:dyDescent="0.25">
      <c r="A1297" s="2">
        <v>45983</v>
      </c>
      <c r="B1297" t="s">
        <v>1380</v>
      </c>
      <c r="C1297" t="s">
        <v>107</v>
      </c>
      <c r="D1297" t="s">
        <v>28</v>
      </c>
      <c r="E1297" t="s">
        <v>29</v>
      </c>
      <c r="F1297" t="s">
        <v>52</v>
      </c>
      <c r="G1297" t="s">
        <v>71</v>
      </c>
      <c r="H1297" t="s">
        <v>47</v>
      </c>
      <c r="I1297">
        <v>49.872989480454351</v>
      </c>
      <c r="J1297" s="3">
        <v>1295.6400000000001</v>
      </c>
      <c r="K1297" s="3">
        <f>Table1[[#This Row],[Quantity]]*Table1[[#This Row],[Unit_Price]]</f>
        <v>64617.440090455879</v>
      </c>
      <c r="L1297" s="3">
        <v>1797.38</v>
      </c>
      <c r="M1297" s="3">
        <f>Table1[[#This Row],[Gross_Sales]]-Table1[[#This Row],[Discount]]</f>
        <v>62820.060090455881</v>
      </c>
      <c r="N1297" s="3">
        <v>34966.050000000003</v>
      </c>
      <c r="O1297" s="3">
        <v>1070.22</v>
      </c>
      <c r="P1297" s="3">
        <v>3233.74</v>
      </c>
      <c r="Q1297" s="3">
        <v>1720.57</v>
      </c>
      <c r="R1297" s="3">
        <v>1205.51</v>
      </c>
      <c r="S1297" s="3">
        <f>SUM(Table1[[#This Row],[Product_Cost]:[Other_Cost]])</f>
        <v>42196.090000000004</v>
      </c>
      <c r="T1297" s="3">
        <f>Table1[[#This Row],[Net_Sales]]-Table1[[#This Row],[Product_Cost]]</f>
        <v>27854.010090455879</v>
      </c>
      <c r="U1297" s="3">
        <f>Table1[[#This Row],[Net_Sales]]-Table1[[#This Row],[Total_Cost]]</f>
        <v>20623.970090455878</v>
      </c>
      <c r="V1297" s="4">
        <f>Table1[[#This Row],[Net_Profit]]/Table1[[#This Row],[Net_Sales]]</f>
        <v>0.32830229803599364</v>
      </c>
      <c r="W1297" t="s">
        <v>33</v>
      </c>
      <c r="X1297" t="s">
        <v>1280</v>
      </c>
      <c r="Y1297">
        <v>11</v>
      </c>
      <c r="Z1297" t="str">
        <f>IF(Table1[[#This Row],[Month_No]]&lt;=6, "H1","H2")</f>
        <v>H2</v>
      </c>
    </row>
    <row r="1298" spans="1:26" x14ac:dyDescent="0.25">
      <c r="A1298" s="2">
        <v>45983</v>
      </c>
      <c r="B1298" t="s">
        <v>1381</v>
      </c>
      <c r="C1298" t="s">
        <v>78</v>
      </c>
      <c r="D1298" t="s">
        <v>44</v>
      </c>
      <c r="E1298" t="s">
        <v>45</v>
      </c>
      <c r="F1298" t="s">
        <v>46</v>
      </c>
      <c r="G1298" t="s">
        <v>31</v>
      </c>
      <c r="H1298" t="s">
        <v>59</v>
      </c>
      <c r="I1298">
        <v>64.667659208501718</v>
      </c>
      <c r="J1298" s="3">
        <v>5051.3100000000004</v>
      </c>
      <c r="K1298" s="3">
        <f>Table1[[#This Row],[Quantity]]*Table1[[#This Row],[Unit_Price]]</f>
        <v>326656.39363649685</v>
      </c>
      <c r="L1298" s="3">
        <v>9540.1</v>
      </c>
      <c r="M1298" s="3">
        <f>Table1[[#This Row],[Gross_Sales]]-Table1[[#This Row],[Discount]]</f>
        <v>317116.29363649688</v>
      </c>
      <c r="N1298" s="3">
        <v>204957.24</v>
      </c>
      <c r="O1298" s="3">
        <v>6207.1</v>
      </c>
      <c r="P1298" s="3">
        <v>15335.38</v>
      </c>
      <c r="Q1298" s="3">
        <v>8310.39</v>
      </c>
      <c r="R1298" s="3">
        <v>4843.32</v>
      </c>
      <c r="S1298" s="3">
        <f>SUM(Table1[[#This Row],[Product_Cost]:[Other_Cost]])</f>
        <v>239653.43</v>
      </c>
      <c r="T1298" s="3">
        <f>Table1[[#This Row],[Net_Sales]]-Table1[[#This Row],[Product_Cost]]</f>
        <v>112159.05363649689</v>
      </c>
      <c r="U1298" s="3">
        <f>Table1[[#This Row],[Net_Sales]]-Table1[[#This Row],[Total_Cost]]</f>
        <v>77462.863636496884</v>
      </c>
      <c r="V1298" s="4">
        <f>Table1[[#This Row],[Net_Profit]]/Table1[[#This Row],[Net_Sales]]</f>
        <v>0.24427273271959588</v>
      </c>
      <c r="W1298" t="s">
        <v>33</v>
      </c>
      <c r="X1298" t="s">
        <v>1280</v>
      </c>
      <c r="Y1298">
        <v>11</v>
      </c>
      <c r="Z1298" t="str">
        <f>IF(Table1[[#This Row],[Month_No]]&lt;=6, "H1","H2")</f>
        <v>H2</v>
      </c>
    </row>
    <row r="1299" spans="1:26" x14ac:dyDescent="0.25">
      <c r="A1299" s="2">
        <v>45983</v>
      </c>
      <c r="B1299" t="s">
        <v>1382</v>
      </c>
      <c r="C1299" t="s">
        <v>107</v>
      </c>
      <c r="D1299" t="s">
        <v>183</v>
      </c>
      <c r="E1299" t="s">
        <v>38</v>
      </c>
      <c r="F1299" t="s">
        <v>52</v>
      </c>
      <c r="G1299" t="s">
        <v>58</v>
      </c>
      <c r="H1299" t="s">
        <v>59</v>
      </c>
      <c r="I1299">
        <v>41.559600672547937</v>
      </c>
      <c r="J1299" s="3">
        <v>6900.12</v>
      </c>
      <c r="K1299" s="3">
        <f>Table1[[#This Row],[Quantity]]*Table1[[#This Row],[Unit_Price]]</f>
        <v>286766.23179266148</v>
      </c>
      <c r="L1299" s="3">
        <v>10547.83</v>
      </c>
      <c r="M1299" s="3">
        <f>Table1[[#This Row],[Gross_Sales]]-Table1[[#This Row],[Discount]]</f>
        <v>276218.40179266146</v>
      </c>
      <c r="N1299" s="3">
        <v>141018.26</v>
      </c>
      <c r="O1299" s="3">
        <v>4302.21</v>
      </c>
      <c r="P1299" s="3">
        <v>14074.66</v>
      </c>
      <c r="Q1299" s="3">
        <v>5074.08</v>
      </c>
      <c r="R1299" s="3">
        <v>4738.72</v>
      </c>
      <c r="S1299" s="3">
        <f>SUM(Table1[[#This Row],[Product_Cost]:[Other_Cost]])</f>
        <v>169207.93</v>
      </c>
      <c r="T1299" s="3">
        <f>Table1[[#This Row],[Net_Sales]]-Table1[[#This Row],[Product_Cost]]</f>
        <v>135200.14179266145</v>
      </c>
      <c r="U1299" s="3">
        <f>Table1[[#This Row],[Net_Sales]]-Table1[[#This Row],[Total_Cost]]</f>
        <v>107010.47179266147</v>
      </c>
      <c r="V1299" s="4">
        <f>Table1[[#This Row],[Net_Profit]]/Table1[[#This Row],[Net_Sales]]</f>
        <v>0.38741253695684991</v>
      </c>
      <c r="W1299" t="s">
        <v>33</v>
      </c>
      <c r="X1299" t="s">
        <v>1280</v>
      </c>
      <c r="Y1299">
        <v>11</v>
      </c>
      <c r="Z1299" t="str">
        <f>IF(Table1[[#This Row],[Month_No]]&lt;=6, "H1","H2")</f>
        <v>H2</v>
      </c>
    </row>
    <row r="1300" spans="1:26" x14ac:dyDescent="0.25">
      <c r="A1300" s="2">
        <v>45984</v>
      </c>
      <c r="B1300" t="s">
        <v>1383</v>
      </c>
      <c r="C1300" t="s">
        <v>43</v>
      </c>
      <c r="D1300" t="s">
        <v>66</v>
      </c>
      <c r="E1300" t="s">
        <v>51</v>
      </c>
      <c r="F1300" t="s">
        <v>46</v>
      </c>
      <c r="G1300" t="s">
        <v>86</v>
      </c>
      <c r="H1300" t="s">
        <v>47</v>
      </c>
      <c r="I1300">
        <v>16.68253547349693</v>
      </c>
      <c r="J1300" s="3">
        <v>1604.51</v>
      </c>
      <c r="K1300" s="3">
        <f>Table1[[#This Row],[Quantity]]*Table1[[#This Row],[Unit_Price]]</f>
        <v>26767.294992580559</v>
      </c>
      <c r="L1300" s="3">
        <v>761.53</v>
      </c>
      <c r="M1300" s="3">
        <f>Table1[[#This Row],[Gross_Sales]]-Table1[[#This Row],[Discount]]</f>
        <v>26005.76499258056</v>
      </c>
      <c r="N1300" s="3">
        <v>11723.56</v>
      </c>
      <c r="O1300" s="3">
        <v>615.79</v>
      </c>
      <c r="P1300" s="3">
        <v>1341.49</v>
      </c>
      <c r="Q1300" s="3">
        <v>694.38</v>
      </c>
      <c r="R1300" s="3">
        <v>529.12</v>
      </c>
      <c r="S1300" s="3">
        <f>SUM(Table1[[#This Row],[Product_Cost]:[Other_Cost]])</f>
        <v>14904.339999999998</v>
      </c>
      <c r="T1300" s="3">
        <f>Table1[[#This Row],[Net_Sales]]-Table1[[#This Row],[Product_Cost]]</f>
        <v>14282.20499258056</v>
      </c>
      <c r="U1300" s="3">
        <f>Table1[[#This Row],[Net_Sales]]-Table1[[#This Row],[Total_Cost]]</f>
        <v>11101.424992580562</v>
      </c>
      <c r="V1300" s="4">
        <f>Table1[[#This Row],[Net_Profit]]/Table1[[#This Row],[Net_Sales]]</f>
        <v>0.42688323130458944</v>
      </c>
      <c r="W1300" t="s">
        <v>72</v>
      </c>
      <c r="X1300" t="s">
        <v>1280</v>
      </c>
      <c r="Y1300">
        <v>11</v>
      </c>
      <c r="Z1300" t="str">
        <f>IF(Table1[[#This Row],[Month_No]]&lt;=6, "H1","H2")</f>
        <v>H2</v>
      </c>
    </row>
    <row r="1301" spans="1:26" x14ac:dyDescent="0.25">
      <c r="A1301" s="2">
        <v>45984</v>
      </c>
      <c r="B1301" t="s">
        <v>1384</v>
      </c>
      <c r="C1301" t="s">
        <v>70</v>
      </c>
      <c r="D1301" t="s">
        <v>44</v>
      </c>
      <c r="E1301" t="s">
        <v>45</v>
      </c>
      <c r="F1301" t="s">
        <v>52</v>
      </c>
      <c r="G1301" t="s">
        <v>64</v>
      </c>
      <c r="H1301" t="s">
        <v>41</v>
      </c>
      <c r="I1301">
        <v>102.25963254980969</v>
      </c>
      <c r="J1301" s="3">
        <v>4853.83</v>
      </c>
      <c r="K1301" s="3">
        <f>Table1[[#This Row],[Quantity]]*Table1[[#This Row],[Unit_Price]]</f>
        <v>496350.87225924281</v>
      </c>
      <c r="L1301" s="3">
        <v>16462.009999999998</v>
      </c>
      <c r="M1301" s="3">
        <f>Table1[[#This Row],[Gross_Sales]]-Table1[[#This Row],[Discount]]</f>
        <v>479888.8622592428</v>
      </c>
      <c r="N1301" s="3">
        <v>299385</v>
      </c>
      <c r="O1301" s="3">
        <v>7795.8</v>
      </c>
      <c r="P1301" s="3">
        <v>28329.7</v>
      </c>
      <c r="Q1301" s="3">
        <v>10208.25</v>
      </c>
      <c r="R1301" s="3">
        <v>9615.17</v>
      </c>
      <c r="S1301" s="3">
        <f>SUM(Table1[[#This Row],[Product_Cost]:[Other_Cost]])</f>
        <v>355333.92</v>
      </c>
      <c r="T1301" s="3">
        <f>Table1[[#This Row],[Net_Sales]]-Table1[[#This Row],[Product_Cost]]</f>
        <v>180503.8622592428</v>
      </c>
      <c r="U1301" s="3">
        <f>Table1[[#This Row],[Net_Sales]]-Table1[[#This Row],[Total_Cost]]</f>
        <v>124554.94225924282</v>
      </c>
      <c r="V1301" s="4">
        <f>Table1[[#This Row],[Net_Profit]]/Table1[[#This Row],[Net_Sales]]</f>
        <v>0.25954955835577709</v>
      </c>
      <c r="W1301" t="s">
        <v>33</v>
      </c>
      <c r="X1301" t="s">
        <v>1280</v>
      </c>
      <c r="Y1301">
        <v>11</v>
      </c>
      <c r="Z1301" t="str">
        <f>IF(Table1[[#This Row],[Month_No]]&lt;=6, "H1","H2")</f>
        <v>H2</v>
      </c>
    </row>
    <row r="1302" spans="1:26" x14ac:dyDescent="0.25">
      <c r="A1302" s="2">
        <v>45984</v>
      </c>
      <c r="B1302" t="s">
        <v>1385</v>
      </c>
      <c r="C1302" t="s">
        <v>107</v>
      </c>
      <c r="D1302" t="s">
        <v>100</v>
      </c>
      <c r="E1302" t="s">
        <v>75</v>
      </c>
      <c r="F1302" t="s">
        <v>52</v>
      </c>
      <c r="G1302" t="s">
        <v>76</v>
      </c>
      <c r="H1302" t="s">
        <v>41</v>
      </c>
      <c r="I1302">
        <v>45.363711813449576</v>
      </c>
      <c r="J1302" s="3">
        <v>7386.42</v>
      </c>
      <c r="K1302" s="3">
        <f>Table1[[#This Row],[Quantity]]*Table1[[#This Row],[Unit_Price]]</f>
        <v>335075.42821310024</v>
      </c>
      <c r="L1302" s="3">
        <v>11221.79</v>
      </c>
      <c r="M1302" s="3">
        <f>Table1[[#This Row],[Gross_Sales]]-Table1[[#This Row],[Discount]]</f>
        <v>323853.63821310026</v>
      </c>
      <c r="N1302" s="3">
        <v>180286.93</v>
      </c>
      <c r="O1302" s="3">
        <v>5165</v>
      </c>
      <c r="P1302" s="3">
        <v>15921.52</v>
      </c>
      <c r="Q1302" s="3">
        <v>5947.34</v>
      </c>
      <c r="R1302" s="3">
        <v>4362.6899999999996</v>
      </c>
      <c r="S1302" s="3">
        <f>SUM(Table1[[#This Row],[Product_Cost]:[Other_Cost]])</f>
        <v>211683.47999999998</v>
      </c>
      <c r="T1302" s="3">
        <f>Table1[[#This Row],[Net_Sales]]-Table1[[#This Row],[Product_Cost]]</f>
        <v>143566.70821310027</v>
      </c>
      <c r="U1302" s="3">
        <f>Table1[[#This Row],[Net_Sales]]-Table1[[#This Row],[Total_Cost]]</f>
        <v>112170.15821310028</v>
      </c>
      <c r="V1302" s="4">
        <f>Table1[[#This Row],[Net_Profit]]/Table1[[#This Row],[Net_Sales]]</f>
        <v>0.34636065486869949</v>
      </c>
      <c r="W1302" t="s">
        <v>33</v>
      </c>
      <c r="X1302" t="s">
        <v>1280</v>
      </c>
      <c r="Y1302">
        <v>11</v>
      </c>
      <c r="Z1302" t="str">
        <f>IF(Table1[[#This Row],[Month_No]]&lt;=6, "H1","H2")</f>
        <v>H2</v>
      </c>
    </row>
    <row r="1303" spans="1:26" x14ac:dyDescent="0.25">
      <c r="A1303" s="2">
        <v>45984</v>
      </c>
      <c r="B1303" t="s">
        <v>1386</v>
      </c>
      <c r="C1303" t="s">
        <v>117</v>
      </c>
      <c r="D1303" t="s">
        <v>81</v>
      </c>
      <c r="E1303" t="s">
        <v>45</v>
      </c>
      <c r="F1303" t="s">
        <v>52</v>
      </c>
      <c r="G1303" t="s">
        <v>58</v>
      </c>
      <c r="H1303" t="s">
        <v>41</v>
      </c>
      <c r="I1303">
        <v>54.351398978113011</v>
      </c>
      <c r="J1303" s="3">
        <v>7248.65</v>
      </c>
      <c r="K1303" s="3">
        <f>Table1[[#This Row],[Quantity]]*Table1[[#This Row],[Unit_Price]]</f>
        <v>393974.26820269885</v>
      </c>
      <c r="L1303" s="3">
        <v>16070.15</v>
      </c>
      <c r="M1303" s="3">
        <f>Table1[[#This Row],[Gross_Sales]]-Table1[[#This Row],[Discount]]</f>
        <v>377904.11820269882</v>
      </c>
      <c r="N1303" s="3">
        <v>189112</v>
      </c>
      <c r="O1303" s="3">
        <v>6430.91</v>
      </c>
      <c r="P1303" s="3">
        <v>22929.34</v>
      </c>
      <c r="Q1303" s="3">
        <v>10411</v>
      </c>
      <c r="R1303" s="3">
        <v>7443.36</v>
      </c>
      <c r="S1303" s="3">
        <f>SUM(Table1[[#This Row],[Product_Cost]:[Other_Cost]])</f>
        <v>236326.61</v>
      </c>
      <c r="T1303" s="3">
        <f>Table1[[#This Row],[Net_Sales]]-Table1[[#This Row],[Product_Cost]]</f>
        <v>188792.11820269882</v>
      </c>
      <c r="U1303" s="3">
        <f>Table1[[#This Row],[Net_Sales]]-Table1[[#This Row],[Total_Cost]]</f>
        <v>141577.50820269884</v>
      </c>
      <c r="V1303" s="4">
        <f>Table1[[#This Row],[Net_Profit]]/Table1[[#This Row],[Net_Sales]]</f>
        <v>0.37463870167924451</v>
      </c>
      <c r="W1303" t="s">
        <v>72</v>
      </c>
      <c r="X1303" t="s">
        <v>1280</v>
      </c>
      <c r="Y1303">
        <v>11</v>
      </c>
      <c r="Z1303" t="str">
        <f>IF(Table1[[#This Row],[Month_No]]&lt;=6, "H1","H2")</f>
        <v>H2</v>
      </c>
    </row>
    <row r="1304" spans="1:26" x14ac:dyDescent="0.25">
      <c r="A1304" s="2">
        <v>45984</v>
      </c>
      <c r="B1304" t="s">
        <v>1387</v>
      </c>
      <c r="C1304" t="s">
        <v>55</v>
      </c>
      <c r="D1304" t="s">
        <v>44</v>
      </c>
      <c r="E1304" t="s">
        <v>45</v>
      </c>
      <c r="F1304" t="s">
        <v>46</v>
      </c>
      <c r="G1304" t="s">
        <v>64</v>
      </c>
      <c r="H1304" t="s">
        <v>41</v>
      </c>
      <c r="I1304">
        <v>63.281099184590772</v>
      </c>
      <c r="J1304" s="3">
        <v>4927.6899999999996</v>
      </c>
      <c r="K1304" s="3">
        <f>Table1[[#This Row],[Quantity]]*Table1[[#This Row],[Unit_Price]]</f>
        <v>311829.63964091608</v>
      </c>
      <c r="L1304" s="3">
        <v>11443.56</v>
      </c>
      <c r="M1304" s="3">
        <f>Table1[[#This Row],[Gross_Sales]]-Table1[[#This Row],[Discount]]</f>
        <v>300386.07964091608</v>
      </c>
      <c r="N1304" s="3">
        <v>196381.45</v>
      </c>
      <c r="O1304" s="3">
        <v>5641.07</v>
      </c>
      <c r="P1304" s="3">
        <v>17818.29</v>
      </c>
      <c r="Q1304" s="3">
        <v>8217.1200000000008</v>
      </c>
      <c r="R1304" s="3">
        <v>5781.84</v>
      </c>
      <c r="S1304" s="3">
        <f>SUM(Table1[[#This Row],[Product_Cost]:[Other_Cost]])</f>
        <v>233839.77000000002</v>
      </c>
      <c r="T1304" s="3">
        <f>Table1[[#This Row],[Net_Sales]]-Table1[[#This Row],[Product_Cost]]</f>
        <v>104004.62964091607</v>
      </c>
      <c r="U1304" s="3">
        <f>Table1[[#This Row],[Net_Sales]]-Table1[[#This Row],[Total_Cost]]</f>
        <v>66546.309640916064</v>
      </c>
      <c r="V1304" s="4">
        <f>Table1[[#This Row],[Net_Profit]]/Table1[[#This Row],[Net_Sales]]</f>
        <v>0.2215359304281545</v>
      </c>
      <c r="W1304" t="s">
        <v>33</v>
      </c>
      <c r="X1304" t="s">
        <v>1280</v>
      </c>
      <c r="Y1304">
        <v>11</v>
      </c>
      <c r="Z1304" t="str">
        <f>IF(Table1[[#This Row],[Month_No]]&lt;=6, "H1","H2")</f>
        <v>H2</v>
      </c>
    </row>
    <row r="1305" spans="1:26" x14ac:dyDescent="0.25">
      <c r="A1305" s="2">
        <v>45984</v>
      </c>
      <c r="B1305" t="s">
        <v>1388</v>
      </c>
      <c r="C1305" t="s">
        <v>83</v>
      </c>
      <c r="D1305" t="s">
        <v>100</v>
      </c>
      <c r="E1305" t="s">
        <v>75</v>
      </c>
      <c r="F1305" t="s">
        <v>39</v>
      </c>
      <c r="G1305" t="s">
        <v>40</v>
      </c>
      <c r="H1305" t="s">
        <v>32</v>
      </c>
      <c r="I1305">
        <v>30.867226048572501</v>
      </c>
      <c r="J1305" s="3">
        <v>7210.37</v>
      </c>
      <c r="K1305" s="3">
        <f>Table1[[#This Row],[Quantity]]*Table1[[#This Row],[Unit_Price]]</f>
        <v>222564.12068384571</v>
      </c>
      <c r="L1305" s="3">
        <v>9924.2800000000007</v>
      </c>
      <c r="M1305" s="3">
        <f>Table1[[#This Row],[Gross_Sales]]-Table1[[#This Row],[Discount]]</f>
        <v>212639.84068384572</v>
      </c>
      <c r="N1305" s="3">
        <v>117287.2</v>
      </c>
      <c r="O1305" s="3">
        <v>5308.32</v>
      </c>
      <c r="P1305" s="3">
        <v>10788.32</v>
      </c>
      <c r="Q1305" s="3">
        <v>6350.05</v>
      </c>
      <c r="R1305" s="3">
        <v>3227.75</v>
      </c>
      <c r="S1305" s="3">
        <f>SUM(Table1[[#This Row],[Product_Cost]:[Other_Cost]])</f>
        <v>142961.63999999998</v>
      </c>
      <c r="T1305" s="3">
        <f>Table1[[#This Row],[Net_Sales]]-Table1[[#This Row],[Product_Cost]]</f>
        <v>95352.640683845719</v>
      </c>
      <c r="U1305" s="3">
        <f>Table1[[#This Row],[Net_Sales]]-Table1[[#This Row],[Total_Cost]]</f>
        <v>69678.200683845731</v>
      </c>
      <c r="V1305" s="4">
        <f>Table1[[#This Row],[Net_Profit]]/Table1[[#This Row],[Net_Sales]]</f>
        <v>0.32768177618908079</v>
      </c>
      <c r="W1305" t="s">
        <v>33</v>
      </c>
      <c r="X1305" t="s">
        <v>1280</v>
      </c>
      <c r="Y1305">
        <v>11</v>
      </c>
      <c r="Z1305" t="str">
        <f>IF(Table1[[#This Row],[Month_No]]&lt;=6, "H1","H2")</f>
        <v>H2</v>
      </c>
    </row>
    <row r="1306" spans="1:26" x14ac:dyDescent="0.25">
      <c r="A1306" s="2">
        <v>45985</v>
      </c>
      <c r="B1306" t="s">
        <v>1389</v>
      </c>
      <c r="C1306" t="s">
        <v>36</v>
      </c>
      <c r="D1306" t="s">
        <v>68</v>
      </c>
      <c r="E1306" t="s">
        <v>29</v>
      </c>
      <c r="F1306" t="s">
        <v>52</v>
      </c>
      <c r="G1306" t="s">
        <v>64</v>
      </c>
      <c r="H1306" t="s">
        <v>47</v>
      </c>
      <c r="I1306">
        <v>92.793411355454211</v>
      </c>
      <c r="J1306" s="3">
        <v>405.59</v>
      </c>
      <c r="K1306" s="3">
        <f>Table1[[#This Row],[Quantity]]*Table1[[#This Row],[Unit_Price]]</f>
        <v>37636.079711658669</v>
      </c>
      <c r="L1306" s="3">
        <v>1583.68</v>
      </c>
      <c r="M1306" s="3">
        <f>Table1[[#This Row],[Gross_Sales]]-Table1[[#This Row],[Discount]]</f>
        <v>36052.399711658669</v>
      </c>
      <c r="N1306" s="3">
        <v>25368.82</v>
      </c>
      <c r="O1306" s="3">
        <v>646.72</v>
      </c>
      <c r="P1306" s="3">
        <v>1894.62</v>
      </c>
      <c r="Q1306" s="3">
        <v>1070.8399999999999</v>
      </c>
      <c r="R1306" s="3">
        <v>449.65</v>
      </c>
      <c r="S1306" s="3">
        <f>SUM(Table1[[#This Row],[Product_Cost]:[Other_Cost]])</f>
        <v>29430.65</v>
      </c>
      <c r="T1306" s="3">
        <f>Table1[[#This Row],[Net_Sales]]-Table1[[#This Row],[Product_Cost]]</f>
        <v>10683.579711658669</v>
      </c>
      <c r="U1306" s="3">
        <f>Table1[[#This Row],[Net_Sales]]-Table1[[#This Row],[Total_Cost]]</f>
        <v>6621.7497116586674</v>
      </c>
      <c r="V1306" s="4">
        <f>Table1[[#This Row],[Net_Profit]]/Table1[[#This Row],[Net_Sales]]</f>
        <v>0.18367015135243045</v>
      </c>
      <c r="W1306" t="s">
        <v>33</v>
      </c>
      <c r="X1306" t="s">
        <v>1280</v>
      </c>
      <c r="Y1306">
        <v>11</v>
      </c>
      <c r="Z1306" t="str">
        <f>IF(Table1[[#This Row],[Month_No]]&lt;=6, "H1","H2")</f>
        <v>H2</v>
      </c>
    </row>
    <row r="1307" spans="1:26" x14ac:dyDescent="0.25">
      <c r="A1307" s="2">
        <v>45985</v>
      </c>
      <c r="B1307" t="s">
        <v>1390</v>
      </c>
      <c r="C1307" t="s">
        <v>36</v>
      </c>
      <c r="D1307" t="s">
        <v>28</v>
      </c>
      <c r="E1307" t="s">
        <v>29</v>
      </c>
      <c r="F1307" t="s">
        <v>46</v>
      </c>
      <c r="G1307" t="s">
        <v>86</v>
      </c>
      <c r="H1307" t="s">
        <v>47</v>
      </c>
      <c r="I1307">
        <v>99.239070302961508</v>
      </c>
      <c r="J1307" s="3">
        <v>1312.59</v>
      </c>
      <c r="K1307" s="3">
        <f>Table1[[#This Row],[Quantity]]*Table1[[#This Row],[Unit_Price]]</f>
        <v>130260.21128896424</v>
      </c>
      <c r="L1307" s="3">
        <v>6343.55</v>
      </c>
      <c r="M1307" s="3">
        <f>Table1[[#This Row],[Gross_Sales]]-Table1[[#This Row],[Discount]]</f>
        <v>123916.66128896424</v>
      </c>
      <c r="N1307" s="3">
        <v>62241.37</v>
      </c>
      <c r="O1307" s="3">
        <v>2572.16</v>
      </c>
      <c r="P1307" s="3">
        <v>6207.22</v>
      </c>
      <c r="Q1307" s="3">
        <v>3697.77</v>
      </c>
      <c r="R1307" s="3">
        <v>2708.14</v>
      </c>
      <c r="S1307" s="3">
        <f>SUM(Table1[[#This Row],[Product_Cost]:[Other_Cost]])</f>
        <v>77426.66</v>
      </c>
      <c r="T1307" s="3">
        <f>Table1[[#This Row],[Net_Sales]]-Table1[[#This Row],[Product_Cost]]</f>
        <v>61675.291288964239</v>
      </c>
      <c r="U1307" s="3">
        <f>Table1[[#This Row],[Net_Sales]]-Table1[[#This Row],[Total_Cost]]</f>
        <v>46490.001288964238</v>
      </c>
      <c r="V1307" s="4">
        <f>Table1[[#This Row],[Net_Profit]]/Table1[[#This Row],[Net_Sales]]</f>
        <v>0.37517151289730999</v>
      </c>
      <c r="W1307" t="s">
        <v>33</v>
      </c>
      <c r="X1307" t="s">
        <v>1280</v>
      </c>
      <c r="Y1307">
        <v>11</v>
      </c>
      <c r="Z1307" t="str">
        <f>IF(Table1[[#This Row],[Month_No]]&lt;=6, "H1","H2")</f>
        <v>H2</v>
      </c>
    </row>
    <row r="1308" spans="1:26" x14ac:dyDescent="0.25">
      <c r="A1308" s="2">
        <v>45985</v>
      </c>
      <c r="B1308" t="s">
        <v>1391</v>
      </c>
      <c r="C1308" t="s">
        <v>83</v>
      </c>
      <c r="D1308" t="s">
        <v>85</v>
      </c>
      <c r="E1308" t="s">
        <v>57</v>
      </c>
      <c r="F1308" t="s">
        <v>52</v>
      </c>
      <c r="G1308" t="s">
        <v>86</v>
      </c>
      <c r="H1308" t="s">
        <v>47</v>
      </c>
      <c r="I1308">
        <v>70.840242267015725</v>
      </c>
      <c r="J1308" s="3">
        <v>2053.48</v>
      </c>
      <c r="K1308" s="3">
        <f>Table1[[#This Row],[Quantity]]*Table1[[#This Row],[Unit_Price]]</f>
        <v>145469.02069047146</v>
      </c>
      <c r="L1308" s="3">
        <v>5338.05</v>
      </c>
      <c r="M1308" s="3">
        <f>Table1[[#This Row],[Gross_Sales]]-Table1[[#This Row],[Discount]]</f>
        <v>140130.97069047147</v>
      </c>
      <c r="N1308" s="3">
        <v>91680.71</v>
      </c>
      <c r="O1308" s="3">
        <v>2818.38</v>
      </c>
      <c r="P1308" s="3">
        <v>7692.35</v>
      </c>
      <c r="Q1308" s="3">
        <v>4421.29</v>
      </c>
      <c r="R1308" s="3">
        <v>2631.92</v>
      </c>
      <c r="S1308" s="3">
        <f>SUM(Table1[[#This Row],[Product_Cost]:[Other_Cost]])</f>
        <v>109244.65000000001</v>
      </c>
      <c r="T1308" s="3">
        <f>Table1[[#This Row],[Net_Sales]]-Table1[[#This Row],[Product_Cost]]</f>
        <v>48450.260690471463</v>
      </c>
      <c r="U1308" s="3">
        <f>Table1[[#This Row],[Net_Sales]]-Table1[[#This Row],[Total_Cost]]</f>
        <v>30886.320690471461</v>
      </c>
      <c r="V1308" s="4">
        <f>Table1[[#This Row],[Net_Profit]]/Table1[[#This Row],[Net_Sales]]</f>
        <v>0.220410381361696</v>
      </c>
      <c r="W1308" t="s">
        <v>33</v>
      </c>
      <c r="X1308" t="s">
        <v>1280</v>
      </c>
      <c r="Y1308">
        <v>11</v>
      </c>
      <c r="Z1308" t="str">
        <f>IF(Table1[[#This Row],[Month_No]]&lt;=6, "H1","H2")</f>
        <v>H2</v>
      </c>
    </row>
    <row r="1309" spans="1:26" x14ac:dyDescent="0.25">
      <c r="A1309" s="2">
        <v>45986</v>
      </c>
      <c r="B1309" t="s">
        <v>1392</v>
      </c>
      <c r="C1309" t="s">
        <v>43</v>
      </c>
      <c r="D1309" t="s">
        <v>81</v>
      </c>
      <c r="E1309" t="s">
        <v>45</v>
      </c>
      <c r="F1309" t="s">
        <v>46</v>
      </c>
      <c r="G1309" t="s">
        <v>31</v>
      </c>
      <c r="H1309" t="s">
        <v>32</v>
      </c>
      <c r="I1309">
        <v>29.905326842904959</v>
      </c>
      <c r="J1309" s="3">
        <v>7068.53</v>
      </c>
      <c r="K1309" s="3">
        <f>Table1[[#This Row],[Quantity]]*Table1[[#This Row],[Unit_Price]]</f>
        <v>211386.69994887899</v>
      </c>
      <c r="L1309" s="3">
        <v>8352.77</v>
      </c>
      <c r="M1309" s="3">
        <f>Table1[[#This Row],[Gross_Sales]]-Table1[[#This Row],[Discount]]</f>
        <v>203033.929948879</v>
      </c>
      <c r="N1309" s="3">
        <v>100197.6</v>
      </c>
      <c r="O1309" s="3">
        <v>3679.59</v>
      </c>
      <c r="P1309" s="3">
        <v>10478.84</v>
      </c>
      <c r="Q1309" s="3">
        <v>5757.32</v>
      </c>
      <c r="R1309" s="3">
        <v>3200.69</v>
      </c>
      <c r="S1309" s="3">
        <f>SUM(Table1[[#This Row],[Product_Cost]:[Other_Cost]])</f>
        <v>123314.04000000001</v>
      </c>
      <c r="T1309" s="3">
        <f>Table1[[#This Row],[Net_Sales]]-Table1[[#This Row],[Product_Cost]]</f>
        <v>102836.32994887899</v>
      </c>
      <c r="U1309" s="3">
        <f>Table1[[#This Row],[Net_Sales]]-Table1[[#This Row],[Total_Cost]]</f>
        <v>79719.88994887899</v>
      </c>
      <c r="V1309" s="4">
        <f>Table1[[#This Row],[Net_Profit]]/Table1[[#This Row],[Net_Sales]]</f>
        <v>0.39264319007641385</v>
      </c>
      <c r="W1309" t="s">
        <v>33</v>
      </c>
      <c r="X1309" t="s">
        <v>1280</v>
      </c>
      <c r="Y1309">
        <v>11</v>
      </c>
      <c r="Z1309" t="str">
        <f>IF(Table1[[#This Row],[Month_No]]&lt;=6, "H1","H2")</f>
        <v>H2</v>
      </c>
    </row>
    <row r="1310" spans="1:26" x14ac:dyDescent="0.25">
      <c r="A1310" s="2">
        <v>45986</v>
      </c>
      <c r="B1310" t="s">
        <v>1393</v>
      </c>
      <c r="C1310" t="s">
        <v>63</v>
      </c>
      <c r="D1310" t="s">
        <v>66</v>
      </c>
      <c r="E1310" t="s">
        <v>51</v>
      </c>
      <c r="F1310" t="s">
        <v>52</v>
      </c>
      <c r="G1310" t="s">
        <v>31</v>
      </c>
      <c r="H1310" t="s">
        <v>41</v>
      </c>
      <c r="I1310">
        <v>25.761310423112249</v>
      </c>
      <c r="J1310" s="3">
        <v>1664.69</v>
      </c>
      <c r="K1310" s="3">
        <f>Table1[[#This Row],[Quantity]]*Table1[[#This Row],[Unit_Price]]</f>
        <v>42884.595848250734</v>
      </c>
      <c r="L1310" s="3">
        <v>1803.48</v>
      </c>
      <c r="M1310" s="3">
        <f>Table1[[#This Row],[Gross_Sales]]-Table1[[#This Row],[Discount]]</f>
        <v>41081.115848250731</v>
      </c>
      <c r="N1310" s="3">
        <v>19532.8</v>
      </c>
      <c r="O1310" s="3">
        <v>681.94</v>
      </c>
      <c r="P1310" s="3">
        <v>2494.0100000000002</v>
      </c>
      <c r="Q1310" s="3">
        <v>1115.99</v>
      </c>
      <c r="R1310" s="3">
        <v>538.25</v>
      </c>
      <c r="S1310" s="3">
        <f>SUM(Table1[[#This Row],[Product_Cost]:[Other_Cost]])</f>
        <v>24362.99</v>
      </c>
      <c r="T1310" s="3">
        <f>Table1[[#This Row],[Net_Sales]]-Table1[[#This Row],[Product_Cost]]</f>
        <v>21548.315848250732</v>
      </c>
      <c r="U1310" s="3">
        <f>Table1[[#This Row],[Net_Sales]]-Table1[[#This Row],[Total_Cost]]</f>
        <v>16718.125848250729</v>
      </c>
      <c r="V1310" s="4">
        <f>Table1[[#This Row],[Net_Profit]]/Table1[[#This Row],[Net_Sales]]</f>
        <v>0.40695403479315673</v>
      </c>
      <c r="W1310" t="s">
        <v>33</v>
      </c>
      <c r="X1310" t="s">
        <v>1280</v>
      </c>
      <c r="Y1310">
        <v>11</v>
      </c>
      <c r="Z1310" t="str">
        <f>IF(Table1[[#This Row],[Month_No]]&lt;=6, "H1","H2")</f>
        <v>H2</v>
      </c>
    </row>
    <row r="1311" spans="1:26" x14ac:dyDescent="0.25">
      <c r="A1311" s="2">
        <v>45986</v>
      </c>
      <c r="B1311" t="s">
        <v>1394</v>
      </c>
      <c r="C1311" t="s">
        <v>70</v>
      </c>
      <c r="D1311" t="s">
        <v>37</v>
      </c>
      <c r="E1311" t="s">
        <v>38</v>
      </c>
      <c r="F1311" t="s">
        <v>52</v>
      </c>
      <c r="G1311" t="s">
        <v>40</v>
      </c>
      <c r="H1311" t="s">
        <v>59</v>
      </c>
      <c r="I1311">
        <v>58.605437065519133</v>
      </c>
      <c r="J1311" s="3">
        <v>4963.21</v>
      </c>
      <c r="K1311" s="3">
        <f>Table1[[#This Row],[Quantity]]*Table1[[#This Row],[Unit_Price]]</f>
        <v>290871.09129795519</v>
      </c>
      <c r="L1311" s="3">
        <v>10309.469999999999</v>
      </c>
      <c r="M1311" s="3">
        <f>Table1[[#This Row],[Gross_Sales]]-Table1[[#This Row],[Discount]]</f>
        <v>280561.62129795522</v>
      </c>
      <c r="N1311" s="3">
        <v>187811.68</v>
      </c>
      <c r="O1311" s="3">
        <v>5573.51</v>
      </c>
      <c r="P1311" s="3">
        <v>16079.99</v>
      </c>
      <c r="Q1311" s="3">
        <v>6509.96</v>
      </c>
      <c r="R1311" s="3">
        <v>5785.66</v>
      </c>
      <c r="S1311" s="3">
        <f>SUM(Table1[[#This Row],[Product_Cost]:[Other_Cost]])</f>
        <v>221760.8</v>
      </c>
      <c r="T1311" s="3">
        <f>Table1[[#This Row],[Net_Sales]]-Table1[[#This Row],[Product_Cost]]</f>
        <v>92749.941297955229</v>
      </c>
      <c r="U1311" s="3">
        <f>Table1[[#This Row],[Net_Sales]]-Table1[[#This Row],[Total_Cost]]</f>
        <v>58800.821297955234</v>
      </c>
      <c r="V1311" s="4">
        <f>Table1[[#This Row],[Net_Profit]]/Table1[[#This Row],[Net_Sales]]</f>
        <v>0.20958255454158864</v>
      </c>
      <c r="W1311" t="s">
        <v>72</v>
      </c>
      <c r="X1311" t="s">
        <v>1280</v>
      </c>
      <c r="Y1311">
        <v>11</v>
      </c>
      <c r="Z1311" t="str">
        <f>IF(Table1[[#This Row],[Month_No]]&lt;=6, "H1","H2")</f>
        <v>H2</v>
      </c>
    </row>
    <row r="1312" spans="1:26" x14ac:dyDescent="0.25">
      <c r="A1312" s="2">
        <v>45986</v>
      </c>
      <c r="B1312" t="s">
        <v>1395</v>
      </c>
      <c r="C1312" t="s">
        <v>83</v>
      </c>
      <c r="D1312" t="s">
        <v>183</v>
      </c>
      <c r="E1312" t="s">
        <v>38</v>
      </c>
      <c r="F1312" t="s">
        <v>30</v>
      </c>
      <c r="G1312" t="s">
        <v>31</v>
      </c>
      <c r="H1312" t="s">
        <v>59</v>
      </c>
      <c r="I1312">
        <v>50.003774252605027</v>
      </c>
      <c r="J1312" s="3">
        <v>6968.75</v>
      </c>
      <c r="K1312" s="3">
        <f>Table1[[#This Row],[Quantity]]*Table1[[#This Row],[Unit_Price]]</f>
        <v>348463.80182284128</v>
      </c>
      <c r="L1312" s="3">
        <v>11949.1</v>
      </c>
      <c r="M1312" s="3">
        <f>Table1[[#This Row],[Gross_Sales]]-Table1[[#This Row],[Discount]]</f>
        <v>336514.70182284131</v>
      </c>
      <c r="N1312" s="3">
        <v>177379.46</v>
      </c>
      <c r="O1312" s="3">
        <v>9261.06</v>
      </c>
      <c r="P1312" s="3">
        <v>19770.830000000002</v>
      </c>
      <c r="Q1312" s="3">
        <v>9147.24</v>
      </c>
      <c r="R1312" s="3">
        <v>4210.7299999999996</v>
      </c>
      <c r="S1312" s="3">
        <f>SUM(Table1[[#This Row],[Product_Cost]:[Other_Cost]])</f>
        <v>219769.31999999998</v>
      </c>
      <c r="T1312" s="3">
        <f>Table1[[#This Row],[Net_Sales]]-Table1[[#This Row],[Product_Cost]]</f>
        <v>159135.24182284132</v>
      </c>
      <c r="U1312" s="3">
        <f>Table1[[#This Row],[Net_Sales]]-Table1[[#This Row],[Total_Cost]]</f>
        <v>116745.38182284133</v>
      </c>
      <c r="V1312" s="4">
        <f>Table1[[#This Row],[Net_Profit]]/Table1[[#This Row],[Net_Sales]]</f>
        <v>0.34692505614302138</v>
      </c>
      <c r="W1312" t="s">
        <v>33</v>
      </c>
      <c r="X1312" t="s">
        <v>1280</v>
      </c>
      <c r="Y1312">
        <v>11</v>
      </c>
      <c r="Z1312" t="str">
        <f>IF(Table1[[#This Row],[Month_No]]&lt;=6, "H1","H2")</f>
        <v>H2</v>
      </c>
    </row>
    <row r="1313" spans="1:26" x14ac:dyDescent="0.25">
      <c r="A1313" s="2">
        <v>45987</v>
      </c>
      <c r="B1313" t="s">
        <v>1396</v>
      </c>
      <c r="C1313" t="s">
        <v>70</v>
      </c>
      <c r="D1313" t="s">
        <v>68</v>
      </c>
      <c r="E1313" t="s">
        <v>29</v>
      </c>
      <c r="F1313" t="s">
        <v>52</v>
      </c>
      <c r="G1313" t="s">
        <v>76</v>
      </c>
      <c r="H1313" t="s">
        <v>47</v>
      </c>
      <c r="I1313">
        <v>82.50104162696195</v>
      </c>
      <c r="J1313" s="3">
        <v>389.66</v>
      </c>
      <c r="K1313" s="3">
        <f>Table1[[#This Row],[Quantity]]*Table1[[#This Row],[Unit_Price]]</f>
        <v>32147.355880361996</v>
      </c>
      <c r="L1313" s="3">
        <v>1538.55</v>
      </c>
      <c r="M1313" s="3">
        <f>Table1[[#This Row],[Gross_Sales]]-Table1[[#This Row],[Discount]]</f>
        <v>30608.805880361997</v>
      </c>
      <c r="N1313" s="3">
        <v>22543.85</v>
      </c>
      <c r="O1313" s="3">
        <v>537.23</v>
      </c>
      <c r="P1313" s="3">
        <v>1761.68</v>
      </c>
      <c r="Q1313" s="3">
        <v>699.84</v>
      </c>
      <c r="R1313" s="3">
        <v>435.64</v>
      </c>
      <c r="S1313" s="3">
        <f>SUM(Table1[[#This Row],[Product_Cost]:[Other_Cost]])</f>
        <v>25978.239999999998</v>
      </c>
      <c r="T1313" s="3">
        <f>Table1[[#This Row],[Net_Sales]]-Table1[[#This Row],[Product_Cost]]</f>
        <v>8064.9558803619984</v>
      </c>
      <c r="U1313" s="3">
        <f>Table1[[#This Row],[Net_Sales]]-Table1[[#This Row],[Total_Cost]]</f>
        <v>4630.565880361999</v>
      </c>
      <c r="V1313" s="4">
        <f>Table1[[#This Row],[Net_Profit]]/Table1[[#This Row],[Net_Sales]]</f>
        <v>0.15128214731607281</v>
      </c>
      <c r="W1313" t="s">
        <v>33</v>
      </c>
      <c r="X1313" t="s">
        <v>1280</v>
      </c>
      <c r="Y1313">
        <v>11</v>
      </c>
      <c r="Z1313" t="str">
        <f>IF(Table1[[#This Row],[Month_No]]&lt;=6, "H1","H2")</f>
        <v>H2</v>
      </c>
    </row>
    <row r="1314" spans="1:26" x14ac:dyDescent="0.25">
      <c r="A1314" s="2">
        <v>45987</v>
      </c>
      <c r="B1314" t="s">
        <v>1397</v>
      </c>
      <c r="C1314" t="s">
        <v>83</v>
      </c>
      <c r="D1314" t="s">
        <v>183</v>
      </c>
      <c r="E1314" t="s">
        <v>38</v>
      </c>
      <c r="F1314" t="s">
        <v>52</v>
      </c>
      <c r="G1314" t="s">
        <v>71</v>
      </c>
      <c r="H1314" t="s">
        <v>59</v>
      </c>
      <c r="I1314">
        <v>27.467035528076</v>
      </c>
      <c r="J1314" s="3">
        <v>6916.39</v>
      </c>
      <c r="K1314" s="3">
        <f>Table1[[#This Row],[Quantity]]*Table1[[#This Row],[Unit_Price]]</f>
        <v>189972.72985602956</v>
      </c>
      <c r="L1314" s="3">
        <v>8508.77</v>
      </c>
      <c r="M1314" s="3">
        <f>Table1[[#This Row],[Gross_Sales]]-Table1[[#This Row],[Discount]]</f>
        <v>181463.95985602957</v>
      </c>
      <c r="N1314" s="3">
        <v>95938.39</v>
      </c>
      <c r="O1314" s="3">
        <v>3200.55</v>
      </c>
      <c r="P1314" s="3">
        <v>9667.2000000000007</v>
      </c>
      <c r="Q1314" s="3">
        <v>5255.58</v>
      </c>
      <c r="R1314" s="3">
        <v>2335.15</v>
      </c>
      <c r="S1314" s="3">
        <f>SUM(Table1[[#This Row],[Product_Cost]:[Other_Cost]])</f>
        <v>116396.87</v>
      </c>
      <c r="T1314" s="3">
        <f>Table1[[#This Row],[Net_Sales]]-Table1[[#This Row],[Product_Cost]]</f>
        <v>85525.569856029571</v>
      </c>
      <c r="U1314" s="3">
        <f>Table1[[#This Row],[Net_Sales]]-Table1[[#This Row],[Total_Cost]]</f>
        <v>65067.089856029575</v>
      </c>
      <c r="V1314" s="4">
        <f>Table1[[#This Row],[Net_Profit]]/Table1[[#This Row],[Net_Sales]]</f>
        <v>0.35856756298965758</v>
      </c>
      <c r="W1314" t="s">
        <v>33</v>
      </c>
      <c r="X1314" t="s">
        <v>1280</v>
      </c>
      <c r="Y1314">
        <v>11</v>
      </c>
      <c r="Z1314" t="str">
        <f>IF(Table1[[#This Row],[Month_No]]&lt;=6, "H1","H2")</f>
        <v>H2</v>
      </c>
    </row>
    <row r="1315" spans="1:26" x14ac:dyDescent="0.25">
      <c r="A1315" s="2">
        <v>45988</v>
      </c>
      <c r="B1315" t="s">
        <v>1398</v>
      </c>
      <c r="C1315" t="s">
        <v>27</v>
      </c>
      <c r="D1315" t="s">
        <v>44</v>
      </c>
      <c r="E1315" t="s">
        <v>45</v>
      </c>
      <c r="F1315" t="s">
        <v>52</v>
      </c>
      <c r="G1315" t="s">
        <v>86</v>
      </c>
      <c r="H1315" t="s">
        <v>41</v>
      </c>
      <c r="I1315">
        <v>92.702901567535093</v>
      </c>
      <c r="J1315" s="3">
        <v>4744.08</v>
      </c>
      <c r="K1315" s="3">
        <f>Table1[[#This Row],[Quantity]]*Table1[[#This Row],[Unit_Price]]</f>
        <v>439789.98126851185</v>
      </c>
      <c r="L1315" s="3">
        <v>18481.46</v>
      </c>
      <c r="M1315" s="3">
        <f>Table1[[#This Row],[Gross_Sales]]-Table1[[#This Row],[Discount]]</f>
        <v>421308.52126851183</v>
      </c>
      <c r="N1315" s="3">
        <v>279215.52</v>
      </c>
      <c r="O1315" s="3">
        <v>7147.74</v>
      </c>
      <c r="P1315" s="3">
        <v>22604.57</v>
      </c>
      <c r="Q1315" s="3">
        <v>11169.09</v>
      </c>
      <c r="R1315" s="3">
        <v>9231.9699999999993</v>
      </c>
      <c r="S1315" s="3">
        <f>SUM(Table1[[#This Row],[Product_Cost]:[Other_Cost]])</f>
        <v>329368.89</v>
      </c>
      <c r="T1315" s="3">
        <f>Table1[[#This Row],[Net_Sales]]-Table1[[#This Row],[Product_Cost]]</f>
        <v>142093.00126851181</v>
      </c>
      <c r="U1315" s="3">
        <f>Table1[[#This Row],[Net_Sales]]-Table1[[#This Row],[Total_Cost]]</f>
        <v>91939.631268511817</v>
      </c>
      <c r="V1315" s="4">
        <f>Table1[[#This Row],[Net_Profit]]/Table1[[#This Row],[Net_Sales]]</f>
        <v>0.21822400124187399</v>
      </c>
      <c r="W1315" t="s">
        <v>33</v>
      </c>
      <c r="X1315" t="s">
        <v>1280</v>
      </c>
      <c r="Y1315">
        <v>11</v>
      </c>
      <c r="Z1315" t="str">
        <f>IF(Table1[[#This Row],[Month_No]]&lt;=6, "H1","H2")</f>
        <v>H2</v>
      </c>
    </row>
    <row r="1316" spans="1:26" x14ac:dyDescent="0.25">
      <c r="A1316" s="2">
        <v>45988</v>
      </c>
      <c r="B1316" t="s">
        <v>1399</v>
      </c>
      <c r="C1316" t="s">
        <v>63</v>
      </c>
      <c r="D1316" t="s">
        <v>100</v>
      </c>
      <c r="E1316" t="s">
        <v>75</v>
      </c>
      <c r="F1316" t="s">
        <v>52</v>
      </c>
      <c r="G1316" t="s">
        <v>61</v>
      </c>
      <c r="H1316" t="s">
        <v>59</v>
      </c>
      <c r="I1316">
        <v>67.329937117499284</v>
      </c>
      <c r="J1316" s="3">
        <v>7667.07</v>
      </c>
      <c r="K1316" s="3">
        <f>Table1[[#This Row],[Quantity]]*Table1[[#This Row],[Unit_Price]]</f>
        <v>516223.34097546519</v>
      </c>
      <c r="L1316" s="3">
        <v>12311.78</v>
      </c>
      <c r="M1316" s="3">
        <f>Table1[[#This Row],[Gross_Sales]]-Table1[[#This Row],[Discount]]</f>
        <v>503911.56097546517</v>
      </c>
      <c r="N1316" s="3">
        <v>267306.3</v>
      </c>
      <c r="O1316" s="3">
        <v>9126.01</v>
      </c>
      <c r="P1316" s="3">
        <v>27213.02</v>
      </c>
      <c r="Q1316" s="3">
        <v>12681.59</v>
      </c>
      <c r="R1316" s="3">
        <v>8045.44</v>
      </c>
      <c r="S1316" s="3">
        <f>SUM(Table1[[#This Row],[Product_Cost]:[Other_Cost]])</f>
        <v>324372.36000000004</v>
      </c>
      <c r="T1316" s="3">
        <f>Table1[[#This Row],[Net_Sales]]-Table1[[#This Row],[Product_Cost]]</f>
        <v>236605.26097546518</v>
      </c>
      <c r="U1316" s="3">
        <f>Table1[[#This Row],[Net_Sales]]-Table1[[#This Row],[Total_Cost]]</f>
        <v>179539.20097546512</v>
      </c>
      <c r="V1316" s="4">
        <f>Table1[[#This Row],[Net_Profit]]/Table1[[#This Row],[Net_Sales]]</f>
        <v>0.3562910932781847</v>
      </c>
      <c r="W1316" t="s">
        <v>72</v>
      </c>
      <c r="X1316" t="s">
        <v>1280</v>
      </c>
      <c r="Y1316">
        <v>11</v>
      </c>
      <c r="Z1316" t="str">
        <f>IF(Table1[[#This Row],[Month_No]]&lt;=6, "H1","H2")</f>
        <v>H2</v>
      </c>
    </row>
    <row r="1317" spans="1:26" x14ac:dyDescent="0.25">
      <c r="A1317" s="2">
        <v>45988</v>
      </c>
      <c r="B1317" t="s">
        <v>1400</v>
      </c>
      <c r="C1317" t="s">
        <v>55</v>
      </c>
      <c r="D1317" t="s">
        <v>66</v>
      </c>
      <c r="E1317" t="s">
        <v>51</v>
      </c>
      <c r="F1317" t="s">
        <v>30</v>
      </c>
      <c r="G1317" t="s">
        <v>76</v>
      </c>
      <c r="H1317" t="s">
        <v>41</v>
      </c>
      <c r="I1317">
        <v>77.351149540116026</v>
      </c>
      <c r="J1317" s="3">
        <v>1601.46</v>
      </c>
      <c r="K1317" s="3">
        <f>Table1[[#This Row],[Quantity]]*Table1[[#This Row],[Unit_Price]]</f>
        <v>123874.77194251421</v>
      </c>
      <c r="L1317" s="3">
        <v>4876.43</v>
      </c>
      <c r="M1317" s="3">
        <f>Table1[[#This Row],[Gross_Sales]]-Table1[[#This Row],[Discount]]</f>
        <v>118998.34194251421</v>
      </c>
      <c r="N1317" s="3">
        <v>55137.19</v>
      </c>
      <c r="O1317" s="3">
        <v>3105.09</v>
      </c>
      <c r="P1317" s="3">
        <v>5777.38</v>
      </c>
      <c r="Q1317" s="3">
        <v>3171.76</v>
      </c>
      <c r="R1317" s="3">
        <v>1493.95</v>
      </c>
      <c r="S1317" s="3">
        <f>SUM(Table1[[#This Row],[Product_Cost]:[Other_Cost]])</f>
        <v>68685.37</v>
      </c>
      <c r="T1317" s="3">
        <f>Table1[[#This Row],[Net_Sales]]-Table1[[#This Row],[Product_Cost]]</f>
        <v>63861.151942514203</v>
      </c>
      <c r="U1317" s="3">
        <f>Table1[[#This Row],[Net_Sales]]-Table1[[#This Row],[Total_Cost]]</f>
        <v>50312.97194251421</v>
      </c>
      <c r="V1317" s="4">
        <f>Table1[[#This Row],[Net_Profit]]/Table1[[#This Row],[Net_Sales]]</f>
        <v>0.42280397458663277</v>
      </c>
      <c r="W1317" t="s">
        <v>33</v>
      </c>
      <c r="X1317" t="s">
        <v>1280</v>
      </c>
      <c r="Y1317">
        <v>11</v>
      </c>
      <c r="Z1317" t="str">
        <f>IF(Table1[[#This Row],[Month_No]]&lt;=6, "H1","H2")</f>
        <v>H2</v>
      </c>
    </row>
    <row r="1318" spans="1:26" x14ac:dyDescent="0.25">
      <c r="A1318" s="2">
        <v>45988</v>
      </c>
      <c r="B1318" t="s">
        <v>1401</v>
      </c>
      <c r="C1318" t="s">
        <v>63</v>
      </c>
      <c r="D1318" t="s">
        <v>50</v>
      </c>
      <c r="E1318" t="s">
        <v>51</v>
      </c>
      <c r="F1318" t="s">
        <v>52</v>
      </c>
      <c r="G1318" t="s">
        <v>61</v>
      </c>
      <c r="H1318" t="s">
        <v>41</v>
      </c>
      <c r="I1318">
        <v>35.708946778002662</v>
      </c>
      <c r="J1318" s="3">
        <v>883.81</v>
      </c>
      <c r="K1318" s="3">
        <f>Table1[[#This Row],[Quantity]]*Table1[[#This Row],[Unit_Price]]</f>
        <v>31559.924251866531</v>
      </c>
      <c r="L1318" s="3">
        <v>1076.05</v>
      </c>
      <c r="M1318" s="3">
        <f>Table1[[#This Row],[Gross_Sales]]-Table1[[#This Row],[Discount]]</f>
        <v>30483.874251866531</v>
      </c>
      <c r="N1318" s="3">
        <v>18597.18</v>
      </c>
      <c r="O1318" s="3">
        <v>518.74</v>
      </c>
      <c r="P1318" s="3">
        <v>1513.15</v>
      </c>
      <c r="Q1318" s="3">
        <v>920.9</v>
      </c>
      <c r="R1318" s="3">
        <v>612.07000000000005</v>
      </c>
      <c r="S1318" s="3">
        <f>SUM(Table1[[#This Row],[Product_Cost]:[Other_Cost]])</f>
        <v>22162.040000000005</v>
      </c>
      <c r="T1318" s="3">
        <f>Table1[[#This Row],[Net_Sales]]-Table1[[#This Row],[Product_Cost]]</f>
        <v>11886.694251866531</v>
      </c>
      <c r="U1318" s="3">
        <f>Table1[[#This Row],[Net_Sales]]-Table1[[#This Row],[Total_Cost]]</f>
        <v>8321.8342518665268</v>
      </c>
      <c r="V1318" s="4">
        <f>Table1[[#This Row],[Net_Profit]]/Table1[[#This Row],[Net_Sales]]</f>
        <v>0.27299135874623875</v>
      </c>
      <c r="W1318" t="s">
        <v>33</v>
      </c>
      <c r="X1318" t="s">
        <v>1280</v>
      </c>
      <c r="Y1318">
        <v>11</v>
      </c>
      <c r="Z1318" t="str">
        <f>IF(Table1[[#This Row],[Month_No]]&lt;=6, "H1","H2")</f>
        <v>H2</v>
      </c>
    </row>
    <row r="1319" spans="1:26" x14ac:dyDescent="0.25">
      <c r="A1319" s="2">
        <v>45988</v>
      </c>
      <c r="B1319" t="s">
        <v>1402</v>
      </c>
      <c r="C1319" t="s">
        <v>63</v>
      </c>
      <c r="D1319" t="s">
        <v>81</v>
      </c>
      <c r="E1319" t="s">
        <v>45</v>
      </c>
      <c r="F1319" t="s">
        <v>46</v>
      </c>
      <c r="G1319" t="s">
        <v>31</v>
      </c>
      <c r="H1319" t="s">
        <v>59</v>
      </c>
      <c r="I1319">
        <v>50.304444221712778</v>
      </c>
      <c r="J1319" s="3">
        <v>6998.97</v>
      </c>
      <c r="K1319" s="3">
        <f>Table1[[#This Row],[Quantity]]*Table1[[#This Row],[Unit_Price]]</f>
        <v>352079.29597444111</v>
      </c>
      <c r="L1319" s="3">
        <v>7436.8</v>
      </c>
      <c r="M1319" s="3">
        <f>Table1[[#This Row],[Gross_Sales]]-Table1[[#This Row],[Discount]]</f>
        <v>344642.49597444112</v>
      </c>
      <c r="N1319" s="3">
        <v>173679.52</v>
      </c>
      <c r="O1319" s="3">
        <v>7212.26</v>
      </c>
      <c r="P1319" s="3">
        <v>17593.07</v>
      </c>
      <c r="Q1319" s="3">
        <v>9155.1299999999992</v>
      </c>
      <c r="R1319" s="3">
        <v>5084.6899999999996</v>
      </c>
      <c r="S1319" s="3">
        <f>SUM(Table1[[#This Row],[Product_Cost]:[Other_Cost]])</f>
        <v>212724.67</v>
      </c>
      <c r="T1319" s="3">
        <f>Table1[[#This Row],[Net_Sales]]-Table1[[#This Row],[Product_Cost]]</f>
        <v>170962.97597444113</v>
      </c>
      <c r="U1319" s="3">
        <f>Table1[[#This Row],[Net_Sales]]-Table1[[#This Row],[Total_Cost]]</f>
        <v>131917.8259744411</v>
      </c>
      <c r="V1319" s="4">
        <f>Table1[[#This Row],[Net_Profit]]/Table1[[#This Row],[Net_Sales]]</f>
        <v>0.38276715006214501</v>
      </c>
      <c r="W1319" t="s">
        <v>33</v>
      </c>
      <c r="X1319" t="s">
        <v>1280</v>
      </c>
      <c r="Y1319">
        <v>11</v>
      </c>
      <c r="Z1319" t="str">
        <f>IF(Table1[[#This Row],[Month_No]]&lt;=6, "H1","H2")</f>
        <v>H2</v>
      </c>
    </row>
    <row r="1320" spans="1:26" x14ac:dyDescent="0.25">
      <c r="A1320" s="2">
        <v>45989</v>
      </c>
      <c r="B1320" t="s">
        <v>1403</v>
      </c>
      <c r="C1320" t="s">
        <v>117</v>
      </c>
      <c r="D1320" t="s">
        <v>44</v>
      </c>
      <c r="E1320" t="s">
        <v>45</v>
      </c>
      <c r="F1320" t="s">
        <v>30</v>
      </c>
      <c r="G1320" t="s">
        <v>31</v>
      </c>
      <c r="H1320" t="s">
        <v>41</v>
      </c>
      <c r="I1320">
        <v>58.394053126024147</v>
      </c>
      <c r="J1320" s="3">
        <v>4827.03</v>
      </c>
      <c r="K1320" s="3">
        <f>Table1[[#This Row],[Quantity]]*Table1[[#This Row],[Unit_Price]]</f>
        <v>281869.84626091231</v>
      </c>
      <c r="L1320" s="3">
        <v>12276.56</v>
      </c>
      <c r="M1320" s="3">
        <f>Table1[[#This Row],[Gross_Sales]]-Table1[[#This Row],[Discount]]</f>
        <v>269593.28626091231</v>
      </c>
      <c r="N1320" s="3">
        <v>167438.9</v>
      </c>
      <c r="O1320" s="3">
        <v>6878.46</v>
      </c>
      <c r="P1320" s="3">
        <v>14756.55</v>
      </c>
      <c r="Q1320" s="3">
        <v>7459.82</v>
      </c>
      <c r="R1320" s="3">
        <v>3717.41</v>
      </c>
      <c r="S1320" s="3">
        <f>SUM(Table1[[#This Row],[Product_Cost]:[Other_Cost]])</f>
        <v>200251.13999999998</v>
      </c>
      <c r="T1320" s="3">
        <f>Table1[[#This Row],[Net_Sales]]-Table1[[#This Row],[Product_Cost]]</f>
        <v>102154.38626091232</v>
      </c>
      <c r="U1320" s="3">
        <f>Table1[[#This Row],[Net_Sales]]-Table1[[#This Row],[Total_Cost]]</f>
        <v>69342.146260912326</v>
      </c>
      <c r="V1320" s="4">
        <f>Table1[[#This Row],[Net_Profit]]/Table1[[#This Row],[Net_Sales]]</f>
        <v>0.25721021180699216</v>
      </c>
      <c r="W1320" t="s">
        <v>33</v>
      </c>
      <c r="X1320" t="s">
        <v>1280</v>
      </c>
      <c r="Y1320">
        <v>11</v>
      </c>
      <c r="Z1320" t="str">
        <f>IF(Table1[[#This Row],[Month_No]]&lt;=6, "H1","H2")</f>
        <v>H2</v>
      </c>
    </row>
    <row r="1321" spans="1:26" x14ac:dyDescent="0.25">
      <c r="A1321" s="2">
        <v>45990</v>
      </c>
      <c r="B1321" t="s">
        <v>1404</v>
      </c>
      <c r="C1321" t="s">
        <v>36</v>
      </c>
      <c r="D1321" t="s">
        <v>37</v>
      </c>
      <c r="E1321" t="s">
        <v>38</v>
      </c>
      <c r="F1321" t="s">
        <v>52</v>
      </c>
      <c r="G1321" t="s">
        <v>58</v>
      </c>
      <c r="H1321" t="s">
        <v>41</v>
      </c>
      <c r="I1321">
        <v>66.697361813806111</v>
      </c>
      <c r="J1321" s="3">
        <v>4895.42</v>
      </c>
      <c r="K1321" s="3">
        <f>Table1[[#This Row],[Quantity]]*Table1[[#This Row],[Unit_Price]]</f>
        <v>326511.59897054272</v>
      </c>
      <c r="L1321" s="3">
        <v>10264.58</v>
      </c>
      <c r="M1321" s="3">
        <f>Table1[[#This Row],[Gross_Sales]]-Table1[[#This Row],[Discount]]</f>
        <v>316247.0189705427</v>
      </c>
      <c r="N1321" s="3">
        <v>211352.45</v>
      </c>
      <c r="O1321" s="3">
        <v>5599.42</v>
      </c>
      <c r="P1321" s="3">
        <v>16328.98</v>
      </c>
      <c r="Q1321" s="3">
        <v>5893.5</v>
      </c>
      <c r="R1321" s="3">
        <v>6654.91</v>
      </c>
      <c r="S1321" s="3">
        <f>SUM(Table1[[#This Row],[Product_Cost]:[Other_Cost]])</f>
        <v>245829.26000000004</v>
      </c>
      <c r="T1321" s="3">
        <f>Table1[[#This Row],[Net_Sales]]-Table1[[#This Row],[Product_Cost]]</f>
        <v>104894.56897054269</v>
      </c>
      <c r="U1321" s="3">
        <f>Table1[[#This Row],[Net_Sales]]-Table1[[#This Row],[Total_Cost]]</f>
        <v>70417.758970542665</v>
      </c>
      <c r="V1321" s="4">
        <f>Table1[[#This Row],[Net_Profit]]/Table1[[#This Row],[Net_Sales]]</f>
        <v>0.22266694939850748</v>
      </c>
      <c r="W1321" t="s">
        <v>33</v>
      </c>
      <c r="X1321" t="s">
        <v>1280</v>
      </c>
      <c r="Y1321">
        <v>11</v>
      </c>
      <c r="Z1321" t="str">
        <f>IF(Table1[[#This Row],[Month_No]]&lt;=6, "H1","H2")</f>
        <v>H2</v>
      </c>
    </row>
    <row r="1322" spans="1:26" x14ac:dyDescent="0.25">
      <c r="A1322" s="2">
        <v>45990</v>
      </c>
      <c r="B1322" t="s">
        <v>1405</v>
      </c>
      <c r="C1322" t="s">
        <v>70</v>
      </c>
      <c r="D1322" t="s">
        <v>44</v>
      </c>
      <c r="E1322" t="s">
        <v>45</v>
      </c>
      <c r="F1322" t="s">
        <v>30</v>
      </c>
      <c r="G1322" t="s">
        <v>40</v>
      </c>
      <c r="H1322" t="s">
        <v>41</v>
      </c>
      <c r="I1322">
        <v>39.118360294190978</v>
      </c>
      <c r="J1322" s="3">
        <v>4936.5200000000004</v>
      </c>
      <c r="K1322" s="3">
        <f>Table1[[#This Row],[Quantity]]*Table1[[#This Row],[Unit_Price]]</f>
        <v>193108.56795947967</v>
      </c>
      <c r="L1322" s="3">
        <v>6154.29</v>
      </c>
      <c r="M1322" s="3">
        <f>Table1[[#This Row],[Gross_Sales]]-Table1[[#This Row],[Discount]]</f>
        <v>186954.27795947966</v>
      </c>
      <c r="N1322" s="3">
        <v>124215.86</v>
      </c>
      <c r="O1322" s="3">
        <v>4798.25</v>
      </c>
      <c r="P1322" s="3">
        <v>11193.23</v>
      </c>
      <c r="Q1322" s="3">
        <v>4181.3500000000004</v>
      </c>
      <c r="R1322" s="3">
        <v>3689.08</v>
      </c>
      <c r="S1322" s="3">
        <f>SUM(Table1[[#This Row],[Product_Cost]:[Other_Cost]])</f>
        <v>148077.76999999999</v>
      </c>
      <c r="T1322" s="3">
        <f>Table1[[#This Row],[Net_Sales]]-Table1[[#This Row],[Product_Cost]]</f>
        <v>62738.417959479659</v>
      </c>
      <c r="U1322" s="3">
        <f>Table1[[#This Row],[Net_Sales]]-Table1[[#This Row],[Total_Cost]]</f>
        <v>38876.50795947967</v>
      </c>
      <c r="V1322" s="4">
        <f>Table1[[#This Row],[Net_Profit]]/Table1[[#This Row],[Net_Sales]]</f>
        <v>0.20794660803592704</v>
      </c>
      <c r="W1322" t="s">
        <v>72</v>
      </c>
      <c r="X1322" t="s">
        <v>1280</v>
      </c>
      <c r="Y1322">
        <v>11</v>
      </c>
      <c r="Z1322" t="str">
        <f>IF(Table1[[#This Row],[Month_No]]&lt;=6, "H1","H2")</f>
        <v>H2</v>
      </c>
    </row>
    <row r="1323" spans="1:26" x14ac:dyDescent="0.25">
      <c r="A1323" s="2">
        <v>45990</v>
      </c>
      <c r="B1323" t="s">
        <v>1406</v>
      </c>
      <c r="C1323" t="s">
        <v>107</v>
      </c>
      <c r="D1323" t="s">
        <v>66</v>
      </c>
      <c r="E1323" t="s">
        <v>51</v>
      </c>
      <c r="F1323" t="s">
        <v>52</v>
      </c>
      <c r="G1323" t="s">
        <v>64</v>
      </c>
      <c r="H1323" t="s">
        <v>41</v>
      </c>
      <c r="I1323">
        <v>48.072079995218068</v>
      </c>
      <c r="J1323" s="3">
        <v>1588.45</v>
      </c>
      <c r="K1323" s="3">
        <f>Table1[[#This Row],[Quantity]]*Table1[[#This Row],[Unit_Price]]</f>
        <v>76360.09546840415</v>
      </c>
      <c r="L1323" s="3">
        <v>4097.1000000000004</v>
      </c>
      <c r="M1323" s="3">
        <f>Table1[[#This Row],[Gross_Sales]]-Table1[[#This Row],[Discount]]</f>
        <v>72262.995468404144</v>
      </c>
      <c r="N1323" s="3">
        <v>35073.35</v>
      </c>
      <c r="O1323" s="3">
        <v>1166.6400000000001</v>
      </c>
      <c r="P1323" s="3">
        <v>4012.67</v>
      </c>
      <c r="Q1323" s="3">
        <v>1310.96</v>
      </c>
      <c r="R1323" s="3">
        <v>1155.3499999999999</v>
      </c>
      <c r="S1323" s="3">
        <f>SUM(Table1[[#This Row],[Product_Cost]:[Other_Cost]])</f>
        <v>42718.969999999994</v>
      </c>
      <c r="T1323" s="3">
        <f>Table1[[#This Row],[Net_Sales]]-Table1[[#This Row],[Product_Cost]]</f>
        <v>37189.645468404146</v>
      </c>
      <c r="U1323" s="3">
        <f>Table1[[#This Row],[Net_Sales]]-Table1[[#This Row],[Total_Cost]]</f>
        <v>29544.02546840415</v>
      </c>
      <c r="V1323" s="4">
        <f>Table1[[#This Row],[Net_Profit]]/Table1[[#This Row],[Net_Sales]]</f>
        <v>0.40884030999409388</v>
      </c>
      <c r="W1323" t="s">
        <v>33</v>
      </c>
      <c r="X1323" t="s">
        <v>1280</v>
      </c>
      <c r="Y1323">
        <v>11</v>
      </c>
      <c r="Z1323" t="str">
        <f>IF(Table1[[#This Row],[Month_No]]&lt;=6, "H1","H2")</f>
        <v>H2</v>
      </c>
    </row>
    <row r="1324" spans="1:26" x14ac:dyDescent="0.25">
      <c r="A1324" s="2">
        <v>45991</v>
      </c>
      <c r="B1324" t="s">
        <v>1407</v>
      </c>
      <c r="C1324" t="s">
        <v>27</v>
      </c>
      <c r="D1324" t="s">
        <v>68</v>
      </c>
      <c r="E1324" t="s">
        <v>29</v>
      </c>
      <c r="F1324" t="s">
        <v>52</v>
      </c>
      <c r="G1324" t="s">
        <v>40</v>
      </c>
      <c r="H1324" t="s">
        <v>41</v>
      </c>
      <c r="I1324">
        <v>107.37431325194569</v>
      </c>
      <c r="J1324" s="3">
        <v>421.12</v>
      </c>
      <c r="K1324" s="3">
        <f>Table1[[#This Row],[Quantity]]*Table1[[#This Row],[Unit_Price]]</f>
        <v>45217.470796659371</v>
      </c>
      <c r="L1324" s="3">
        <v>1523.28</v>
      </c>
      <c r="M1324" s="3">
        <f>Table1[[#This Row],[Gross_Sales]]-Table1[[#This Row],[Discount]]</f>
        <v>43694.190796659372</v>
      </c>
      <c r="N1324" s="3">
        <v>32991.01</v>
      </c>
      <c r="O1324" s="3">
        <v>891.5</v>
      </c>
      <c r="P1324" s="3">
        <v>2108.5500000000002</v>
      </c>
      <c r="Q1324" s="3">
        <v>796.98</v>
      </c>
      <c r="R1324" s="3">
        <v>931.7</v>
      </c>
      <c r="S1324" s="3">
        <f>SUM(Table1[[#This Row],[Product_Cost]:[Other_Cost]])</f>
        <v>37719.740000000005</v>
      </c>
      <c r="T1324" s="3">
        <f>Table1[[#This Row],[Net_Sales]]-Table1[[#This Row],[Product_Cost]]</f>
        <v>10703.18079665937</v>
      </c>
      <c r="U1324" s="3">
        <f>Table1[[#This Row],[Net_Sales]]-Table1[[#This Row],[Total_Cost]]</f>
        <v>5974.4507966593665</v>
      </c>
      <c r="V1324" s="4">
        <f>Table1[[#This Row],[Net_Profit]]/Table1[[#This Row],[Net_Sales]]</f>
        <v>0.1367332976702281</v>
      </c>
      <c r="W1324" t="s">
        <v>72</v>
      </c>
      <c r="X1324" t="s">
        <v>1280</v>
      </c>
      <c r="Y1324">
        <v>11</v>
      </c>
      <c r="Z1324" t="str">
        <f>IF(Table1[[#This Row],[Month_No]]&lt;=6, "H1","H2")</f>
        <v>H2</v>
      </c>
    </row>
    <row r="1325" spans="1:26" x14ac:dyDescent="0.25">
      <c r="A1325" s="2">
        <v>45991</v>
      </c>
      <c r="B1325" t="s">
        <v>1408</v>
      </c>
      <c r="C1325" t="s">
        <v>107</v>
      </c>
      <c r="D1325" t="s">
        <v>44</v>
      </c>
      <c r="E1325" t="s">
        <v>45</v>
      </c>
      <c r="F1325" t="s">
        <v>52</v>
      </c>
      <c r="G1325" t="s">
        <v>58</v>
      </c>
      <c r="H1325" t="s">
        <v>41</v>
      </c>
      <c r="I1325">
        <v>71.902195525755545</v>
      </c>
      <c r="J1325" s="3">
        <v>4972.8</v>
      </c>
      <c r="K1325" s="3">
        <f>Table1[[#This Row],[Quantity]]*Table1[[#This Row],[Unit_Price]]</f>
        <v>357555.23791047721</v>
      </c>
      <c r="L1325" s="3">
        <v>14311.91</v>
      </c>
      <c r="M1325" s="3">
        <f>Table1[[#This Row],[Gross_Sales]]-Table1[[#This Row],[Discount]]</f>
        <v>343243.32791047724</v>
      </c>
      <c r="N1325" s="3">
        <v>231795.93</v>
      </c>
      <c r="O1325" s="3">
        <v>6829.24</v>
      </c>
      <c r="P1325" s="3">
        <v>19798.13</v>
      </c>
      <c r="Q1325" s="3">
        <v>8738.16</v>
      </c>
      <c r="R1325" s="3">
        <v>7455.15</v>
      </c>
      <c r="S1325" s="3">
        <f>SUM(Table1[[#This Row],[Product_Cost]:[Other_Cost]])</f>
        <v>274616.61</v>
      </c>
      <c r="T1325" s="3">
        <f>Table1[[#This Row],[Net_Sales]]-Table1[[#This Row],[Product_Cost]]</f>
        <v>111447.39791047724</v>
      </c>
      <c r="U1325" s="3">
        <f>Table1[[#This Row],[Net_Sales]]-Table1[[#This Row],[Total_Cost]]</f>
        <v>68626.717910477251</v>
      </c>
      <c r="V1325" s="4">
        <f>Table1[[#This Row],[Net_Profit]]/Table1[[#This Row],[Net_Sales]]</f>
        <v>0.19993605798034939</v>
      </c>
      <c r="W1325" t="s">
        <v>33</v>
      </c>
      <c r="X1325" t="s">
        <v>1280</v>
      </c>
      <c r="Y1325">
        <v>11</v>
      </c>
      <c r="Z1325" t="str">
        <f>IF(Table1[[#This Row],[Month_No]]&lt;=6, "H1","H2")</f>
        <v>H2</v>
      </c>
    </row>
    <row r="1326" spans="1:26" x14ac:dyDescent="0.25">
      <c r="A1326" s="2">
        <v>45991</v>
      </c>
      <c r="B1326" t="s">
        <v>1409</v>
      </c>
      <c r="C1326" t="s">
        <v>43</v>
      </c>
      <c r="D1326" t="s">
        <v>37</v>
      </c>
      <c r="E1326" t="s">
        <v>38</v>
      </c>
      <c r="F1326" t="s">
        <v>52</v>
      </c>
      <c r="G1326" t="s">
        <v>76</v>
      </c>
      <c r="H1326" t="s">
        <v>59</v>
      </c>
      <c r="I1326">
        <v>44.391879886134987</v>
      </c>
      <c r="J1326" s="3">
        <v>4956.53</v>
      </c>
      <c r="K1326" s="3">
        <f>Table1[[#This Row],[Quantity]]*Table1[[#This Row],[Unit_Price]]</f>
        <v>220029.68441202462</v>
      </c>
      <c r="L1326" s="3">
        <v>8224.76</v>
      </c>
      <c r="M1326" s="3">
        <f>Table1[[#This Row],[Gross_Sales]]-Table1[[#This Row],[Discount]]</f>
        <v>211804.92441202461</v>
      </c>
      <c r="N1326" s="3">
        <v>145085.21</v>
      </c>
      <c r="O1326" s="3">
        <v>3658.29</v>
      </c>
      <c r="P1326" s="3">
        <v>12433.37</v>
      </c>
      <c r="Q1326" s="3">
        <v>5702.17</v>
      </c>
      <c r="R1326" s="3">
        <v>3336.15</v>
      </c>
      <c r="S1326" s="3">
        <f>SUM(Table1[[#This Row],[Product_Cost]:[Other_Cost]])</f>
        <v>170215.19</v>
      </c>
      <c r="T1326" s="3">
        <f>Table1[[#This Row],[Net_Sales]]-Table1[[#This Row],[Product_Cost]]</f>
        <v>66719.714412024623</v>
      </c>
      <c r="U1326" s="3">
        <f>Table1[[#This Row],[Net_Sales]]-Table1[[#This Row],[Total_Cost]]</f>
        <v>41589.734412024613</v>
      </c>
      <c r="V1326" s="4">
        <f>Table1[[#This Row],[Net_Profit]]/Table1[[#This Row],[Net_Sales]]</f>
        <v>0.19635867545326757</v>
      </c>
      <c r="W1326" t="s">
        <v>33</v>
      </c>
      <c r="X1326" t="s">
        <v>1280</v>
      </c>
      <c r="Y1326">
        <v>11</v>
      </c>
      <c r="Z1326" t="str">
        <f>IF(Table1[[#This Row],[Month_No]]&lt;=6, "H1","H2")</f>
        <v>H2</v>
      </c>
    </row>
    <row r="1327" spans="1:26" x14ac:dyDescent="0.25">
      <c r="A1327" s="2">
        <v>45991</v>
      </c>
      <c r="B1327" t="s">
        <v>1410</v>
      </c>
      <c r="C1327" t="s">
        <v>55</v>
      </c>
      <c r="D1327" t="s">
        <v>183</v>
      </c>
      <c r="E1327" t="s">
        <v>38</v>
      </c>
      <c r="F1327" t="s">
        <v>52</v>
      </c>
      <c r="G1327" t="s">
        <v>58</v>
      </c>
      <c r="H1327" t="s">
        <v>41</v>
      </c>
      <c r="I1327">
        <v>41.901984021734009</v>
      </c>
      <c r="J1327" s="3">
        <v>7463.5</v>
      </c>
      <c r="K1327" s="3">
        <f>Table1[[#This Row],[Quantity]]*Table1[[#This Row],[Unit_Price]]</f>
        <v>312735.45774621179</v>
      </c>
      <c r="L1327" s="3">
        <v>11168.85</v>
      </c>
      <c r="M1327" s="3">
        <f>Table1[[#This Row],[Gross_Sales]]-Table1[[#This Row],[Discount]]</f>
        <v>301566.60774621181</v>
      </c>
      <c r="N1327" s="3">
        <v>162852.15</v>
      </c>
      <c r="O1327" s="3">
        <v>4829.17</v>
      </c>
      <c r="P1327" s="3">
        <v>14779.64</v>
      </c>
      <c r="Q1327" s="3">
        <v>8914.94</v>
      </c>
      <c r="R1327" s="3">
        <v>4662.26</v>
      </c>
      <c r="S1327" s="3">
        <f>SUM(Table1[[#This Row],[Product_Cost]:[Other_Cost]])</f>
        <v>196038.16000000003</v>
      </c>
      <c r="T1327" s="3">
        <f>Table1[[#This Row],[Net_Sales]]-Table1[[#This Row],[Product_Cost]]</f>
        <v>138714.45774621182</v>
      </c>
      <c r="U1327" s="3">
        <f>Table1[[#This Row],[Net_Sales]]-Table1[[#This Row],[Total_Cost]]</f>
        <v>105528.44774621178</v>
      </c>
      <c r="V1327" s="4">
        <f>Table1[[#This Row],[Net_Profit]]/Table1[[#This Row],[Net_Sales]]</f>
        <v>0.34993412743834335</v>
      </c>
      <c r="W1327" t="s">
        <v>33</v>
      </c>
      <c r="X1327" t="s">
        <v>1280</v>
      </c>
      <c r="Y1327">
        <v>11</v>
      </c>
      <c r="Z1327" t="str">
        <f>IF(Table1[[#This Row],[Month_No]]&lt;=6, "H1","H2")</f>
        <v>H2</v>
      </c>
    </row>
    <row r="1328" spans="1:26" x14ac:dyDescent="0.25">
      <c r="A1328" s="2">
        <v>45991</v>
      </c>
      <c r="B1328" t="s">
        <v>1411</v>
      </c>
      <c r="C1328" t="s">
        <v>27</v>
      </c>
      <c r="D1328" t="s">
        <v>74</v>
      </c>
      <c r="E1328" t="s">
        <v>75</v>
      </c>
      <c r="F1328" t="s">
        <v>52</v>
      </c>
      <c r="G1328" t="s">
        <v>61</v>
      </c>
      <c r="H1328" t="s">
        <v>41</v>
      </c>
      <c r="I1328">
        <v>53.103029970425247</v>
      </c>
      <c r="J1328" s="3">
        <v>6037.19</v>
      </c>
      <c r="K1328" s="3">
        <f>Table1[[#This Row],[Quantity]]*Table1[[#This Row],[Unit_Price]]</f>
        <v>320593.0815071516</v>
      </c>
      <c r="L1328" s="3">
        <v>15157.84</v>
      </c>
      <c r="M1328" s="3">
        <f>Table1[[#This Row],[Gross_Sales]]-Table1[[#This Row],[Discount]]</f>
        <v>305435.24150715157</v>
      </c>
      <c r="N1328" s="3">
        <v>208253.69</v>
      </c>
      <c r="O1328" s="3">
        <v>5003.25</v>
      </c>
      <c r="P1328" s="3">
        <v>18292.04</v>
      </c>
      <c r="Q1328" s="3">
        <v>8410.4</v>
      </c>
      <c r="R1328" s="3">
        <v>3677.88</v>
      </c>
      <c r="S1328" s="3">
        <f>SUM(Table1[[#This Row],[Product_Cost]:[Other_Cost]])</f>
        <v>243637.26</v>
      </c>
      <c r="T1328" s="3">
        <f>Table1[[#This Row],[Net_Sales]]-Table1[[#This Row],[Product_Cost]]</f>
        <v>97181.551507151569</v>
      </c>
      <c r="U1328" s="3">
        <f>Table1[[#This Row],[Net_Sales]]-Table1[[#This Row],[Total_Cost]]</f>
        <v>61797.981507151562</v>
      </c>
      <c r="V1328" s="4">
        <f>Table1[[#This Row],[Net_Profit]]/Table1[[#This Row],[Net_Sales]]</f>
        <v>0.20232760699850216</v>
      </c>
      <c r="W1328" t="s">
        <v>33</v>
      </c>
      <c r="X1328" t="s">
        <v>1280</v>
      </c>
      <c r="Y1328">
        <v>11</v>
      </c>
      <c r="Z1328" t="str">
        <f>IF(Table1[[#This Row],[Month_No]]&lt;=6, "H1","H2")</f>
        <v>H2</v>
      </c>
    </row>
    <row r="1329" spans="1:26" x14ac:dyDescent="0.25">
      <c r="A1329" s="2">
        <v>45992</v>
      </c>
      <c r="B1329" t="s">
        <v>1412</v>
      </c>
      <c r="C1329" t="s">
        <v>27</v>
      </c>
      <c r="D1329" t="s">
        <v>66</v>
      </c>
      <c r="E1329" t="s">
        <v>51</v>
      </c>
      <c r="F1329" t="s">
        <v>52</v>
      </c>
      <c r="G1329" t="s">
        <v>31</v>
      </c>
      <c r="H1329" t="s">
        <v>41</v>
      </c>
      <c r="I1329">
        <v>49.151304797227638</v>
      </c>
      <c r="J1329" s="3">
        <v>1660.43</v>
      </c>
      <c r="K1329" s="3">
        <f>Table1[[#This Row],[Quantity]]*Table1[[#This Row],[Unit_Price]]</f>
        <v>81612.301024460685</v>
      </c>
      <c r="L1329" s="3">
        <v>3789.44</v>
      </c>
      <c r="M1329" s="3">
        <f>Table1[[#This Row],[Gross_Sales]]-Table1[[#This Row],[Discount]]</f>
        <v>77822.861024460683</v>
      </c>
      <c r="N1329" s="3">
        <v>36626.400000000001</v>
      </c>
      <c r="O1329" s="3">
        <v>1472.27</v>
      </c>
      <c r="P1329" s="3">
        <v>3743.91</v>
      </c>
      <c r="Q1329" s="3">
        <v>2220.6999999999998</v>
      </c>
      <c r="R1329" s="3">
        <v>1033.1400000000001</v>
      </c>
      <c r="S1329" s="3">
        <f>SUM(Table1[[#This Row],[Product_Cost]:[Other_Cost]])</f>
        <v>45096.42</v>
      </c>
      <c r="T1329" s="3">
        <f>Table1[[#This Row],[Net_Sales]]-Table1[[#This Row],[Product_Cost]]</f>
        <v>41196.461024460681</v>
      </c>
      <c r="U1329" s="3">
        <f>Table1[[#This Row],[Net_Sales]]-Table1[[#This Row],[Total_Cost]]</f>
        <v>32726.441024460684</v>
      </c>
      <c r="V1329" s="4">
        <f>Table1[[#This Row],[Net_Profit]]/Table1[[#This Row],[Net_Sales]]</f>
        <v>0.42052477374449598</v>
      </c>
      <c r="W1329" t="s">
        <v>33</v>
      </c>
      <c r="X1329" t="s">
        <v>1413</v>
      </c>
      <c r="Y1329">
        <v>12</v>
      </c>
      <c r="Z1329" t="str">
        <f>IF(Table1[[#This Row],[Month_No]]&lt;=6, "H1","H2")</f>
        <v>H2</v>
      </c>
    </row>
    <row r="1330" spans="1:26" x14ac:dyDescent="0.25">
      <c r="A1330" s="2">
        <v>45992</v>
      </c>
      <c r="B1330" t="s">
        <v>1414</v>
      </c>
      <c r="C1330" t="s">
        <v>83</v>
      </c>
      <c r="D1330" t="s">
        <v>100</v>
      </c>
      <c r="E1330" t="s">
        <v>75</v>
      </c>
      <c r="F1330" t="s">
        <v>39</v>
      </c>
      <c r="G1330" t="s">
        <v>31</v>
      </c>
      <c r="H1330" t="s">
        <v>41</v>
      </c>
      <c r="I1330">
        <v>42.133128330137012</v>
      </c>
      <c r="J1330" s="3">
        <v>7392.99</v>
      </c>
      <c r="K1330" s="3">
        <f>Table1[[#This Row],[Quantity]]*Table1[[#This Row],[Unit_Price]]</f>
        <v>311489.79641341959</v>
      </c>
      <c r="L1330" s="3">
        <v>13301.54</v>
      </c>
      <c r="M1330" s="3">
        <f>Table1[[#This Row],[Gross_Sales]]-Table1[[#This Row],[Discount]]</f>
        <v>298188.25641341961</v>
      </c>
      <c r="N1330" s="3">
        <v>162508.85999999999</v>
      </c>
      <c r="O1330" s="3">
        <v>9273.86</v>
      </c>
      <c r="P1330" s="3">
        <v>16749.439999999999</v>
      </c>
      <c r="Q1330" s="3">
        <v>8565.9699999999993</v>
      </c>
      <c r="R1330" s="3">
        <v>4462.95</v>
      </c>
      <c r="S1330" s="3">
        <f>SUM(Table1[[#This Row],[Product_Cost]:[Other_Cost]])</f>
        <v>201561.08</v>
      </c>
      <c r="T1330" s="3">
        <f>Table1[[#This Row],[Net_Sales]]-Table1[[#This Row],[Product_Cost]]</f>
        <v>135679.39641341963</v>
      </c>
      <c r="U1330" s="3">
        <f>Table1[[#This Row],[Net_Sales]]-Table1[[#This Row],[Total_Cost]]</f>
        <v>96627.176413419627</v>
      </c>
      <c r="V1330" s="4">
        <f>Table1[[#This Row],[Net_Profit]]/Table1[[#This Row],[Net_Sales]]</f>
        <v>0.3240475583299029</v>
      </c>
      <c r="W1330" t="s">
        <v>33</v>
      </c>
      <c r="X1330" t="s">
        <v>1413</v>
      </c>
      <c r="Y1330">
        <v>12</v>
      </c>
      <c r="Z1330" t="str">
        <f>IF(Table1[[#This Row],[Month_No]]&lt;=6, "H1","H2")</f>
        <v>H2</v>
      </c>
    </row>
    <row r="1331" spans="1:26" x14ac:dyDescent="0.25">
      <c r="A1331" s="2">
        <v>45992</v>
      </c>
      <c r="B1331" t="s">
        <v>1415</v>
      </c>
      <c r="C1331" t="s">
        <v>83</v>
      </c>
      <c r="D1331" t="s">
        <v>85</v>
      </c>
      <c r="E1331" t="s">
        <v>57</v>
      </c>
      <c r="F1331" t="s">
        <v>52</v>
      </c>
      <c r="G1331" t="s">
        <v>76</v>
      </c>
      <c r="H1331" t="s">
        <v>47</v>
      </c>
      <c r="I1331">
        <v>53.495951342232949</v>
      </c>
      <c r="J1331" s="3">
        <v>2148.48</v>
      </c>
      <c r="K1331" s="3">
        <f>Table1[[#This Row],[Quantity]]*Table1[[#This Row],[Unit_Price]]</f>
        <v>114934.98153976064</v>
      </c>
      <c r="L1331" s="3">
        <v>5529.97</v>
      </c>
      <c r="M1331" s="3">
        <f>Table1[[#This Row],[Gross_Sales]]-Table1[[#This Row],[Discount]]</f>
        <v>109405.01153976064</v>
      </c>
      <c r="N1331" s="3">
        <v>71627.12</v>
      </c>
      <c r="O1331" s="3">
        <v>1597.44</v>
      </c>
      <c r="P1331" s="3">
        <v>6338.66</v>
      </c>
      <c r="Q1331" s="3">
        <v>3041.72</v>
      </c>
      <c r="R1331" s="3">
        <v>2293.29</v>
      </c>
      <c r="S1331" s="3">
        <f>SUM(Table1[[#This Row],[Product_Cost]:[Other_Cost]])</f>
        <v>84898.23</v>
      </c>
      <c r="T1331" s="3">
        <f>Table1[[#This Row],[Net_Sales]]-Table1[[#This Row],[Product_Cost]]</f>
        <v>37777.891539760647</v>
      </c>
      <c r="U1331" s="3">
        <f>Table1[[#This Row],[Net_Sales]]-Table1[[#This Row],[Total_Cost]]</f>
        <v>24506.781539760646</v>
      </c>
      <c r="V1331" s="4">
        <f>Table1[[#This Row],[Net_Profit]]/Table1[[#This Row],[Net_Sales]]</f>
        <v>0.22400053886794977</v>
      </c>
      <c r="W1331" t="s">
        <v>33</v>
      </c>
      <c r="X1331" t="s">
        <v>1413</v>
      </c>
      <c r="Y1331">
        <v>12</v>
      </c>
      <c r="Z1331" t="str">
        <f>IF(Table1[[#This Row],[Month_No]]&lt;=6, "H1","H2")</f>
        <v>H2</v>
      </c>
    </row>
    <row r="1332" spans="1:26" x14ac:dyDescent="0.25">
      <c r="A1332" s="2">
        <v>45993</v>
      </c>
      <c r="B1332" t="s">
        <v>1416</v>
      </c>
      <c r="C1332" t="s">
        <v>117</v>
      </c>
      <c r="D1332" t="s">
        <v>44</v>
      </c>
      <c r="E1332" t="s">
        <v>45</v>
      </c>
      <c r="F1332" t="s">
        <v>52</v>
      </c>
      <c r="G1332" t="s">
        <v>76</v>
      </c>
      <c r="H1332" t="s">
        <v>41</v>
      </c>
      <c r="I1332">
        <v>38.126484955295417</v>
      </c>
      <c r="J1332" s="3">
        <v>4891.1499999999996</v>
      </c>
      <c r="K1332" s="3">
        <f>Table1[[#This Row],[Quantity]]*Table1[[#This Row],[Unit_Price]]</f>
        <v>186482.35688909318</v>
      </c>
      <c r="L1332" s="3">
        <v>7231.45</v>
      </c>
      <c r="M1332" s="3">
        <f>Table1[[#This Row],[Gross_Sales]]-Table1[[#This Row],[Discount]]</f>
        <v>179250.90688909317</v>
      </c>
      <c r="N1332" s="3">
        <v>113788.07</v>
      </c>
      <c r="O1332" s="3">
        <v>3062.55</v>
      </c>
      <c r="P1332" s="3">
        <v>9100.76</v>
      </c>
      <c r="Q1332" s="3">
        <v>4624.8500000000004</v>
      </c>
      <c r="R1332" s="3">
        <v>3328.86</v>
      </c>
      <c r="S1332" s="3">
        <f>SUM(Table1[[#This Row],[Product_Cost]:[Other_Cost]])</f>
        <v>133905.09</v>
      </c>
      <c r="T1332" s="3">
        <f>Table1[[#This Row],[Net_Sales]]-Table1[[#This Row],[Product_Cost]]</f>
        <v>65462.83688909316</v>
      </c>
      <c r="U1332" s="3">
        <f>Table1[[#This Row],[Net_Sales]]-Table1[[#This Row],[Total_Cost]]</f>
        <v>45345.81688909317</v>
      </c>
      <c r="V1332" s="4">
        <f>Table1[[#This Row],[Net_Profit]]/Table1[[#This Row],[Net_Sales]]</f>
        <v>0.25297398867359544</v>
      </c>
      <c r="W1332" t="s">
        <v>33</v>
      </c>
      <c r="X1332" t="s">
        <v>1413</v>
      </c>
      <c r="Y1332">
        <v>12</v>
      </c>
      <c r="Z1332" t="str">
        <f>IF(Table1[[#This Row],[Month_No]]&lt;=6, "H1","H2")</f>
        <v>H2</v>
      </c>
    </row>
    <row r="1333" spans="1:26" x14ac:dyDescent="0.25">
      <c r="A1333" s="2">
        <v>45993</v>
      </c>
      <c r="B1333" t="s">
        <v>1417</v>
      </c>
      <c r="C1333" t="s">
        <v>117</v>
      </c>
      <c r="D1333" t="s">
        <v>183</v>
      </c>
      <c r="E1333" t="s">
        <v>38</v>
      </c>
      <c r="F1333" t="s">
        <v>30</v>
      </c>
      <c r="G1333" t="s">
        <v>86</v>
      </c>
      <c r="H1333" t="s">
        <v>41</v>
      </c>
      <c r="I1333">
        <v>36.038970013820929</v>
      </c>
      <c r="J1333" s="3">
        <v>7028.29</v>
      </c>
      <c r="K1333" s="3">
        <f>Table1[[#This Row],[Quantity]]*Table1[[#This Row],[Unit_Price]]</f>
        <v>253292.33255843748</v>
      </c>
      <c r="L1333" s="3">
        <v>10708.93</v>
      </c>
      <c r="M1333" s="3">
        <f>Table1[[#This Row],[Gross_Sales]]-Table1[[#This Row],[Discount]]</f>
        <v>242583.40255843749</v>
      </c>
      <c r="N1333" s="3">
        <v>128701.55</v>
      </c>
      <c r="O1333" s="3">
        <v>5125.54</v>
      </c>
      <c r="P1333" s="3">
        <v>14333.9</v>
      </c>
      <c r="Q1333" s="3">
        <v>5305.71</v>
      </c>
      <c r="R1333" s="3">
        <v>5176.7299999999996</v>
      </c>
      <c r="S1333" s="3">
        <f>SUM(Table1[[#This Row],[Product_Cost]:[Other_Cost]])</f>
        <v>158643.43</v>
      </c>
      <c r="T1333" s="3">
        <f>Table1[[#This Row],[Net_Sales]]-Table1[[#This Row],[Product_Cost]]</f>
        <v>113881.85255843749</v>
      </c>
      <c r="U1333" s="3">
        <f>Table1[[#This Row],[Net_Sales]]-Table1[[#This Row],[Total_Cost]]</f>
        <v>83939.972558437497</v>
      </c>
      <c r="V1333" s="4">
        <f>Table1[[#This Row],[Net_Profit]]/Table1[[#This Row],[Net_Sales]]</f>
        <v>0.34602520895145189</v>
      </c>
      <c r="W1333" t="s">
        <v>72</v>
      </c>
      <c r="X1333" t="s">
        <v>1413</v>
      </c>
      <c r="Y1333">
        <v>12</v>
      </c>
      <c r="Z1333" t="str">
        <f>IF(Table1[[#This Row],[Month_No]]&lt;=6, "H1","H2")</f>
        <v>H2</v>
      </c>
    </row>
    <row r="1334" spans="1:26" x14ac:dyDescent="0.25">
      <c r="A1334" s="2">
        <v>45993</v>
      </c>
      <c r="B1334" t="s">
        <v>1418</v>
      </c>
      <c r="C1334" t="s">
        <v>83</v>
      </c>
      <c r="D1334" t="s">
        <v>37</v>
      </c>
      <c r="E1334" t="s">
        <v>38</v>
      </c>
      <c r="F1334" t="s">
        <v>46</v>
      </c>
      <c r="G1334" t="s">
        <v>64</v>
      </c>
      <c r="H1334" t="s">
        <v>59</v>
      </c>
      <c r="I1334">
        <v>48.568103486301688</v>
      </c>
      <c r="J1334" s="3">
        <v>4932.47</v>
      </c>
      <c r="K1334" s="3">
        <f>Table1[[#This Row],[Quantity]]*Table1[[#This Row],[Unit_Price]]</f>
        <v>239560.71340307849</v>
      </c>
      <c r="L1334" s="3">
        <v>5728.46</v>
      </c>
      <c r="M1334" s="3">
        <f>Table1[[#This Row],[Gross_Sales]]-Table1[[#This Row],[Discount]]</f>
        <v>233832.2534030785</v>
      </c>
      <c r="N1334" s="3">
        <v>145130.41</v>
      </c>
      <c r="O1334" s="3">
        <v>4340.34</v>
      </c>
      <c r="P1334" s="3">
        <v>14206.66</v>
      </c>
      <c r="Q1334" s="3">
        <v>6634.46</v>
      </c>
      <c r="R1334" s="3">
        <v>2899.79</v>
      </c>
      <c r="S1334" s="3">
        <f>SUM(Table1[[#This Row],[Product_Cost]:[Other_Cost]])</f>
        <v>173211.66</v>
      </c>
      <c r="T1334" s="3">
        <f>Table1[[#This Row],[Net_Sales]]-Table1[[#This Row],[Product_Cost]]</f>
        <v>88701.843403078499</v>
      </c>
      <c r="U1334" s="3">
        <f>Table1[[#This Row],[Net_Sales]]-Table1[[#This Row],[Total_Cost]]</f>
        <v>60620.593403078499</v>
      </c>
      <c r="V1334" s="4">
        <f>Table1[[#This Row],[Net_Profit]]/Table1[[#This Row],[Net_Sales]]</f>
        <v>0.2592482111463944</v>
      </c>
      <c r="W1334" t="s">
        <v>33</v>
      </c>
      <c r="X1334" t="s">
        <v>1413</v>
      </c>
      <c r="Y1334">
        <v>12</v>
      </c>
      <c r="Z1334" t="str">
        <f>IF(Table1[[#This Row],[Month_No]]&lt;=6, "H1","H2")</f>
        <v>H2</v>
      </c>
    </row>
    <row r="1335" spans="1:26" x14ac:dyDescent="0.25">
      <c r="A1335" s="2">
        <v>45993</v>
      </c>
      <c r="B1335" t="s">
        <v>1419</v>
      </c>
      <c r="C1335" t="s">
        <v>83</v>
      </c>
      <c r="D1335" t="s">
        <v>183</v>
      </c>
      <c r="E1335" t="s">
        <v>38</v>
      </c>
      <c r="F1335" t="s">
        <v>52</v>
      </c>
      <c r="G1335" t="s">
        <v>76</v>
      </c>
      <c r="H1335" t="s">
        <v>41</v>
      </c>
      <c r="I1335">
        <v>32.459142830426309</v>
      </c>
      <c r="J1335" s="3">
        <v>7072.72</v>
      </c>
      <c r="K1335" s="3">
        <f>Table1[[#This Row],[Quantity]]*Table1[[#This Row],[Unit_Price]]</f>
        <v>229574.42867961279</v>
      </c>
      <c r="L1335" s="3">
        <v>7129.98</v>
      </c>
      <c r="M1335" s="3">
        <f>Table1[[#This Row],[Gross_Sales]]-Table1[[#This Row],[Discount]]</f>
        <v>222444.44867961277</v>
      </c>
      <c r="N1335" s="3">
        <v>115242.42</v>
      </c>
      <c r="O1335" s="3">
        <v>3452.81</v>
      </c>
      <c r="P1335" s="3">
        <v>13239.53</v>
      </c>
      <c r="Q1335" s="3">
        <v>6096.09</v>
      </c>
      <c r="R1335" s="3">
        <v>3016.11</v>
      </c>
      <c r="S1335" s="3">
        <f>SUM(Table1[[#This Row],[Product_Cost]:[Other_Cost]])</f>
        <v>141046.96</v>
      </c>
      <c r="T1335" s="3">
        <f>Table1[[#This Row],[Net_Sales]]-Table1[[#This Row],[Product_Cost]]</f>
        <v>107202.02867961278</v>
      </c>
      <c r="U1335" s="3">
        <f>Table1[[#This Row],[Net_Sales]]-Table1[[#This Row],[Total_Cost]]</f>
        <v>81397.488679612783</v>
      </c>
      <c r="V1335" s="4">
        <f>Table1[[#This Row],[Net_Profit]]/Table1[[#This Row],[Net_Sales]]</f>
        <v>0.3659227693150921</v>
      </c>
      <c r="W1335" t="s">
        <v>33</v>
      </c>
      <c r="X1335" t="s">
        <v>1413</v>
      </c>
      <c r="Y1335">
        <v>12</v>
      </c>
      <c r="Z1335" t="str">
        <f>IF(Table1[[#This Row],[Month_No]]&lt;=6, "H1","H2")</f>
        <v>H2</v>
      </c>
    </row>
    <row r="1336" spans="1:26" x14ac:dyDescent="0.25">
      <c r="A1336" s="2">
        <v>45994</v>
      </c>
      <c r="B1336" t="s">
        <v>1420</v>
      </c>
      <c r="C1336" t="s">
        <v>98</v>
      </c>
      <c r="D1336" t="s">
        <v>68</v>
      </c>
      <c r="E1336" t="s">
        <v>29</v>
      </c>
      <c r="F1336" t="s">
        <v>46</v>
      </c>
      <c r="G1336" t="s">
        <v>76</v>
      </c>
      <c r="H1336" t="s">
        <v>41</v>
      </c>
      <c r="I1336">
        <v>91.94250014064778</v>
      </c>
      <c r="J1336" s="3">
        <v>418.6</v>
      </c>
      <c r="K1336" s="3">
        <f>Table1[[#This Row],[Quantity]]*Table1[[#This Row],[Unit_Price]]</f>
        <v>38487.130558875164</v>
      </c>
      <c r="L1336" s="3">
        <v>1913.5</v>
      </c>
      <c r="M1336" s="3">
        <f>Table1[[#This Row],[Gross_Sales]]-Table1[[#This Row],[Discount]]</f>
        <v>36573.630558875164</v>
      </c>
      <c r="N1336" s="3">
        <v>26720.01</v>
      </c>
      <c r="O1336" s="3">
        <v>628.09</v>
      </c>
      <c r="P1336" s="3">
        <v>2159.9899999999998</v>
      </c>
      <c r="Q1336" s="3">
        <v>890.97</v>
      </c>
      <c r="R1336" s="3">
        <v>636.1</v>
      </c>
      <c r="S1336" s="3">
        <f>SUM(Table1[[#This Row],[Product_Cost]:[Other_Cost]])</f>
        <v>31035.159999999996</v>
      </c>
      <c r="T1336" s="3">
        <f>Table1[[#This Row],[Net_Sales]]-Table1[[#This Row],[Product_Cost]]</f>
        <v>9853.6205588751654</v>
      </c>
      <c r="U1336" s="3">
        <f>Table1[[#This Row],[Net_Sales]]-Table1[[#This Row],[Total_Cost]]</f>
        <v>5538.4705588751676</v>
      </c>
      <c r="V1336" s="4">
        <f>Table1[[#This Row],[Net_Profit]]/Table1[[#This Row],[Net_Sales]]</f>
        <v>0.15143343644704615</v>
      </c>
      <c r="W1336" t="s">
        <v>33</v>
      </c>
      <c r="X1336" t="s">
        <v>1413</v>
      </c>
      <c r="Y1336">
        <v>12</v>
      </c>
      <c r="Z1336" t="str">
        <f>IF(Table1[[#This Row],[Month_No]]&lt;=6, "H1","H2")</f>
        <v>H2</v>
      </c>
    </row>
    <row r="1337" spans="1:26" x14ac:dyDescent="0.25">
      <c r="A1337" s="2">
        <v>45994</v>
      </c>
      <c r="B1337" t="s">
        <v>1421</v>
      </c>
      <c r="C1337" t="s">
        <v>36</v>
      </c>
      <c r="D1337" t="s">
        <v>28</v>
      </c>
      <c r="E1337" t="s">
        <v>29</v>
      </c>
      <c r="F1337" t="s">
        <v>52</v>
      </c>
      <c r="G1337" t="s">
        <v>58</v>
      </c>
      <c r="H1337" t="s">
        <v>47</v>
      </c>
      <c r="I1337">
        <v>94.052303739965026</v>
      </c>
      <c r="J1337" s="3">
        <v>1286.0999999999999</v>
      </c>
      <c r="K1337" s="3">
        <f>Table1[[#This Row],[Quantity]]*Table1[[#This Row],[Unit_Price]]</f>
        <v>120960.66783996901</v>
      </c>
      <c r="L1337" s="3">
        <v>4002.03</v>
      </c>
      <c r="M1337" s="3">
        <f>Table1[[#This Row],[Gross_Sales]]-Table1[[#This Row],[Discount]]</f>
        <v>116958.63783996901</v>
      </c>
      <c r="N1337" s="3">
        <v>64775.05</v>
      </c>
      <c r="O1337" s="3">
        <v>2002.75</v>
      </c>
      <c r="P1337" s="3">
        <v>6118.44</v>
      </c>
      <c r="Q1337" s="3">
        <v>2248.0500000000002</v>
      </c>
      <c r="R1337" s="3">
        <v>2541.7399999999998</v>
      </c>
      <c r="S1337" s="3">
        <f>SUM(Table1[[#This Row],[Product_Cost]:[Other_Cost]])</f>
        <v>77686.030000000013</v>
      </c>
      <c r="T1337" s="3">
        <f>Table1[[#This Row],[Net_Sales]]-Table1[[#This Row],[Product_Cost]]</f>
        <v>52183.587839969012</v>
      </c>
      <c r="U1337" s="3">
        <f>Table1[[#This Row],[Net_Sales]]-Table1[[#This Row],[Total_Cost]]</f>
        <v>39272.607839969001</v>
      </c>
      <c r="V1337" s="4">
        <f>Table1[[#This Row],[Net_Profit]]/Table1[[#This Row],[Net_Sales]]</f>
        <v>0.33578202145022013</v>
      </c>
      <c r="W1337" t="s">
        <v>72</v>
      </c>
      <c r="X1337" t="s">
        <v>1413</v>
      </c>
      <c r="Y1337">
        <v>12</v>
      </c>
      <c r="Z1337" t="str">
        <f>IF(Table1[[#This Row],[Month_No]]&lt;=6, "H1","H2")</f>
        <v>H2</v>
      </c>
    </row>
    <row r="1338" spans="1:26" x14ac:dyDescent="0.25">
      <c r="A1338" s="2">
        <v>45994</v>
      </c>
      <c r="B1338" t="s">
        <v>1422</v>
      </c>
      <c r="C1338" t="s">
        <v>55</v>
      </c>
      <c r="D1338" t="s">
        <v>81</v>
      </c>
      <c r="E1338" t="s">
        <v>45</v>
      </c>
      <c r="F1338" t="s">
        <v>52</v>
      </c>
      <c r="G1338" t="s">
        <v>58</v>
      </c>
      <c r="H1338" t="s">
        <v>47</v>
      </c>
      <c r="I1338">
        <v>53.185334866771797</v>
      </c>
      <c r="J1338" s="3">
        <v>7542.71</v>
      </c>
      <c r="K1338" s="3">
        <f>Table1[[#This Row],[Quantity]]*Table1[[#This Row],[Unit_Price]]</f>
        <v>401161.55715294828</v>
      </c>
      <c r="L1338" s="3">
        <v>14943.13</v>
      </c>
      <c r="M1338" s="3">
        <f>Table1[[#This Row],[Gross_Sales]]-Table1[[#This Row],[Discount]]</f>
        <v>386218.42715294828</v>
      </c>
      <c r="N1338" s="3">
        <v>200047.83</v>
      </c>
      <c r="O1338" s="3">
        <v>6766.49</v>
      </c>
      <c r="P1338" s="3">
        <v>22204.63</v>
      </c>
      <c r="Q1338" s="3">
        <v>7071.88</v>
      </c>
      <c r="R1338" s="3">
        <v>5369.12</v>
      </c>
      <c r="S1338" s="3">
        <f>SUM(Table1[[#This Row],[Product_Cost]:[Other_Cost]])</f>
        <v>241459.94999999998</v>
      </c>
      <c r="T1338" s="3">
        <f>Table1[[#This Row],[Net_Sales]]-Table1[[#This Row],[Product_Cost]]</f>
        <v>186170.59715294829</v>
      </c>
      <c r="U1338" s="3">
        <f>Table1[[#This Row],[Net_Sales]]-Table1[[#This Row],[Total_Cost]]</f>
        <v>144758.4771529483</v>
      </c>
      <c r="V1338" s="4">
        <f>Table1[[#This Row],[Net_Profit]]/Table1[[#This Row],[Net_Sales]]</f>
        <v>0.37480986658262622</v>
      </c>
      <c r="W1338" t="s">
        <v>33</v>
      </c>
      <c r="X1338" t="s">
        <v>1413</v>
      </c>
      <c r="Y1338">
        <v>12</v>
      </c>
      <c r="Z1338" t="str">
        <f>IF(Table1[[#This Row],[Month_No]]&lt;=6, "H1","H2")</f>
        <v>H2</v>
      </c>
    </row>
    <row r="1339" spans="1:26" x14ac:dyDescent="0.25">
      <c r="A1339" s="2">
        <v>45994</v>
      </c>
      <c r="B1339" t="s">
        <v>1423</v>
      </c>
      <c r="C1339" t="s">
        <v>107</v>
      </c>
      <c r="D1339" t="s">
        <v>81</v>
      </c>
      <c r="E1339" t="s">
        <v>45</v>
      </c>
      <c r="F1339" t="s">
        <v>30</v>
      </c>
      <c r="G1339" t="s">
        <v>71</v>
      </c>
      <c r="H1339" t="s">
        <v>41</v>
      </c>
      <c r="I1339">
        <v>61.820155502512037</v>
      </c>
      <c r="J1339" s="3">
        <v>7472.69</v>
      </c>
      <c r="K1339" s="3">
        <f>Table1[[#This Row],[Quantity]]*Table1[[#This Row],[Unit_Price]]</f>
        <v>461962.85782206664</v>
      </c>
      <c r="L1339" s="3">
        <v>23268.59</v>
      </c>
      <c r="M1339" s="3">
        <f>Table1[[#This Row],[Gross_Sales]]-Table1[[#This Row],[Discount]]</f>
        <v>438694.26782206661</v>
      </c>
      <c r="N1339" s="3">
        <v>238564.12</v>
      </c>
      <c r="O1339" s="3">
        <v>11388.58</v>
      </c>
      <c r="P1339" s="3">
        <v>23025.83</v>
      </c>
      <c r="Q1339" s="3">
        <v>13253.04</v>
      </c>
      <c r="R1339" s="3">
        <v>5316.12</v>
      </c>
      <c r="S1339" s="3">
        <f>SUM(Table1[[#This Row],[Product_Cost]:[Other_Cost]])</f>
        <v>291547.68999999994</v>
      </c>
      <c r="T1339" s="3">
        <f>Table1[[#This Row],[Net_Sales]]-Table1[[#This Row],[Product_Cost]]</f>
        <v>200130.14782206662</v>
      </c>
      <c r="U1339" s="3">
        <f>Table1[[#This Row],[Net_Sales]]-Table1[[#This Row],[Total_Cost]]</f>
        <v>147146.57782206667</v>
      </c>
      <c r="V1339" s="4">
        <f>Table1[[#This Row],[Net_Profit]]/Table1[[#This Row],[Net_Sales]]</f>
        <v>0.33541942216976717</v>
      </c>
      <c r="W1339" t="s">
        <v>33</v>
      </c>
      <c r="X1339" t="s">
        <v>1413</v>
      </c>
      <c r="Y1339">
        <v>12</v>
      </c>
      <c r="Z1339" t="str">
        <f>IF(Table1[[#This Row],[Month_No]]&lt;=6, "H1","H2")</f>
        <v>H2</v>
      </c>
    </row>
    <row r="1340" spans="1:26" x14ac:dyDescent="0.25">
      <c r="A1340" s="2">
        <v>45994</v>
      </c>
      <c r="B1340" t="s">
        <v>1424</v>
      </c>
      <c r="C1340" t="s">
        <v>27</v>
      </c>
      <c r="D1340" t="s">
        <v>50</v>
      </c>
      <c r="E1340" t="s">
        <v>51</v>
      </c>
      <c r="F1340" t="s">
        <v>30</v>
      </c>
      <c r="G1340" t="s">
        <v>61</v>
      </c>
      <c r="H1340" t="s">
        <v>41</v>
      </c>
      <c r="I1340">
        <v>76.481172394239607</v>
      </c>
      <c r="J1340" s="3">
        <v>927.8</v>
      </c>
      <c r="K1340" s="3">
        <f>Table1[[#This Row],[Quantity]]*Table1[[#This Row],[Unit_Price]]</f>
        <v>70959.23174737551</v>
      </c>
      <c r="L1340" s="3">
        <v>2298.02</v>
      </c>
      <c r="M1340" s="3">
        <f>Table1[[#This Row],[Gross_Sales]]-Table1[[#This Row],[Discount]]</f>
        <v>68661.211747375506</v>
      </c>
      <c r="N1340" s="3">
        <v>42714.28</v>
      </c>
      <c r="O1340" s="3">
        <v>1639.74</v>
      </c>
      <c r="P1340" s="3">
        <v>3855.73</v>
      </c>
      <c r="Q1340" s="3">
        <v>1357.99</v>
      </c>
      <c r="R1340" s="3">
        <v>1060.8900000000001</v>
      </c>
      <c r="S1340" s="3">
        <f>SUM(Table1[[#This Row],[Product_Cost]:[Other_Cost]])</f>
        <v>50628.63</v>
      </c>
      <c r="T1340" s="3">
        <f>Table1[[#This Row],[Net_Sales]]-Table1[[#This Row],[Product_Cost]]</f>
        <v>25946.931747375507</v>
      </c>
      <c r="U1340" s="3">
        <f>Table1[[#This Row],[Net_Sales]]-Table1[[#This Row],[Total_Cost]]</f>
        <v>18032.581747375509</v>
      </c>
      <c r="V1340" s="4">
        <f>Table1[[#This Row],[Net_Profit]]/Table1[[#This Row],[Net_Sales]]</f>
        <v>0.26263127737568343</v>
      </c>
      <c r="W1340" t="s">
        <v>33</v>
      </c>
      <c r="X1340" t="s">
        <v>1413</v>
      </c>
      <c r="Y1340">
        <v>12</v>
      </c>
      <c r="Z1340" t="str">
        <f>IF(Table1[[#This Row],[Month_No]]&lt;=6, "H1","H2")</f>
        <v>H2</v>
      </c>
    </row>
    <row r="1341" spans="1:26" x14ac:dyDescent="0.25">
      <c r="A1341" s="2">
        <v>45995</v>
      </c>
      <c r="B1341" t="s">
        <v>1425</v>
      </c>
      <c r="C1341" t="s">
        <v>36</v>
      </c>
      <c r="D1341" t="s">
        <v>81</v>
      </c>
      <c r="E1341" t="s">
        <v>45</v>
      </c>
      <c r="F1341" t="s">
        <v>52</v>
      </c>
      <c r="G1341" t="s">
        <v>58</v>
      </c>
      <c r="H1341" t="s">
        <v>41</v>
      </c>
      <c r="I1341">
        <v>64.866902129110457</v>
      </c>
      <c r="J1341" s="3">
        <v>7411.75</v>
      </c>
      <c r="K1341" s="3">
        <f>Table1[[#This Row],[Quantity]]*Table1[[#This Row],[Unit_Price]]</f>
        <v>480777.26185543445</v>
      </c>
      <c r="L1341" s="3">
        <v>20456.57</v>
      </c>
      <c r="M1341" s="3">
        <f>Table1[[#This Row],[Gross_Sales]]-Table1[[#This Row],[Discount]]</f>
        <v>460320.69185543444</v>
      </c>
      <c r="N1341" s="3">
        <v>240889.2</v>
      </c>
      <c r="O1341" s="3">
        <v>8311.94</v>
      </c>
      <c r="P1341" s="3">
        <v>27317.94</v>
      </c>
      <c r="Q1341" s="3">
        <v>10557.24</v>
      </c>
      <c r="R1341" s="3">
        <v>5751.16</v>
      </c>
      <c r="S1341" s="3">
        <f>SUM(Table1[[#This Row],[Product_Cost]:[Other_Cost]])</f>
        <v>292827.48</v>
      </c>
      <c r="T1341" s="3">
        <f>Table1[[#This Row],[Net_Sales]]-Table1[[#This Row],[Product_Cost]]</f>
        <v>219431.49185543443</v>
      </c>
      <c r="U1341" s="3">
        <f>Table1[[#This Row],[Net_Sales]]-Table1[[#This Row],[Total_Cost]]</f>
        <v>167493.21185543446</v>
      </c>
      <c r="V1341" s="4">
        <f>Table1[[#This Row],[Net_Profit]]/Table1[[#This Row],[Net_Sales]]</f>
        <v>0.36386200928816032</v>
      </c>
      <c r="W1341" t="s">
        <v>33</v>
      </c>
      <c r="X1341" t="s">
        <v>1413</v>
      </c>
      <c r="Y1341">
        <v>12</v>
      </c>
      <c r="Z1341" t="str">
        <f>IF(Table1[[#This Row],[Month_No]]&lt;=6, "H1","H2")</f>
        <v>H2</v>
      </c>
    </row>
    <row r="1342" spans="1:26" x14ac:dyDescent="0.25">
      <c r="A1342" s="2">
        <v>45995</v>
      </c>
      <c r="B1342" t="s">
        <v>1426</v>
      </c>
      <c r="C1342" t="s">
        <v>70</v>
      </c>
      <c r="D1342" t="s">
        <v>66</v>
      </c>
      <c r="E1342" t="s">
        <v>51</v>
      </c>
      <c r="F1342" t="s">
        <v>52</v>
      </c>
      <c r="G1342" t="s">
        <v>58</v>
      </c>
      <c r="H1342" t="s">
        <v>41</v>
      </c>
      <c r="I1342">
        <v>57.965546466767748</v>
      </c>
      <c r="J1342" s="3">
        <v>1650.97</v>
      </c>
      <c r="K1342" s="3">
        <f>Table1[[#This Row],[Quantity]]*Table1[[#This Row],[Unit_Price]]</f>
        <v>95699.378250239548</v>
      </c>
      <c r="L1342" s="3">
        <v>4305.84</v>
      </c>
      <c r="M1342" s="3">
        <f>Table1[[#This Row],[Gross_Sales]]-Table1[[#This Row],[Discount]]</f>
        <v>91393.538250239551</v>
      </c>
      <c r="N1342" s="3">
        <v>43977.53</v>
      </c>
      <c r="O1342" s="3">
        <v>1742.87</v>
      </c>
      <c r="P1342" s="3">
        <v>5491.12</v>
      </c>
      <c r="Q1342" s="3">
        <v>2398.06</v>
      </c>
      <c r="R1342" s="3">
        <v>1522.59</v>
      </c>
      <c r="S1342" s="3">
        <f>SUM(Table1[[#This Row],[Product_Cost]:[Other_Cost]])</f>
        <v>55132.17</v>
      </c>
      <c r="T1342" s="3">
        <f>Table1[[#This Row],[Net_Sales]]-Table1[[#This Row],[Product_Cost]]</f>
        <v>47416.008250239553</v>
      </c>
      <c r="U1342" s="3">
        <f>Table1[[#This Row],[Net_Sales]]-Table1[[#This Row],[Total_Cost]]</f>
        <v>36261.368250239553</v>
      </c>
      <c r="V1342" s="4">
        <f>Table1[[#This Row],[Net_Profit]]/Table1[[#This Row],[Net_Sales]]</f>
        <v>0.3967607441890949</v>
      </c>
      <c r="W1342" t="s">
        <v>33</v>
      </c>
      <c r="X1342" t="s">
        <v>1413</v>
      </c>
      <c r="Y1342">
        <v>12</v>
      </c>
      <c r="Z1342" t="str">
        <f>IF(Table1[[#This Row],[Month_No]]&lt;=6, "H1","H2")</f>
        <v>H2</v>
      </c>
    </row>
    <row r="1343" spans="1:26" x14ac:dyDescent="0.25">
      <c r="A1343" s="2">
        <v>45995</v>
      </c>
      <c r="B1343" t="s">
        <v>1427</v>
      </c>
      <c r="C1343" t="s">
        <v>55</v>
      </c>
      <c r="D1343" t="s">
        <v>183</v>
      </c>
      <c r="E1343" t="s">
        <v>38</v>
      </c>
      <c r="F1343" t="s">
        <v>52</v>
      </c>
      <c r="G1343" t="s">
        <v>64</v>
      </c>
      <c r="H1343" t="s">
        <v>32</v>
      </c>
      <c r="I1343">
        <v>64.803938177642095</v>
      </c>
      <c r="J1343" s="3">
        <v>7119.36</v>
      </c>
      <c r="K1343" s="3">
        <f>Table1[[#This Row],[Quantity]]*Table1[[#This Row],[Unit_Price]]</f>
        <v>461362.56530437799</v>
      </c>
      <c r="L1343" s="3">
        <v>18113.25</v>
      </c>
      <c r="M1343" s="3">
        <f>Table1[[#This Row],[Gross_Sales]]-Table1[[#This Row],[Discount]]</f>
        <v>443249.31530437799</v>
      </c>
      <c r="N1343" s="3">
        <v>220491.5</v>
      </c>
      <c r="O1343" s="3">
        <v>7544.8</v>
      </c>
      <c r="P1343" s="3">
        <v>24518.59</v>
      </c>
      <c r="Q1343" s="3">
        <v>10752.16</v>
      </c>
      <c r="R1343" s="3">
        <v>9247.7099999999991</v>
      </c>
      <c r="S1343" s="3">
        <f>SUM(Table1[[#This Row],[Product_Cost]:[Other_Cost]])</f>
        <v>272554.76</v>
      </c>
      <c r="T1343" s="3">
        <f>Table1[[#This Row],[Net_Sales]]-Table1[[#This Row],[Product_Cost]]</f>
        <v>222757.81530437799</v>
      </c>
      <c r="U1343" s="3">
        <f>Table1[[#This Row],[Net_Sales]]-Table1[[#This Row],[Total_Cost]]</f>
        <v>170694.55530437798</v>
      </c>
      <c r="V1343" s="4">
        <f>Table1[[#This Row],[Net_Profit]]/Table1[[#This Row],[Net_Sales]]</f>
        <v>0.38509829436998122</v>
      </c>
      <c r="W1343" t="s">
        <v>72</v>
      </c>
      <c r="X1343" t="s">
        <v>1413</v>
      </c>
      <c r="Y1343">
        <v>12</v>
      </c>
      <c r="Z1343" t="str">
        <f>IF(Table1[[#This Row],[Month_No]]&lt;=6, "H1","H2")</f>
        <v>H2</v>
      </c>
    </row>
    <row r="1344" spans="1:26" x14ac:dyDescent="0.25">
      <c r="A1344" s="2">
        <v>45995</v>
      </c>
      <c r="B1344" t="s">
        <v>1428</v>
      </c>
      <c r="C1344" t="s">
        <v>83</v>
      </c>
      <c r="D1344" t="s">
        <v>74</v>
      </c>
      <c r="E1344" t="s">
        <v>75</v>
      </c>
      <c r="F1344" t="s">
        <v>52</v>
      </c>
      <c r="G1344" t="s">
        <v>31</v>
      </c>
      <c r="H1344" t="s">
        <v>32</v>
      </c>
      <c r="I1344">
        <v>97.064344858567637</v>
      </c>
      <c r="J1344" s="3">
        <v>6257.14</v>
      </c>
      <c r="K1344" s="3">
        <f>Table1[[#This Row],[Quantity]]*Table1[[#This Row],[Unit_Price]]</f>
        <v>607345.19478833792</v>
      </c>
      <c r="L1344" s="3">
        <v>26086.77</v>
      </c>
      <c r="M1344" s="3">
        <f>Table1[[#This Row],[Gross_Sales]]-Table1[[#This Row],[Discount]]</f>
        <v>581258.4247883379</v>
      </c>
      <c r="N1344" s="3">
        <v>406999.14</v>
      </c>
      <c r="O1344" s="3">
        <v>10252.540000000001</v>
      </c>
      <c r="P1344" s="3">
        <v>28152.68</v>
      </c>
      <c r="Q1344" s="3">
        <v>15957.01</v>
      </c>
      <c r="R1344" s="3">
        <v>8382.1</v>
      </c>
      <c r="S1344" s="3">
        <f>SUM(Table1[[#This Row],[Product_Cost]:[Other_Cost]])</f>
        <v>469743.47</v>
      </c>
      <c r="T1344" s="3">
        <f>Table1[[#This Row],[Net_Sales]]-Table1[[#This Row],[Product_Cost]]</f>
        <v>174259.28478833789</v>
      </c>
      <c r="U1344" s="3">
        <f>Table1[[#This Row],[Net_Sales]]-Table1[[#This Row],[Total_Cost]]</f>
        <v>111514.95478833793</v>
      </c>
      <c r="V1344" s="4">
        <f>Table1[[#This Row],[Net_Profit]]/Table1[[#This Row],[Net_Sales]]</f>
        <v>0.19185090492055318</v>
      </c>
      <c r="W1344" t="s">
        <v>33</v>
      </c>
      <c r="X1344" t="s">
        <v>1413</v>
      </c>
      <c r="Y1344">
        <v>12</v>
      </c>
      <c r="Z1344" t="str">
        <f>IF(Table1[[#This Row],[Month_No]]&lt;=6, "H1","H2")</f>
        <v>H2</v>
      </c>
    </row>
    <row r="1345" spans="1:26" x14ac:dyDescent="0.25">
      <c r="A1345" s="2">
        <v>45995</v>
      </c>
      <c r="B1345" t="s">
        <v>1429</v>
      </c>
      <c r="C1345" t="s">
        <v>63</v>
      </c>
      <c r="D1345" t="s">
        <v>81</v>
      </c>
      <c r="E1345" t="s">
        <v>45</v>
      </c>
      <c r="F1345" t="s">
        <v>52</v>
      </c>
      <c r="G1345" t="s">
        <v>71</v>
      </c>
      <c r="H1345" t="s">
        <v>41</v>
      </c>
      <c r="I1345">
        <v>63.665902986207122</v>
      </c>
      <c r="J1345" s="3">
        <v>7155.45</v>
      </c>
      <c r="K1345" s="3">
        <f>Table1[[#This Row],[Quantity]]*Table1[[#This Row],[Unit_Price]]</f>
        <v>455558.18552265572</v>
      </c>
      <c r="L1345" s="3">
        <v>20151.88</v>
      </c>
      <c r="M1345" s="3">
        <f>Table1[[#This Row],[Gross_Sales]]-Table1[[#This Row],[Discount]]</f>
        <v>435406.30552265572</v>
      </c>
      <c r="N1345" s="3">
        <v>219941.52</v>
      </c>
      <c r="O1345" s="3">
        <v>8833.24</v>
      </c>
      <c r="P1345" s="3">
        <v>26288.07</v>
      </c>
      <c r="Q1345" s="3">
        <v>13491.11</v>
      </c>
      <c r="R1345" s="3">
        <v>7735.71</v>
      </c>
      <c r="S1345" s="3">
        <f>SUM(Table1[[#This Row],[Product_Cost]:[Other_Cost]])</f>
        <v>276289.65000000002</v>
      </c>
      <c r="T1345" s="3">
        <f>Table1[[#This Row],[Net_Sales]]-Table1[[#This Row],[Product_Cost]]</f>
        <v>215464.78552265573</v>
      </c>
      <c r="U1345" s="3">
        <f>Table1[[#This Row],[Net_Sales]]-Table1[[#This Row],[Total_Cost]]</f>
        <v>159116.6555226557</v>
      </c>
      <c r="V1345" s="4">
        <f>Table1[[#This Row],[Net_Profit]]/Table1[[#This Row],[Net_Sales]]</f>
        <v>0.36544407718591548</v>
      </c>
      <c r="W1345" t="s">
        <v>33</v>
      </c>
      <c r="X1345" t="s">
        <v>1413</v>
      </c>
      <c r="Y1345">
        <v>12</v>
      </c>
      <c r="Z1345" t="str">
        <f>IF(Table1[[#This Row],[Month_No]]&lt;=6, "H1","H2")</f>
        <v>H2</v>
      </c>
    </row>
    <row r="1346" spans="1:26" x14ac:dyDescent="0.25">
      <c r="A1346" s="2">
        <v>45996</v>
      </c>
      <c r="B1346" t="s">
        <v>1430</v>
      </c>
      <c r="C1346" t="s">
        <v>63</v>
      </c>
      <c r="D1346" t="s">
        <v>56</v>
      </c>
      <c r="E1346" t="s">
        <v>57</v>
      </c>
      <c r="F1346" t="s">
        <v>46</v>
      </c>
      <c r="G1346" t="s">
        <v>58</v>
      </c>
      <c r="H1346" t="s">
        <v>59</v>
      </c>
      <c r="I1346">
        <v>35.654263674113487</v>
      </c>
      <c r="J1346" s="3">
        <v>3648.65</v>
      </c>
      <c r="K1346" s="3">
        <f>Table1[[#This Row],[Quantity]]*Table1[[#This Row],[Unit_Price]]</f>
        <v>130089.92915455418</v>
      </c>
      <c r="L1346" s="3">
        <v>5680.92</v>
      </c>
      <c r="M1346" s="3">
        <f>Table1[[#This Row],[Gross_Sales]]-Table1[[#This Row],[Discount]]</f>
        <v>124409.00915455418</v>
      </c>
      <c r="N1346" s="3">
        <v>63112.55</v>
      </c>
      <c r="O1346" s="3">
        <v>2143.16</v>
      </c>
      <c r="P1346" s="3">
        <v>6048.25</v>
      </c>
      <c r="Q1346" s="3">
        <v>3025.55</v>
      </c>
      <c r="R1346" s="3">
        <v>2690.69</v>
      </c>
      <c r="S1346" s="3">
        <f>SUM(Table1[[#This Row],[Product_Cost]:[Other_Cost]])</f>
        <v>77020.200000000012</v>
      </c>
      <c r="T1346" s="3">
        <f>Table1[[#This Row],[Net_Sales]]-Table1[[#This Row],[Product_Cost]]</f>
        <v>61296.459154554177</v>
      </c>
      <c r="U1346" s="3">
        <f>Table1[[#This Row],[Net_Sales]]-Table1[[#This Row],[Total_Cost]]</f>
        <v>47388.809154554168</v>
      </c>
      <c r="V1346" s="4">
        <f>Table1[[#This Row],[Net_Profit]]/Table1[[#This Row],[Net_Sales]]</f>
        <v>0.38091139441262423</v>
      </c>
      <c r="W1346" t="s">
        <v>72</v>
      </c>
      <c r="X1346" t="s">
        <v>1413</v>
      </c>
      <c r="Y1346">
        <v>12</v>
      </c>
      <c r="Z1346" t="str">
        <f>IF(Table1[[#This Row],[Month_No]]&lt;=6, "H1","H2")</f>
        <v>H2</v>
      </c>
    </row>
    <row r="1347" spans="1:26" x14ac:dyDescent="0.25">
      <c r="A1347" s="2">
        <v>45996</v>
      </c>
      <c r="B1347" t="s">
        <v>1431</v>
      </c>
      <c r="C1347" t="s">
        <v>36</v>
      </c>
      <c r="D1347" t="s">
        <v>28</v>
      </c>
      <c r="E1347" t="s">
        <v>29</v>
      </c>
      <c r="F1347" t="s">
        <v>52</v>
      </c>
      <c r="G1347" t="s">
        <v>86</v>
      </c>
      <c r="H1347" t="s">
        <v>47</v>
      </c>
      <c r="I1347">
        <v>107.8381481344269</v>
      </c>
      <c r="J1347" s="3">
        <v>1267.8900000000001</v>
      </c>
      <c r="K1347" s="3">
        <f>Table1[[#This Row],[Quantity]]*Table1[[#This Row],[Unit_Price]]</f>
        <v>136726.90963815854</v>
      </c>
      <c r="L1347" s="3">
        <v>4696.6000000000004</v>
      </c>
      <c r="M1347" s="3">
        <f>Table1[[#This Row],[Gross_Sales]]-Table1[[#This Row],[Discount]]</f>
        <v>132030.30963815853</v>
      </c>
      <c r="N1347" s="3">
        <v>68787.850000000006</v>
      </c>
      <c r="O1347" s="3">
        <v>2446.2600000000002</v>
      </c>
      <c r="P1347" s="3">
        <v>6827.69</v>
      </c>
      <c r="Q1347" s="3">
        <v>2511.08</v>
      </c>
      <c r="R1347" s="3">
        <v>2296.08</v>
      </c>
      <c r="S1347" s="3">
        <f>SUM(Table1[[#This Row],[Product_Cost]:[Other_Cost]])</f>
        <v>82868.960000000006</v>
      </c>
      <c r="T1347" s="3">
        <f>Table1[[#This Row],[Net_Sales]]-Table1[[#This Row],[Product_Cost]]</f>
        <v>63242.459638158529</v>
      </c>
      <c r="U1347" s="3">
        <f>Table1[[#This Row],[Net_Sales]]-Table1[[#This Row],[Total_Cost]]</f>
        <v>49161.349638158528</v>
      </c>
      <c r="V1347" s="4">
        <f>Table1[[#This Row],[Net_Profit]]/Table1[[#This Row],[Net_Sales]]</f>
        <v>0.37234896875490048</v>
      </c>
      <c r="W1347" t="s">
        <v>33</v>
      </c>
      <c r="X1347" t="s">
        <v>1413</v>
      </c>
      <c r="Y1347">
        <v>12</v>
      </c>
      <c r="Z1347" t="str">
        <f>IF(Table1[[#This Row],[Month_No]]&lt;=6, "H1","H2")</f>
        <v>H2</v>
      </c>
    </row>
    <row r="1348" spans="1:26" x14ac:dyDescent="0.25">
      <c r="A1348" s="2">
        <v>45996</v>
      </c>
      <c r="B1348" t="s">
        <v>1432</v>
      </c>
      <c r="C1348" t="s">
        <v>27</v>
      </c>
      <c r="D1348" t="s">
        <v>50</v>
      </c>
      <c r="E1348" t="s">
        <v>51</v>
      </c>
      <c r="F1348" t="s">
        <v>30</v>
      </c>
      <c r="G1348" t="s">
        <v>31</v>
      </c>
      <c r="H1348" t="s">
        <v>32</v>
      </c>
      <c r="I1348">
        <v>61.806835039334388</v>
      </c>
      <c r="J1348" s="3">
        <v>899.23</v>
      </c>
      <c r="K1348" s="3">
        <f>Table1[[#This Row],[Quantity]]*Table1[[#This Row],[Unit_Price]]</f>
        <v>55578.560272420662</v>
      </c>
      <c r="L1348" s="3">
        <v>2220.63</v>
      </c>
      <c r="M1348" s="3">
        <f>Table1[[#This Row],[Gross_Sales]]-Table1[[#This Row],[Discount]]</f>
        <v>53357.930272420665</v>
      </c>
      <c r="N1348" s="3">
        <v>33405.730000000003</v>
      </c>
      <c r="O1348" s="3">
        <v>1479.67</v>
      </c>
      <c r="P1348" s="3">
        <v>3087.06</v>
      </c>
      <c r="Q1348" s="3">
        <v>1414.26</v>
      </c>
      <c r="R1348" s="3">
        <v>895.49</v>
      </c>
      <c r="S1348" s="3">
        <f>SUM(Table1[[#This Row],[Product_Cost]:[Other_Cost]])</f>
        <v>40282.21</v>
      </c>
      <c r="T1348" s="3">
        <f>Table1[[#This Row],[Net_Sales]]-Table1[[#This Row],[Product_Cost]]</f>
        <v>19952.200272420661</v>
      </c>
      <c r="U1348" s="3">
        <f>Table1[[#This Row],[Net_Sales]]-Table1[[#This Row],[Total_Cost]]</f>
        <v>13075.720272420665</v>
      </c>
      <c r="V1348" s="4">
        <f>Table1[[#This Row],[Net_Profit]]/Table1[[#This Row],[Net_Sales]]</f>
        <v>0.24505673675238426</v>
      </c>
      <c r="W1348" t="s">
        <v>33</v>
      </c>
      <c r="X1348" t="s">
        <v>1413</v>
      </c>
      <c r="Y1348">
        <v>12</v>
      </c>
      <c r="Z1348" t="str">
        <f>IF(Table1[[#This Row],[Month_No]]&lt;=6, "H1","H2")</f>
        <v>H2</v>
      </c>
    </row>
    <row r="1349" spans="1:26" x14ac:dyDescent="0.25">
      <c r="A1349" s="2">
        <v>45996</v>
      </c>
      <c r="B1349" t="s">
        <v>1433</v>
      </c>
      <c r="C1349" t="s">
        <v>117</v>
      </c>
      <c r="D1349" t="s">
        <v>50</v>
      </c>
      <c r="E1349" t="s">
        <v>51</v>
      </c>
      <c r="F1349" t="s">
        <v>52</v>
      </c>
      <c r="G1349" t="s">
        <v>76</v>
      </c>
      <c r="H1349" t="s">
        <v>41</v>
      </c>
      <c r="I1349">
        <v>83.131626267039579</v>
      </c>
      <c r="J1349" s="3">
        <v>953.11</v>
      </c>
      <c r="K1349" s="3">
        <f>Table1[[#This Row],[Quantity]]*Table1[[#This Row],[Unit_Price]]</f>
        <v>79233.584311378101</v>
      </c>
      <c r="L1349" s="3">
        <v>3896.89</v>
      </c>
      <c r="M1349" s="3">
        <f>Table1[[#This Row],[Gross_Sales]]-Table1[[#This Row],[Discount]]</f>
        <v>75336.694311378102</v>
      </c>
      <c r="N1349" s="3">
        <v>45500.76</v>
      </c>
      <c r="O1349" s="3">
        <v>1531.28</v>
      </c>
      <c r="P1349" s="3">
        <v>3714.18</v>
      </c>
      <c r="Q1349" s="3">
        <v>1557.06</v>
      </c>
      <c r="R1349" s="3">
        <v>1476.06</v>
      </c>
      <c r="S1349" s="3">
        <f>SUM(Table1[[#This Row],[Product_Cost]:[Other_Cost]])</f>
        <v>53779.34</v>
      </c>
      <c r="T1349" s="3">
        <f>Table1[[#This Row],[Net_Sales]]-Table1[[#This Row],[Product_Cost]]</f>
        <v>29835.9343113781</v>
      </c>
      <c r="U1349" s="3">
        <f>Table1[[#This Row],[Net_Sales]]-Table1[[#This Row],[Total_Cost]]</f>
        <v>21557.354311378105</v>
      </c>
      <c r="V1349" s="4">
        <f>Table1[[#This Row],[Net_Profit]]/Table1[[#This Row],[Net_Sales]]</f>
        <v>0.28614680413608617</v>
      </c>
      <c r="W1349" t="s">
        <v>72</v>
      </c>
      <c r="X1349" t="s">
        <v>1413</v>
      </c>
      <c r="Y1349">
        <v>12</v>
      </c>
      <c r="Z1349" t="str">
        <f>IF(Table1[[#This Row],[Month_No]]&lt;=6, "H1","H2")</f>
        <v>H2</v>
      </c>
    </row>
    <row r="1350" spans="1:26" x14ac:dyDescent="0.25">
      <c r="A1350" s="2">
        <v>45997</v>
      </c>
      <c r="B1350" t="s">
        <v>1434</v>
      </c>
      <c r="C1350" t="s">
        <v>49</v>
      </c>
      <c r="D1350" t="s">
        <v>81</v>
      </c>
      <c r="E1350" t="s">
        <v>45</v>
      </c>
      <c r="F1350" t="s">
        <v>52</v>
      </c>
      <c r="G1350" t="s">
        <v>31</v>
      </c>
      <c r="H1350" t="s">
        <v>41</v>
      </c>
      <c r="I1350">
        <v>31.633334984855999</v>
      </c>
      <c r="J1350" s="3">
        <v>7371.12</v>
      </c>
      <c r="K1350" s="3">
        <f>Table1[[#This Row],[Quantity]]*Table1[[#This Row],[Unit_Price]]</f>
        <v>233173.10817357176</v>
      </c>
      <c r="L1350" s="3">
        <v>8973.7900000000009</v>
      </c>
      <c r="M1350" s="3">
        <f>Table1[[#This Row],[Gross_Sales]]-Table1[[#This Row],[Discount]]</f>
        <v>224199.31817357175</v>
      </c>
      <c r="N1350" s="3">
        <v>112563.12</v>
      </c>
      <c r="O1350" s="3">
        <v>4571.42</v>
      </c>
      <c r="P1350" s="3">
        <v>12033.31</v>
      </c>
      <c r="Q1350" s="3">
        <v>5759.4</v>
      </c>
      <c r="R1350" s="3">
        <v>3985.5</v>
      </c>
      <c r="S1350" s="3">
        <f>SUM(Table1[[#This Row],[Product_Cost]:[Other_Cost]])</f>
        <v>138912.75</v>
      </c>
      <c r="T1350" s="3">
        <f>Table1[[#This Row],[Net_Sales]]-Table1[[#This Row],[Product_Cost]]</f>
        <v>111636.19817357176</v>
      </c>
      <c r="U1350" s="3">
        <f>Table1[[#This Row],[Net_Sales]]-Table1[[#This Row],[Total_Cost]]</f>
        <v>85286.568173571752</v>
      </c>
      <c r="V1350" s="4">
        <f>Table1[[#This Row],[Net_Profit]]/Table1[[#This Row],[Net_Sales]]</f>
        <v>0.38040511839355445</v>
      </c>
      <c r="W1350" t="s">
        <v>33</v>
      </c>
      <c r="X1350" t="s">
        <v>1413</v>
      </c>
      <c r="Y1350">
        <v>12</v>
      </c>
      <c r="Z1350" t="str">
        <f>IF(Table1[[#This Row],[Month_No]]&lt;=6, "H1","H2")</f>
        <v>H2</v>
      </c>
    </row>
    <row r="1351" spans="1:26" x14ac:dyDescent="0.25">
      <c r="A1351" s="2">
        <v>45997</v>
      </c>
      <c r="B1351" t="s">
        <v>1435</v>
      </c>
      <c r="C1351" t="s">
        <v>107</v>
      </c>
      <c r="D1351" t="s">
        <v>50</v>
      </c>
      <c r="E1351" t="s">
        <v>51</v>
      </c>
      <c r="F1351" t="s">
        <v>30</v>
      </c>
      <c r="G1351" t="s">
        <v>86</v>
      </c>
      <c r="H1351" t="s">
        <v>41</v>
      </c>
      <c r="I1351">
        <v>82.795983833692105</v>
      </c>
      <c r="J1351" s="3">
        <v>900.18</v>
      </c>
      <c r="K1351" s="3">
        <f>Table1[[#This Row],[Quantity]]*Table1[[#This Row],[Unit_Price]]</f>
        <v>74531.288727412961</v>
      </c>
      <c r="L1351" s="3">
        <v>3664.09</v>
      </c>
      <c r="M1351" s="3">
        <f>Table1[[#This Row],[Gross_Sales]]-Table1[[#This Row],[Discount]]</f>
        <v>70867.198727412964</v>
      </c>
      <c r="N1351" s="3">
        <v>40178.050000000003</v>
      </c>
      <c r="O1351" s="3">
        <v>1748.54</v>
      </c>
      <c r="P1351" s="3">
        <v>4069.97</v>
      </c>
      <c r="Q1351" s="3">
        <v>1282.08</v>
      </c>
      <c r="R1351" s="3">
        <v>1535.24</v>
      </c>
      <c r="S1351" s="3">
        <f>SUM(Table1[[#This Row],[Product_Cost]:[Other_Cost]])</f>
        <v>48813.880000000005</v>
      </c>
      <c r="T1351" s="3">
        <f>Table1[[#This Row],[Net_Sales]]-Table1[[#This Row],[Product_Cost]]</f>
        <v>30689.148727412961</v>
      </c>
      <c r="U1351" s="3">
        <f>Table1[[#This Row],[Net_Sales]]-Table1[[#This Row],[Total_Cost]]</f>
        <v>22053.31872741296</v>
      </c>
      <c r="V1351" s="4">
        <f>Table1[[#This Row],[Net_Profit]]/Table1[[#This Row],[Net_Sales]]</f>
        <v>0.31119218938284715</v>
      </c>
      <c r="W1351" t="s">
        <v>33</v>
      </c>
      <c r="X1351" t="s">
        <v>1413</v>
      </c>
      <c r="Y1351">
        <v>12</v>
      </c>
      <c r="Z1351" t="str">
        <f>IF(Table1[[#This Row],[Month_No]]&lt;=6, "H1","H2")</f>
        <v>H2</v>
      </c>
    </row>
    <row r="1352" spans="1:26" x14ac:dyDescent="0.25">
      <c r="A1352" s="2">
        <v>45997</v>
      </c>
      <c r="B1352" t="s">
        <v>1436</v>
      </c>
      <c r="C1352" t="s">
        <v>36</v>
      </c>
      <c r="D1352" t="s">
        <v>183</v>
      </c>
      <c r="E1352" t="s">
        <v>38</v>
      </c>
      <c r="F1352" t="s">
        <v>52</v>
      </c>
      <c r="G1352" t="s">
        <v>64</v>
      </c>
      <c r="H1352" t="s">
        <v>41</v>
      </c>
      <c r="I1352">
        <v>61.712941921433803</v>
      </c>
      <c r="J1352" s="3">
        <v>6949.12</v>
      </c>
      <c r="K1352" s="3">
        <f>Table1[[#This Row],[Quantity]]*Table1[[#This Row],[Unit_Price]]</f>
        <v>428850.63896507409</v>
      </c>
      <c r="L1352" s="3">
        <v>17598.439999999999</v>
      </c>
      <c r="M1352" s="3">
        <f>Table1[[#This Row],[Gross_Sales]]-Table1[[#This Row],[Discount]]</f>
        <v>411252.19896507409</v>
      </c>
      <c r="N1352" s="3">
        <v>216828.67</v>
      </c>
      <c r="O1352" s="3">
        <v>8337.77</v>
      </c>
      <c r="P1352" s="3">
        <v>24772.93</v>
      </c>
      <c r="Q1352" s="3">
        <v>11258.44</v>
      </c>
      <c r="R1352" s="3">
        <v>5535.2</v>
      </c>
      <c r="S1352" s="3">
        <f>SUM(Table1[[#This Row],[Product_Cost]:[Other_Cost]])</f>
        <v>266733.01</v>
      </c>
      <c r="T1352" s="3">
        <f>Table1[[#This Row],[Net_Sales]]-Table1[[#This Row],[Product_Cost]]</f>
        <v>194423.52896507407</v>
      </c>
      <c r="U1352" s="3">
        <f>Table1[[#This Row],[Net_Sales]]-Table1[[#This Row],[Total_Cost]]</f>
        <v>144519.18896507408</v>
      </c>
      <c r="V1352" s="4">
        <f>Table1[[#This Row],[Net_Profit]]/Table1[[#This Row],[Net_Sales]]</f>
        <v>0.35141256223981304</v>
      </c>
      <c r="W1352" t="s">
        <v>33</v>
      </c>
      <c r="X1352" t="s">
        <v>1413</v>
      </c>
      <c r="Y1352">
        <v>12</v>
      </c>
      <c r="Z1352" t="str">
        <f>IF(Table1[[#This Row],[Month_No]]&lt;=6, "H1","H2")</f>
        <v>H2</v>
      </c>
    </row>
    <row r="1353" spans="1:26" x14ac:dyDescent="0.25">
      <c r="A1353" s="2">
        <v>45997</v>
      </c>
      <c r="B1353" t="s">
        <v>1437</v>
      </c>
      <c r="C1353" t="s">
        <v>63</v>
      </c>
      <c r="D1353" t="s">
        <v>68</v>
      </c>
      <c r="E1353" t="s">
        <v>29</v>
      </c>
      <c r="F1353" t="s">
        <v>46</v>
      </c>
      <c r="G1353" t="s">
        <v>64</v>
      </c>
      <c r="H1353" t="s">
        <v>41</v>
      </c>
      <c r="I1353">
        <v>37.350246066800743</v>
      </c>
      <c r="J1353" s="3">
        <v>407.83</v>
      </c>
      <c r="K1353" s="3">
        <f>Table1[[#This Row],[Quantity]]*Table1[[#This Row],[Unit_Price]]</f>
        <v>15232.550853423347</v>
      </c>
      <c r="L1353" s="3">
        <v>588.76</v>
      </c>
      <c r="M1353" s="3">
        <f>Table1[[#This Row],[Gross_Sales]]-Table1[[#This Row],[Discount]]</f>
        <v>14643.790853423347</v>
      </c>
      <c r="N1353" s="3">
        <v>10799.94</v>
      </c>
      <c r="O1353" s="3">
        <v>293.68</v>
      </c>
      <c r="P1353" s="3">
        <v>833.6</v>
      </c>
      <c r="Q1353" s="3">
        <v>380.16</v>
      </c>
      <c r="R1353" s="3">
        <v>301.87</v>
      </c>
      <c r="S1353" s="3">
        <f>SUM(Table1[[#This Row],[Product_Cost]:[Other_Cost]])</f>
        <v>12609.250000000002</v>
      </c>
      <c r="T1353" s="3">
        <f>Table1[[#This Row],[Net_Sales]]-Table1[[#This Row],[Product_Cost]]</f>
        <v>3843.8508534233461</v>
      </c>
      <c r="U1353" s="3">
        <f>Table1[[#This Row],[Net_Sales]]-Table1[[#This Row],[Total_Cost]]</f>
        <v>2034.5408534233447</v>
      </c>
      <c r="V1353" s="4">
        <f>Table1[[#This Row],[Net_Profit]]/Table1[[#This Row],[Net_Sales]]</f>
        <v>0.1389353941058043</v>
      </c>
      <c r="W1353" t="s">
        <v>33</v>
      </c>
      <c r="X1353" t="s">
        <v>1413</v>
      </c>
      <c r="Y1353">
        <v>12</v>
      </c>
      <c r="Z1353" t="str">
        <f>IF(Table1[[#This Row],[Month_No]]&lt;=6, "H1","H2")</f>
        <v>H2</v>
      </c>
    </row>
    <row r="1354" spans="1:26" x14ac:dyDescent="0.25">
      <c r="A1354" s="2">
        <v>45997</v>
      </c>
      <c r="B1354" t="s">
        <v>1438</v>
      </c>
      <c r="C1354" t="s">
        <v>43</v>
      </c>
      <c r="D1354" t="s">
        <v>50</v>
      </c>
      <c r="E1354" t="s">
        <v>51</v>
      </c>
      <c r="F1354" t="s">
        <v>52</v>
      </c>
      <c r="G1354" t="s">
        <v>86</v>
      </c>
      <c r="H1354" t="s">
        <v>41</v>
      </c>
      <c r="I1354">
        <v>60.773308560692172</v>
      </c>
      <c r="J1354" s="3">
        <v>932.41</v>
      </c>
      <c r="K1354" s="3">
        <f>Table1[[#This Row],[Quantity]]*Table1[[#This Row],[Unit_Price]]</f>
        <v>56665.640635074989</v>
      </c>
      <c r="L1354" s="3">
        <v>2741.58</v>
      </c>
      <c r="M1354" s="3">
        <f>Table1[[#This Row],[Gross_Sales]]-Table1[[#This Row],[Discount]]</f>
        <v>53924.060635074988</v>
      </c>
      <c r="N1354" s="3">
        <v>34615.949999999997</v>
      </c>
      <c r="O1354" s="3">
        <v>1030.8900000000001</v>
      </c>
      <c r="P1354" s="3">
        <v>3001.07</v>
      </c>
      <c r="Q1354" s="3">
        <v>1264.98</v>
      </c>
      <c r="R1354" s="3">
        <v>969.91</v>
      </c>
      <c r="S1354" s="3">
        <f>SUM(Table1[[#This Row],[Product_Cost]:[Other_Cost]])</f>
        <v>40882.800000000003</v>
      </c>
      <c r="T1354" s="3">
        <f>Table1[[#This Row],[Net_Sales]]-Table1[[#This Row],[Product_Cost]]</f>
        <v>19308.110635074991</v>
      </c>
      <c r="U1354" s="3">
        <f>Table1[[#This Row],[Net_Sales]]-Table1[[#This Row],[Total_Cost]]</f>
        <v>13041.260635074985</v>
      </c>
      <c r="V1354" s="4">
        <f>Table1[[#This Row],[Net_Profit]]/Table1[[#This Row],[Net_Sales]]</f>
        <v>0.24184492935964613</v>
      </c>
      <c r="W1354" t="s">
        <v>33</v>
      </c>
      <c r="X1354" t="s">
        <v>1413</v>
      </c>
      <c r="Y1354">
        <v>12</v>
      </c>
      <c r="Z1354" t="str">
        <f>IF(Table1[[#This Row],[Month_No]]&lt;=6, "H1","H2")</f>
        <v>H2</v>
      </c>
    </row>
    <row r="1355" spans="1:26" x14ac:dyDescent="0.25">
      <c r="A1355" s="2">
        <v>45997</v>
      </c>
      <c r="B1355" t="s">
        <v>1439</v>
      </c>
      <c r="C1355" t="s">
        <v>70</v>
      </c>
      <c r="D1355" t="s">
        <v>28</v>
      </c>
      <c r="E1355" t="s">
        <v>29</v>
      </c>
      <c r="F1355" t="s">
        <v>52</v>
      </c>
      <c r="G1355" t="s">
        <v>86</v>
      </c>
      <c r="H1355" t="s">
        <v>59</v>
      </c>
      <c r="I1355">
        <v>56.714545901400122</v>
      </c>
      <c r="J1355" s="3">
        <v>1269.8</v>
      </c>
      <c r="K1355" s="3">
        <f>Table1[[#This Row],[Quantity]]*Table1[[#This Row],[Unit_Price]]</f>
        <v>72016.130385597877</v>
      </c>
      <c r="L1355" s="3">
        <v>2790.54</v>
      </c>
      <c r="M1355" s="3">
        <f>Table1[[#This Row],[Gross_Sales]]-Table1[[#This Row],[Discount]]</f>
        <v>69225.590385597883</v>
      </c>
      <c r="N1355" s="3">
        <v>37105.94</v>
      </c>
      <c r="O1355" s="3">
        <v>1512.64</v>
      </c>
      <c r="P1355" s="3">
        <v>4176.6400000000003</v>
      </c>
      <c r="Q1355" s="3">
        <v>1871.16</v>
      </c>
      <c r="R1355" s="3">
        <v>1446.33</v>
      </c>
      <c r="S1355" s="3">
        <f>SUM(Table1[[#This Row],[Product_Cost]:[Other_Cost]])</f>
        <v>46112.710000000006</v>
      </c>
      <c r="T1355" s="3">
        <f>Table1[[#This Row],[Net_Sales]]-Table1[[#This Row],[Product_Cost]]</f>
        <v>32119.650385597881</v>
      </c>
      <c r="U1355" s="3">
        <f>Table1[[#This Row],[Net_Sales]]-Table1[[#This Row],[Total_Cost]]</f>
        <v>23112.880385597877</v>
      </c>
      <c r="V1355" s="4">
        <f>Table1[[#This Row],[Net_Profit]]/Table1[[#This Row],[Net_Sales]]</f>
        <v>0.33387769258240119</v>
      </c>
      <c r="W1355" t="s">
        <v>33</v>
      </c>
      <c r="X1355" t="s">
        <v>1413</v>
      </c>
      <c r="Y1355">
        <v>12</v>
      </c>
      <c r="Z1355" t="str">
        <f>IF(Table1[[#This Row],[Month_No]]&lt;=6, "H1","H2")</f>
        <v>H2</v>
      </c>
    </row>
    <row r="1356" spans="1:26" x14ac:dyDescent="0.25">
      <c r="A1356" s="2">
        <v>45998</v>
      </c>
      <c r="B1356" t="s">
        <v>1440</v>
      </c>
      <c r="C1356" t="s">
        <v>70</v>
      </c>
      <c r="D1356" t="s">
        <v>56</v>
      </c>
      <c r="E1356" t="s">
        <v>57</v>
      </c>
      <c r="F1356" t="s">
        <v>30</v>
      </c>
      <c r="G1356" t="s">
        <v>31</v>
      </c>
      <c r="H1356" t="s">
        <v>41</v>
      </c>
      <c r="I1356">
        <v>74.587841761116351</v>
      </c>
      <c r="J1356" s="3">
        <v>3549.58</v>
      </c>
      <c r="K1356" s="3">
        <f>Table1[[#This Row],[Quantity]]*Table1[[#This Row],[Unit_Price]]</f>
        <v>264755.51135842339</v>
      </c>
      <c r="L1356" s="3">
        <v>12151.58</v>
      </c>
      <c r="M1356" s="3">
        <f>Table1[[#This Row],[Gross_Sales]]-Table1[[#This Row],[Discount]]</f>
        <v>252603.9313584234</v>
      </c>
      <c r="N1356" s="3">
        <v>125212.2</v>
      </c>
      <c r="O1356" s="3">
        <v>7063.56</v>
      </c>
      <c r="P1356" s="3">
        <v>14411.65</v>
      </c>
      <c r="Q1356" s="3">
        <v>6004.54</v>
      </c>
      <c r="R1356" s="3">
        <v>4341.54</v>
      </c>
      <c r="S1356" s="3">
        <f>SUM(Table1[[#This Row],[Product_Cost]:[Other_Cost]])</f>
        <v>157033.49000000002</v>
      </c>
      <c r="T1356" s="3">
        <f>Table1[[#This Row],[Net_Sales]]-Table1[[#This Row],[Product_Cost]]</f>
        <v>127391.73135842341</v>
      </c>
      <c r="U1356" s="3">
        <f>Table1[[#This Row],[Net_Sales]]-Table1[[#This Row],[Total_Cost]]</f>
        <v>95570.441358423384</v>
      </c>
      <c r="V1356" s="4">
        <f>Table1[[#This Row],[Net_Profit]]/Table1[[#This Row],[Net_Sales]]</f>
        <v>0.37834106874139301</v>
      </c>
      <c r="W1356" t="s">
        <v>33</v>
      </c>
      <c r="X1356" t="s">
        <v>1413</v>
      </c>
      <c r="Y1356">
        <v>12</v>
      </c>
      <c r="Z1356" t="str">
        <f>IF(Table1[[#This Row],[Month_No]]&lt;=6, "H1","H2")</f>
        <v>H2</v>
      </c>
    </row>
    <row r="1357" spans="1:26" x14ac:dyDescent="0.25">
      <c r="A1357" s="2">
        <v>45998</v>
      </c>
      <c r="B1357" t="s">
        <v>1441</v>
      </c>
      <c r="C1357" t="s">
        <v>55</v>
      </c>
      <c r="D1357" t="s">
        <v>44</v>
      </c>
      <c r="E1357" t="s">
        <v>45</v>
      </c>
      <c r="F1357" t="s">
        <v>30</v>
      </c>
      <c r="G1357" t="s">
        <v>86</v>
      </c>
      <c r="H1357" t="s">
        <v>59</v>
      </c>
      <c r="I1357">
        <v>55.860775611129952</v>
      </c>
      <c r="J1357" s="3">
        <v>4787.93</v>
      </c>
      <c r="K1357" s="3">
        <f>Table1[[#This Row],[Quantity]]*Table1[[#This Row],[Unit_Price]]</f>
        <v>267457.48337179743</v>
      </c>
      <c r="L1357" s="3">
        <v>10822.11</v>
      </c>
      <c r="M1357" s="3">
        <f>Table1[[#This Row],[Gross_Sales]]-Table1[[#This Row],[Discount]]</f>
        <v>256635.37337179744</v>
      </c>
      <c r="N1357" s="3">
        <v>164588.57</v>
      </c>
      <c r="O1357" s="3">
        <v>5996.76</v>
      </c>
      <c r="P1357" s="3">
        <v>15108.7</v>
      </c>
      <c r="Q1357" s="3">
        <v>5928.85</v>
      </c>
      <c r="R1357" s="3">
        <v>5496.3</v>
      </c>
      <c r="S1357" s="3">
        <f>SUM(Table1[[#This Row],[Product_Cost]:[Other_Cost]])</f>
        <v>197119.18000000002</v>
      </c>
      <c r="T1357" s="3">
        <f>Table1[[#This Row],[Net_Sales]]-Table1[[#This Row],[Product_Cost]]</f>
        <v>92046.803371797432</v>
      </c>
      <c r="U1357" s="3">
        <f>Table1[[#This Row],[Net_Sales]]-Table1[[#This Row],[Total_Cost]]</f>
        <v>59516.193371797417</v>
      </c>
      <c r="V1357" s="4">
        <f>Table1[[#This Row],[Net_Profit]]/Table1[[#This Row],[Net_Sales]]</f>
        <v>0.23190954773632877</v>
      </c>
      <c r="W1357" t="s">
        <v>33</v>
      </c>
      <c r="X1357" t="s">
        <v>1413</v>
      </c>
      <c r="Y1357">
        <v>12</v>
      </c>
      <c r="Z1357" t="str">
        <f>IF(Table1[[#This Row],[Month_No]]&lt;=6, "H1","H2")</f>
        <v>H2</v>
      </c>
    </row>
    <row r="1358" spans="1:26" x14ac:dyDescent="0.25">
      <c r="A1358" s="2">
        <v>45998</v>
      </c>
      <c r="B1358" t="s">
        <v>1442</v>
      </c>
      <c r="C1358" t="s">
        <v>49</v>
      </c>
      <c r="D1358" t="s">
        <v>183</v>
      </c>
      <c r="E1358" t="s">
        <v>38</v>
      </c>
      <c r="F1358" t="s">
        <v>39</v>
      </c>
      <c r="G1358" t="s">
        <v>40</v>
      </c>
      <c r="H1358" t="s">
        <v>47</v>
      </c>
      <c r="I1358">
        <v>42.154928909409932</v>
      </c>
      <c r="J1358" s="3">
        <v>7503.18</v>
      </c>
      <c r="K1358" s="3">
        <f>Table1[[#This Row],[Quantity]]*Table1[[#This Row],[Unit_Price]]</f>
        <v>316296.01949450641</v>
      </c>
      <c r="L1358" s="3">
        <v>15089.99</v>
      </c>
      <c r="M1358" s="3">
        <f>Table1[[#This Row],[Gross_Sales]]-Table1[[#This Row],[Discount]]</f>
        <v>301206.02949450642</v>
      </c>
      <c r="N1358" s="3">
        <v>161867.41</v>
      </c>
      <c r="O1358" s="3">
        <v>7487.39</v>
      </c>
      <c r="P1358" s="3">
        <v>15356.06</v>
      </c>
      <c r="Q1358" s="3">
        <v>8088.08</v>
      </c>
      <c r="R1358" s="3">
        <v>4773.6899999999996</v>
      </c>
      <c r="S1358" s="3">
        <f>SUM(Table1[[#This Row],[Product_Cost]:[Other_Cost]])</f>
        <v>197572.63</v>
      </c>
      <c r="T1358" s="3">
        <f>Table1[[#This Row],[Net_Sales]]-Table1[[#This Row],[Product_Cost]]</f>
        <v>139338.61949450642</v>
      </c>
      <c r="U1358" s="3">
        <f>Table1[[#This Row],[Net_Sales]]-Table1[[#This Row],[Total_Cost]]</f>
        <v>103633.39949450642</v>
      </c>
      <c r="V1358" s="4">
        <f>Table1[[#This Row],[Net_Profit]]/Table1[[#This Row],[Net_Sales]]</f>
        <v>0.34406150390955753</v>
      </c>
      <c r="W1358" t="s">
        <v>33</v>
      </c>
      <c r="X1358" t="s">
        <v>1413</v>
      </c>
      <c r="Y1358">
        <v>12</v>
      </c>
      <c r="Z1358" t="str">
        <f>IF(Table1[[#This Row],[Month_No]]&lt;=6, "H1","H2")</f>
        <v>H2</v>
      </c>
    </row>
    <row r="1359" spans="1:26" x14ac:dyDescent="0.25">
      <c r="A1359" s="2">
        <v>45998</v>
      </c>
      <c r="B1359" t="s">
        <v>1443</v>
      </c>
      <c r="C1359" t="s">
        <v>117</v>
      </c>
      <c r="D1359" t="s">
        <v>68</v>
      </c>
      <c r="E1359" t="s">
        <v>29</v>
      </c>
      <c r="F1359" t="s">
        <v>52</v>
      </c>
      <c r="G1359" t="s">
        <v>76</v>
      </c>
      <c r="H1359" t="s">
        <v>41</v>
      </c>
      <c r="I1359">
        <v>108.56030209115301</v>
      </c>
      <c r="J1359" s="3">
        <v>414.77</v>
      </c>
      <c r="K1359" s="3">
        <f>Table1[[#This Row],[Quantity]]*Table1[[#This Row],[Unit_Price]]</f>
        <v>45027.556498347527</v>
      </c>
      <c r="L1359" s="3">
        <v>1478.99</v>
      </c>
      <c r="M1359" s="3">
        <f>Table1[[#This Row],[Gross_Sales]]-Table1[[#This Row],[Discount]]</f>
        <v>43548.566498347529</v>
      </c>
      <c r="N1359" s="3">
        <v>31541.97</v>
      </c>
      <c r="O1359" s="3">
        <v>805.95</v>
      </c>
      <c r="P1359" s="3">
        <v>2295.7800000000002</v>
      </c>
      <c r="Q1359" s="3">
        <v>1001.02</v>
      </c>
      <c r="R1359" s="3">
        <v>738.21</v>
      </c>
      <c r="S1359" s="3">
        <f>SUM(Table1[[#This Row],[Product_Cost]:[Other_Cost]])</f>
        <v>36382.93</v>
      </c>
      <c r="T1359" s="3">
        <f>Table1[[#This Row],[Net_Sales]]-Table1[[#This Row],[Product_Cost]]</f>
        <v>12006.596498347528</v>
      </c>
      <c r="U1359" s="3">
        <f>Table1[[#This Row],[Net_Sales]]-Table1[[#This Row],[Total_Cost]]</f>
        <v>7165.6364983475287</v>
      </c>
      <c r="V1359" s="4">
        <f>Table1[[#This Row],[Net_Profit]]/Table1[[#This Row],[Net_Sales]]</f>
        <v>0.1645435676652969</v>
      </c>
      <c r="W1359" t="s">
        <v>33</v>
      </c>
      <c r="X1359" t="s">
        <v>1413</v>
      </c>
      <c r="Y1359">
        <v>12</v>
      </c>
      <c r="Z1359" t="str">
        <f>IF(Table1[[#This Row],[Month_No]]&lt;=6, "H1","H2")</f>
        <v>H2</v>
      </c>
    </row>
    <row r="1360" spans="1:26" x14ac:dyDescent="0.25">
      <c r="A1360" s="2">
        <v>45999</v>
      </c>
      <c r="B1360" t="s">
        <v>1444</v>
      </c>
      <c r="C1360" t="s">
        <v>70</v>
      </c>
      <c r="D1360" t="s">
        <v>183</v>
      </c>
      <c r="E1360" t="s">
        <v>38</v>
      </c>
      <c r="F1360" t="s">
        <v>30</v>
      </c>
      <c r="G1360" t="s">
        <v>76</v>
      </c>
      <c r="H1360" t="s">
        <v>41</v>
      </c>
      <c r="I1360">
        <v>32.533619894219193</v>
      </c>
      <c r="J1360" s="3">
        <v>6951.35</v>
      </c>
      <c r="K1360" s="3">
        <f>Table1[[#This Row],[Quantity]]*Table1[[#This Row],[Unit_Price]]</f>
        <v>226152.57865168061</v>
      </c>
      <c r="L1360" s="3">
        <v>7876.37</v>
      </c>
      <c r="M1360" s="3">
        <f>Table1[[#This Row],[Gross_Sales]]-Table1[[#This Row],[Discount]]</f>
        <v>218276.20865168062</v>
      </c>
      <c r="N1360" s="3">
        <v>114945.49</v>
      </c>
      <c r="O1360" s="3">
        <v>5223.74</v>
      </c>
      <c r="P1360" s="3">
        <v>12246.56</v>
      </c>
      <c r="Q1360" s="3">
        <v>4565.1099999999997</v>
      </c>
      <c r="R1360" s="3">
        <v>4248.6000000000004</v>
      </c>
      <c r="S1360" s="3">
        <f>SUM(Table1[[#This Row],[Product_Cost]:[Other_Cost]])</f>
        <v>141229.5</v>
      </c>
      <c r="T1360" s="3">
        <f>Table1[[#This Row],[Net_Sales]]-Table1[[#This Row],[Product_Cost]]</f>
        <v>103330.71865168061</v>
      </c>
      <c r="U1360" s="3">
        <f>Table1[[#This Row],[Net_Sales]]-Table1[[#This Row],[Total_Cost]]</f>
        <v>77046.708651680616</v>
      </c>
      <c r="V1360" s="4">
        <f>Table1[[#This Row],[Net_Profit]]/Table1[[#This Row],[Net_Sales]]</f>
        <v>0.35297804157222518</v>
      </c>
      <c r="W1360" t="s">
        <v>33</v>
      </c>
      <c r="X1360" t="s">
        <v>1413</v>
      </c>
      <c r="Y1360">
        <v>12</v>
      </c>
      <c r="Z1360" t="str">
        <f>IF(Table1[[#This Row],[Month_No]]&lt;=6, "H1","H2")</f>
        <v>H2</v>
      </c>
    </row>
    <row r="1361" spans="1:26" x14ac:dyDescent="0.25">
      <c r="A1361" s="2">
        <v>46000</v>
      </c>
      <c r="B1361" t="s">
        <v>1445</v>
      </c>
      <c r="C1361" t="s">
        <v>36</v>
      </c>
      <c r="D1361" t="s">
        <v>183</v>
      </c>
      <c r="E1361" t="s">
        <v>38</v>
      </c>
      <c r="F1361" t="s">
        <v>39</v>
      </c>
      <c r="G1361" t="s">
        <v>71</v>
      </c>
      <c r="H1361" t="s">
        <v>41</v>
      </c>
      <c r="I1361">
        <v>53.588864194120873</v>
      </c>
      <c r="J1361" s="3">
        <v>6993.81</v>
      </c>
      <c r="K1361" s="3">
        <f>Table1[[#This Row],[Quantity]]*Table1[[#This Row],[Unit_Price]]</f>
        <v>374790.33428948454</v>
      </c>
      <c r="L1361" s="3">
        <v>18934.599999999999</v>
      </c>
      <c r="M1361" s="3">
        <f>Table1[[#This Row],[Gross_Sales]]-Table1[[#This Row],[Discount]]</f>
        <v>355855.73428948456</v>
      </c>
      <c r="N1361" s="3">
        <v>194523.83</v>
      </c>
      <c r="O1361" s="3">
        <v>10166.299999999999</v>
      </c>
      <c r="P1361" s="3">
        <v>18187.43</v>
      </c>
      <c r="Q1361" s="3">
        <v>6923.21</v>
      </c>
      <c r="R1361" s="3">
        <v>7053.34</v>
      </c>
      <c r="S1361" s="3">
        <f>SUM(Table1[[#This Row],[Product_Cost]:[Other_Cost]])</f>
        <v>236854.10999999996</v>
      </c>
      <c r="T1361" s="3">
        <f>Table1[[#This Row],[Net_Sales]]-Table1[[#This Row],[Product_Cost]]</f>
        <v>161331.90428948458</v>
      </c>
      <c r="U1361" s="3">
        <f>Table1[[#This Row],[Net_Sales]]-Table1[[#This Row],[Total_Cost]]</f>
        <v>119001.62428948461</v>
      </c>
      <c r="V1361" s="4">
        <f>Table1[[#This Row],[Net_Profit]]/Table1[[#This Row],[Net_Sales]]</f>
        <v>0.33440974199021378</v>
      </c>
      <c r="W1361" t="s">
        <v>33</v>
      </c>
      <c r="X1361" t="s">
        <v>1413</v>
      </c>
      <c r="Y1361">
        <v>12</v>
      </c>
      <c r="Z1361" t="str">
        <f>IF(Table1[[#This Row],[Month_No]]&lt;=6, "H1","H2")</f>
        <v>H2</v>
      </c>
    </row>
    <row r="1362" spans="1:26" x14ac:dyDescent="0.25">
      <c r="A1362" s="2">
        <v>46000</v>
      </c>
      <c r="B1362" t="s">
        <v>1446</v>
      </c>
      <c r="C1362" t="s">
        <v>78</v>
      </c>
      <c r="D1362" t="s">
        <v>100</v>
      </c>
      <c r="E1362" t="s">
        <v>75</v>
      </c>
      <c r="F1362" t="s">
        <v>46</v>
      </c>
      <c r="G1362" t="s">
        <v>40</v>
      </c>
      <c r="H1362" t="s">
        <v>47</v>
      </c>
      <c r="I1362">
        <v>57.957527101883599</v>
      </c>
      <c r="J1362" s="3">
        <v>7592.67</v>
      </c>
      <c r="K1362" s="3">
        <f>Table1[[#This Row],[Quantity]]*Table1[[#This Row],[Unit_Price]]</f>
        <v>440052.37730065855</v>
      </c>
      <c r="L1362" s="3">
        <v>18268.990000000002</v>
      </c>
      <c r="M1362" s="3">
        <f>Table1[[#This Row],[Gross_Sales]]-Table1[[#This Row],[Discount]]</f>
        <v>421783.38730065856</v>
      </c>
      <c r="N1362" s="3">
        <v>229155.12</v>
      </c>
      <c r="O1362" s="3">
        <v>7553.19</v>
      </c>
      <c r="P1362" s="3">
        <v>23274.47</v>
      </c>
      <c r="Q1362" s="3">
        <v>10463.530000000001</v>
      </c>
      <c r="R1362" s="3">
        <v>7966.81</v>
      </c>
      <c r="S1362" s="3">
        <f>SUM(Table1[[#This Row],[Product_Cost]:[Other_Cost]])</f>
        <v>278413.12</v>
      </c>
      <c r="T1362" s="3">
        <f>Table1[[#This Row],[Net_Sales]]-Table1[[#This Row],[Product_Cost]]</f>
        <v>192628.26730065857</v>
      </c>
      <c r="U1362" s="3">
        <f>Table1[[#This Row],[Net_Sales]]-Table1[[#This Row],[Total_Cost]]</f>
        <v>143370.26730065857</v>
      </c>
      <c r="V1362" s="4">
        <f>Table1[[#This Row],[Net_Profit]]/Table1[[#This Row],[Net_Sales]]</f>
        <v>0.33991444807298771</v>
      </c>
      <c r="W1362" t="s">
        <v>33</v>
      </c>
      <c r="X1362" t="s">
        <v>1413</v>
      </c>
      <c r="Y1362">
        <v>12</v>
      </c>
      <c r="Z1362" t="str">
        <f>IF(Table1[[#This Row],[Month_No]]&lt;=6, "H1","H2")</f>
        <v>H2</v>
      </c>
    </row>
    <row r="1363" spans="1:26" x14ac:dyDescent="0.25">
      <c r="A1363" s="2">
        <v>46000</v>
      </c>
      <c r="B1363" t="s">
        <v>1447</v>
      </c>
      <c r="C1363" t="s">
        <v>55</v>
      </c>
      <c r="D1363" t="s">
        <v>100</v>
      </c>
      <c r="E1363" t="s">
        <v>75</v>
      </c>
      <c r="F1363" t="s">
        <v>30</v>
      </c>
      <c r="G1363" t="s">
        <v>31</v>
      </c>
      <c r="H1363" t="s">
        <v>41</v>
      </c>
      <c r="I1363">
        <v>49.337442584007363</v>
      </c>
      <c r="J1363" s="3">
        <v>7587.26</v>
      </c>
      <c r="K1363" s="3">
        <f>Table1[[#This Row],[Quantity]]*Table1[[#This Row],[Unit_Price]]</f>
        <v>374336.0046199357</v>
      </c>
      <c r="L1363" s="3">
        <v>11411.94</v>
      </c>
      <c r="M1363" s="3">
        <f>Table1[[#This Row],[Gross_Sales]]-Table1[[#This Row],[Discount]]</f>
        <v>362924.0646199357</v>
      </c>
      <c r="N1363" s="3">
        <v>190128.32</v>
      </c>
      <c r="O1363" s="3">
        <v>9591.19</v>
      </c>
      <c r="P1363" s="3">
        <v>20543.07</v>
      </c>
      <c r="Q1363" s="3">
        <v>6850.2</v>
      </c>
      <c r="R1363" s="3">
        <v>5850.71</v>
      </c>
      <c r="S1363" s="3">
        <f>SUM(Table1[[#This Row],[Product_Cost]:[Other_Cost]])</f>
        <v>232963.49000000002</v>
      </c>
      <c r="T1363" s="3">
        <f>Table1[[#This Row],[Net_Sales]]-Table1[[#This Row],[Product_Cost]]</f>
        <v>172795.74461993569</v>
      </c>
      <c r="U1363" s="3">
        <f>Table1[[#This Row],[Net_Sales]]-Table1[[#This Row],[Total_Cost]]</f>
        <v>129960.57461993568</v>
      </c>
      <c r="V1363" s="4">
        <f>Table1[[#This Row],[Net_Profit]]/Table1[[#This Row],[Net_Sales]]</f>
        <v>0.35809302079770888</v>
      </c>
      <c r="W1363" t="s">
        <v>33</v>
      </c>
      <c r="X1363" t="s">
        <v>1413</v>
      </c>
      <c r="Y1363">
        <v>12</v>
      </c>
      <c r="Z1363" t="str">
        <f>IF(Table1[[#This Row],[Month_No]]&lt;=6, "H1","H2")</f>
        <v>H2</v>
      </c>
    </row>
    <row r="1364" spans="1:26" x14ac:dyDescent="0.25">
      <c r="A1364" s="2">
        <v>46000</v>
      </c>
      <c r="B1364" t="s">
        <v>1448</v>
      </c>
      <c r="C1364" t="s">
        <v>78</v>
      </c>
      <c r="D1364" t="s">
        <v>50</v>
      </c>
      <c r="E1364" t="s">
        <v>51</v>
      </c>
      <c r="F1364" t="s">
        <v>52</v>
      </c>
      <c r="G1364" t="s">
        <v>86</v>
      </c>
      <c r="H1364" t="s">
        <v>41</v>
      </c>
      <c r="I1364">
        <v>62.980598533985102</v>
      </c>
      <c r="J1364" s="3">
        <v>919.69</v>
      </c>
      <c r="K1364" s="3">
        <f>Table1[[#This Row],[Quantity]]*Table1[[#This Row],[Unit_Price]]</f>
        <v>57922.62666572076</v>
      </c>
      <c r="L1364" s="3">
        <v>2008.42</v>
      </c>
      <c r="M1364" s="3">
        <f>Table1[[#This Row],[Gross_Sales]]-Table1[[#This Row],[Discount]]</f>
        <v>55914.206665720762</v>
      </c>
      <c r="N1364" s="3">
        <v>35331.49</v>
      </c>
      <c r="O1364" s="3">
        <v>1018.54</v>
      </c>
      <c r="P1364" s="3">
        <v>3093.32</v>
      </c>
      <c r="Q1364" s="3">
        <v>1007.77</v>
      </c>
      <c r="R1364" s="3">
        <v>852.89</v>
      </c>
      <c r="S1364" s="3">
        <f>SUM(Table1[[#This Row],[Product_Cost]:[Other_Cost]])</f>
        <v>41304.009999999995</v>
      </c>
      <c r="T1364" s="3">
        <f>Table1[[#This Row],[Net_Sales]]-Table1[[#This Row],[Product_Cost]]</f>
        <v>20582.716665720764</v>
      </c>
      <c r="U1364" s="3">
        <f>Table1[[#This Row],[Net_Sales]]-Table1[[#This Row],[Total_Cost]]</f>
        <v>14610.196665720767</v>
      </c>
      <c r="V1364" s="4">
        <f>Table1[[#This Row],[Net_Profit]]/Table1[[#This Row],[Net_Sales]]</f>
        <v>0.26129668177296733</v>
      </c>
      <c r="W1364" t="s">
        <v>33</v>
      </c>
      <c r="X1364" t="s">
        <v>1413</v>
      </c>
      <c r="Y1364">
        <v>12</v>
      </c>
      <c r="Z1364" t="str">
        <f>IF(Table1[[#This Row],[Month_No]]&lt;=6, "H1","H2")</f>
        <v>H2</v>
      </c>
    </row>
    <row r="1365" spans="1:26" x14ac:dyDescent="0.25">
      <c r="A1365" s="2">
        <v>46000</v>
      </c>
      <c r="B1365" t="s">
        <v>1449</v>
      </c>
      <c r="C1365" t="s">
        <v>117</v>
      </c>
      <c r="D1365" t="s">
        <v>74</v>
      </c>
      <c r="E1365" t="s">
        <v>75</v>
      </c>
      <c r="F1365" t="s">
        <v>46</v>
      </c>
      <c r="G1365" t="s">
        <v>31</v>
      </c>
      <c r="H1365" t="s">
        <v>59</v>
      </c>
      <c r="I1365">
        <v>61.63660493154282</v>
      </c>
      <c r="J1365" s="3">
        <v>5935.66</v>
      </c>
      <c r="K1365" s="3">
        <f>Table1[[#This Row],[Quantity]]*Table1[[#This Row],[Unit_Price]]</f>
        <v>365853.93042796146</v>
      </c>
      <c r="L1365" s="3">
        <v>10473.48</v>
      </c>
      <c r="M1365" s="3">
        <f>Table1[[#This Row],[Gross_Sales]]-Table1[[#This Row],[Discount]]</f>
        <v>355380.45042796148</v>
      </c>
      <c r="N1365" s="3">
        <v>250168.68</v>
      </c>
      <c r="O1365" s="3">
        <v>6946.51</v>
      </c>
      <c r="P1365" s="3">
        <v>20575.310000000001</v>
      </c>
      <c r="Q1365" s="3">
        <v>8121.54</v>
      </c>
      <c r="R1365" s="3">
        <v>5867.51</v>
      </c>
      <c r="S1365" s="3">
        <f>SUM(Table1[[#This Row],[Product_Cost]:[Other_Cost]])</f>
        <v>291679.55</v>
      </c>
      <c r="T1365" s="3">
        <f>Table1[[#This Row],[Net_Sales]]-Table1[[#This Row],[Product_Cost]]</f>
        <v>105211.77042796148</v>
      </c>
      <c r="U1365" s="3">
        <f>Table1[[#This Row],[Net_Sales]]-Table1[[#This Row],[Total_Cost]]</f>
        <v>63700.900427961489</v>
      </c>
      <c r="V1365" s="4">
        <f>Table1[[#This Row],[Net_Profit]]/Table1[[#This Row],[Net_Sales]]</f>
        <v>0.17924705861352433</v>
      </c>
      <c r="W1365" t="s">
        <v>33</v>
      </c>
      <c r="X1365" t="s">
        <v>1413</v>
      </c>
      <c r="Y1365">
        <v>12</v>
      </c>
      <c r="Z1365" t="str">
        <f>IF(Table1[[#This Row],[Month_No]]&lt;=6, "H1","H2")</f>
        <v>H2</v>
      </c>
    </row>
    <row r="1366" spans="1:26" x14ac:dyDescent="0.25">
      <c r="A1366" s="2">
        <v>46001</v>
      </c>
      <c r="B1366" t="s">
        <v>1450</v>
      </c>
      <c r="C1366" t="s">
        <v>83</v>
      </c>
      <c r="D1366" t="s">
        <v>56</v>
      </c>
      <c r="E1366" t="s">
        <v>57</v>
      </c>
      <c r="F1366" t="s">
        <v>52</v>
      </c>
      <c r="G1366" t="s">
        <v>86</v>
      </c>
      <c r="H1366" t="s">
        <v>41</v>
      </c>
      <c r="I1366">
        <v>20.93171761451536</v>
      </c>
      <c r="J1366" s="3">
        <v>3459.8</v>
      </c>
      <c r="K1366" s="3">
        <f>Table1[[#This Row],[Quantity]]*Table1[[#This Row],[Unit_Price]]</f>
        <v>72419.55660270025</v>
      </c>
      <c r="L1366" s="3">
        <v>3205.83</v>
      </c>
      <c r="M1366" s="3">
        <f>Table1[[#This Row],[Gross_Sales]]-Table1[[#This Row],[Discount]]</f>
        <v>69213.726602700248</v>
      </c>
      <c r="N1366" s="3">
        <v>33261.910000000003</v>
      </c>
      <c r="O1366" s="3">
        <v>1203.92</v>
      </c>
      <c r="P1366" s="3">
        <v>3328.91</v>
      </c>
      <c r="Q1366" s="3">
        <v>1386.91</v>
      </c>
      <c r="R1366" s="3">
        <v>1315.52</v>
      </c>
      <c r="S1366" s="3">
        <f>SUM(Table1[[#This Row],[Product_Cost]:[Other_Cost]])</f>
        <v>40497.170000000006</v>
      </c>
      <c r="T1366" s="3">
        <f>Table1[[#This Row],[Net_Sales]]-Table1[[#This Row],[Product_Cost]]</f>
        <v>35951.816602700244</v>
      </c>
      <c r="U1366" s="3">
        <f>Table1[[#This Row],[Net_Sales]]-Table1[[#This Row],[Total_Cost]]</f>
        <v>28716.556602700242</v>
      </c>
      <c r="V1366" s="4">
        <f>Table1[[#This Row],[Net_Profit]]/Table1[[#This Row],[Net_Sales]]</f>
        <v>0.41489684217609979</v>
      </c>
      <c r="W1366" t="s">
        <v>33</v>
      </c>
      <c r="X1366" t="s">
        <v>1413</v>
      </c>
      <c r="Y1366">
        <v>12</v>
      </c>
      <c r="Z1366" t="str">
        <f>IF(Table1[[#This Row],[Month_No]]&lt;=6, "H1","H2")</f>
        <v>H2</v>
      </c>
    </row>
    <row r="1367" spans="1:26" x14ac:dyDescent="0.25">
      <c r="A1367" s="2">
        <v>46001</v>
      </c>
      <c r="B1367" t="s">
        <v>1451</v>
      </c>
      <c r="C1367" t="s">
        <v>36</v>
      </c>
      <c r="D1367" t="s">
        <v>100</v>
      </c>
      <c r="E1367" t="s">
        <v>75</v>
      </c>
      <c r="F1367" t="s">
        <v>52</v>
      </c>
      <c r="G1367" t="s">
        <v>31</v>
      </c>
      <c r="H1367" t="s">
        <v>41</v>
      </c>
      <c r="I1367">
        <v>30.450974132093219</v>
      </c>
      <c r="J1367" s="3">
        <v>7903.25</v>
      </c>
      <c r="K1367" s="3">
        <f>Table1[[#This Row],[Quantity]]*Table1[[#This Row],[Unit_Price]]</f>
        <v>240661.66130946574</v>
      </c>
      <c r="L1367" s="3">
        <v>7240.17</v>
      </c>
      <c r="M1367" s="3">
        <f>Table1[[#This Row],[Gross_Sales]]-Table1[[#This Row],[Discount]]</f>
        <v>233421.49130946572</v>
      </c>
      <c r="N1367" s="3">
        <v>124231.43</v>
      </c>
      <c r="O1367" s="3">
        <v>4038.93</v>
      </c>
      <c r="P1367" s="3">
        <v>13355.4</v>
      </c>
      <c r="Q1367" s="3">
        <v>6305.84</v>
      </c>
      <c r="R1367" s="3">
        <v>4308.84</v>
      </c>
      <c r="S1367" s="3">
        <f>SUM(Table1[[#This Row],[Product_Cost]:[Other_Cost]])</f>
        <v>152240.43999999997</v>
      </c>
      <c r="T1367" s="3">
        <f>Table1[[#This Row],[Net_Sales]]-Table1[[#This Row],[Product_Cost]]</f>
        <v>109190.06130946573</v>
      </c>
      <c r="U1367" s="3">
        <f>Table1[[#This Row],[Net_Sales]]-Table1[[#This Row],[Total_Cost]]</f>
        <v>81181.051309465751</v>
      </c>
      <c r="V1367" s="4">
        <f>Table1[[#This Row],[Net_Profit]]/Table1[[#This Row],[Net_Sales]]</f>
        <v>0.34778739033004236</v>
      </c>
      <c r="W1367" t="s">
        <v>33</v>
      </c>
      <c r="X1367" t="s">
        <v>1413</v>
      </c>
      <c r="Y1367">
        <v>12</v>
      </c>
      <c r="Z1367" t="str">
        <f>IF(Table1[[#This Row],[Month_No]]&lt;=6, "H1","H2")</f>
        <v>H2</v>
      </c>
    </row>
    <row r="1368" spans="1:26" x14ac:dyDescent="0.25">
      <c r="A1368" s="2">
        <v>46001</v>
      </c>
      <c r="B1368" t="s">
        <v>1452</v>
      </c>
      <c r="C1368" t="s">
        <v>36</v>
      </c>
      <c r="D1368" t="s">
        <v>37</v>
      </c>
      <c r="E1368" t="s">
        <v>38</v>
      </c>
      <c r="F1368" t="s">
        <v>52</v>
      </c>
      <c r="G1368" t="s">
        <v>61</v>
      </c>
      <c r="H1368" t="s">
        <v>41</v>
      </c>
      <c r="I1368">
        <v>26.727571311662771</v>
      </c>
      <c r="J1368" s="3">
        <v>5128.2700000000004</v>
      </c>
      <c r="K1368" s="3">
        <f>Table1[[#This Row],[Quantity]]*Table1[[#This Row],[Unit_Price]]</f>
        <v>137066.20213046085</v>
      </c>
      <c r="L1368" s="3">
        <v>6947.24</v>
      </c>
      <c r="M1368" s="3">
        <f>Table1[[#This Row],[Gross_Sales]]-Table1[[#This Row],[Discount]]</f>
        <v>130118.96213046084</v>
      </c>
      <c r="N1368" s="3">
        <v>83349.14</v>
      </c>
      <c r="O1368" s="3">
        <v>2661.76</v>
      </c>
      <c r="P1368" s="3">
        <v>7035.58</v>
      </c>
      <c r="Q1368" s="3">
        <v>2706.56</v>
      </c>
      <c r="R1368" s="3">
        <v>1584.96</v>
      </c>
      <c r="S1368" s="3">
        <f>SUM(Table1[[#This Row],[Product_Cost]:[Other_Cost]])</f>
        <v>97338</v>
      </c>
      <c r="T1368" s="3">
        <f>Table1[[#This Row],[Net_Sales]]-Table1[[#This Row],[Product_Cost]]</f>
        <v>46769.822130460845</v>
      </c>
      <c r="U1368" s="3">
        <f>Table1[[#This Row],[Net_Sales]]-Table1[[#This Row],[Total_Cost]]</f>
        <v>32780.962130460844</v>
      </c>
      <c r="V1368" s="4">
        <f>Table1[[#This Row],[Net_Profit]]/Table1[[#This Row],[Net_Sales]]</f>
        <v>0.25193070705247211</v>
      </c>
      <c r="W1368" t="s">
        <v>33</v>
      </c>
      <c r="X1368" t="s">
        <v>1413</v>
      </c>
      <c r="Y1368">
        <v>12</v>
      </c>
      <c r="Z1368" t="str">
        <f>IF(Table1[[#This Row],[Month_No]]&lt;=6, "H1","H2")</f>
        <v>H2</v>
      </c>
    </row>
    <row r="1369" spans="1:26" x14ac:dyDescent="0.25">
      <c r="A1369" s="2">
        <v>46002</v>
      </c>
      <c r="B1369" t="s">
        <v>1453</v>
      </c>
      <c r="C1369" t="s">
        <v>107</v>
      </c>
      <c r="D1369" t="s">
        <v>50</v>
      </c>
      <c r="E1369" t="s">
        <v>51</v>
      </c>
      <c r="F1369" t="s">
        <v>52</v>
      </c>
      <c r="G1369" t="s">
        <v>58</v>
      </c>
      <c r="H1369" t="s">
        <v>41</v>
      </c>
      <c r="I1369">
        <v>67.446528778157784</v>
      </c>
      <c r="J1369" s="3">
        <v>961.26</v>
      </c>
      <c r="K1369" s="3">
        <f>Table1[[#This Row],[Quantity]]*Table1[[#This Row],[Unit_Price]]</f>
        <v>64833.650253291948</v>
      </c>
      <c r="L1369" s="3">
        <v>2725.86</v>
      </c>
      <c r="M1369" s="3">
        <f>Table1[[#This Row],[Gross_Sales]]-Table1[[#This Row],[Discount]]</f>
        <v>62107.790253291947</v>
      </c>
      <c r="N1369" s="3">
        <v>39286.32</v>
      </c>
      <c r="O1369" s="3">
        <v>1321.86</v>
      </c>
      <c r="P1369" s="3">
        <v>3804.41</v>
      </c>
      <c r="Q1369" s="3">
        <v>1911.04</v>
      </c>
      <c r="R1369" s="3">
        <v>974.11</v>
      </c>
      <c r="S1369" s="3">
        <f>SUM(Table1[[#This Row],[Product_Cost]:[Other_Cost]])</f>
        <v>47297.74</v>
      </c>
      <c r="T1369" s="3">
        <f>Table1[[#This Row],[Net_Sales]]-Table1[[#This Row],[Product_Cost]]</f>
        <v>22821.470253291947</v>
      </c>
      <c r="U1369" s="3">
        <f>Table1[[#This Row],[Net_Sales]]-Table1[[#This Row],[Total_Cost]]</f>
        <v>14810.050253291949</v>
      </c>
      <c r="V1369" s="4">
        <f>Table1[[#This Row],[Net_Profit]]/Table1[[#This Row],[Net_Sales]]</f>
        <v>0.23845720791051586</v>
      </c>
      <c r="W1369" t="s">
        <v>33</v>
      </c>
      <c r="X1369" t="s">
        <v>1413</v>
      </c>
      <c r="Y1369">
        <v>12</v>
      </c>
      <c r="Z1369" t="str">
        <f>IF(Table1[[#This Row],[Month_No]]&lt;=6, "H1","H2")</f>
        <v>H2</v>
      </c>
    </row>
    <row r="1370" spans="1:26" x14ac:dyDescent="0.25">
      <c r="A1370" s="2">
        <v>46002</v>
      </c>
      <c r="B1370" t="s">
        <v>1454</v>
      </c>
      <c r="C1370" t="s">
        <v>49</v>
      </c>
      <c r="D1370" t="s">
        <v>44</v>
      </c>
      <c r="E1370" t="s">
        <v>45</v>
      </c>
      <c r="F1370" t="s">
        <v>39</v>
      </c>
      <c r="G1370" t="s">
        <v>86</v>
      </c>
      <c r="H1370" t="s">
        <v>59</v>
      </c>
      <c r="I1370">
        <v>66.807409341399932</v>
      </c>
      <c r="J1370" s="3">
        <v>4762.97</v>
      </c>
      <c r="K1370" s="3">
        <f>Table1[[#This Row],[Quantity]]*Table1[[#This Row],[Unit_Price]]</f>
        <v>318201.68647080765</v>
      </c>
      <c r="L1370" s="3">
        <v>10777.43</v>
      </c>
      <c r="M1370" s="3">
        <f>Table1[[#This Row],[Gross_Sales]]-Table1[[#This Row],[Discount]]</f>
        <v>307424.25647080765</v>
      </c>
      <c r="N1370" s="3">
        <v>194684.93</v>
      </c>
      <c r="O1370" s="3">
        <v>8922.7999999999993</v>
      </c>
      <c r="P1370" s="3">
        <v>15941.94</v>
      </c>
      <c r="Q1370" s="3">
        <v>5717.6</v>
      </c>
      <c r="R1370" s="3">
        <v>5405.89</v>
      </c>
      <c r="S1370" s="3">
        <f>SUM(Table1[[#This Row],[Product_Cost]:[Other_Cost]])</f>
        <v>230673.16</v>
      </c>
      <c r="T1370" s="3">
        <f>Table1[[#This Row],[Net_Sales]]-Table1[[#This Row],[Product_Cost]]</f>
        <v>112739.32647080766</v>
      </c>
      <c r="U1370" s="3">
        <f>Table1[[#This Row],[Net_Sales]]-Table1[[#This Row],[Total_Cost]]</f>
        <v>76751.09647080765</v>
      </c>
      <c r="V1370" s="4">
        <f>Table1[[#This Row],[Net_Profit]]/Table1[[#This Row],[Net_Sales]]</f>
        <v>0.24965855769450571</v>
      </c>
      <c r="W1370" t="s">
        <v>33</v>
      </c>
      <c r="X1370" t="s">
        <v>1413</v>
      </c>
      <c r="Y1370">
        <v>12</v>
      </c>
      <c r="Z1370" t="str">
        <f>IF(Table1[[#This Row],[Month_No]]&lt;=6, "H1","H2")</f>
        <v>H2</v>
      </c>
    </row>
    <row r="1371" spans="1:26" x14ac:dyDescent="0.25">
      <c r="A1371" s="2">
        <v>46002</v>
      </c>
      <c r="B1371" t="s">
        <v>1455</v>
      </c>
      <c r="C1371" t="s">
        <v>78</v>
      </c>
      <c r="D1371" t="s">
        <v>50</v>
      </c>
      <c r="E1371" t="s">
        <v>51</v>
      </c>
      <c r="F1371" t="s">
        <v>52</v>
      </c>
      <c r="G1371" t="s">
        <v>71</v>
      </c>
      <c r="H1371" t="s">
        <v>59</v>
      </c>
      <c r="I1371">
        <v>45.280236616390397</v>
      </c>
      <c r="J1371" s="3">
        <v>943.28</v>
      </c>
      <c r="K1371" s="3">
        <f>Table1[[#This Row],[Quantity]]*Table1[[#This Row],[Unit_Price]]</f>
        <v>42711.941595508732</v>
      </c>
      <c r="L1371" s="3">
        <v>1387.71</v>
      </c>
      <c r="M1371" s="3">
        <f>Table1[[#This Row],[Gross_Sales]]-Table1[[#This Row],[Discount]]</f>
        <v>41324.231595508732</v>
      </c>
      <c r="N1371" s="3">
        <v>25527.439999999999</v>
      </c>
      <c r="O1371" s="3">
        <v>703.88</v>
      </c>
      <c r="P1371" s="3">
        <v>2411.12</v>
      </c>
      <c r="Q1371" s="3">
        <v>930.54</v>
      </c>
      <c r="R1371" s="3">
        <v>538.77</v>
      </c>
      <c r="S1371" s="3">
        <f>SUM(Table1[[#This Row],[Product_Cost]:[Other_Cost]])</f>
        <v>30111.75</v>
      </c>
      <c r="T1371" s="3">
        <f>Table1[[#This Row],[Net_Sales]]-Table1[[#This Row],[Product_Cost]]</f>
        <v>15796.791595508734</v>
      </c>
      <c r="U1371" s="3">
        <f>Table1[[#This Row],[Net_Sales]]-Table1[[#This Row],[Total_Cost]]</f>
        <v>11212.481595508732</v>
      </c>
      <c r="V1371" s="4">
        <f>Table1[[#This Row],[Net_Profit]]/Table1[[#This Row],[Net_Sales]]</f>
        <v>0.27132946367301225</v>
      </c>
      <c r="W1371" t="s">
        <v>33</v>
      </c>
      <c r="X1371" t="s">
        <v>1413</v>
      </c>
      <c r="Y1371">
        <v>12</v>
      </c>
      <c r="Z1371" t="str">
        <f>IF(Table1[[#This Row],[Month_No]]&lt;=6, "H1","H2")</f>
        <v>H2</v>
      </c>
    </row>
    <row r="1372" spans="1:26" x14ac:dyDescent="0.25">
      <c r="A1372" s="2">
        <v>46002</v>
      </c>
      <c r="B1372" t="s">
        <v>1456</v>
      </c>
      <c r="C1372" t="s">
        <v>107</v>
      </c>
      <c r="D1372" t="s">
        <v>68</v>
      </c>
      <c r="E1372" t="s">
        <v>29</v>
      </c>
      <c r="F1372" t="s">
        <v>52</v>
      </c>
      <c r="G1372" t="s">
        <v>31</v>
      </c>
      <c r="H1372" t="s">
        <v>41</v>
      </c>
      <c r="I1372">
        <v>122.2008196573734</v>
      </c>
      <c r="J1372" s="3">
        <v>406.93</v>
      </c>
      <c r="K1372" s="3">
        <f>Table1[[#This Row],[Quantity]]*Table1[[#This Row],[Unit_Price]]</f>
        <v>49727.179543174956</v>
      </c>
      <c r="L1372" s="3">
        <v>1649.16</v>
      </c>
      <c r="M1372" s="3">
        <f>Table1[[#This Row],[Gross_Sales]]-Table1[[#This Row],[Discount]]</f>
        <v>48078.019543174953</v>
      </c>
      <c r="N1372" s="3">
        <v>32525.43</v>
      </c>
      <c r="O1372" s="3">
        <v>867.31</v>
      </c>
      <c r="P1372" s="3">
        <v>2311.0500000000002</v>
      </c>
      <c r="Q1372" s="3">
        <v>1191.55</v>
      </c>
      <c r="R1372" s="3">
        <v>618.35</v>
      </c>
      <c r="S1372" s="3">
        <f>SUM(Table1[[#This Row],[Product_Cost]:[Other_Cost]])</f>
        <v>37513.69</v>
      </c>
      <c r="T1372" s="3">
        <f>Table1[[#This Row],[Net_Sales]]-Table1[[#This Row],[Product_Cost]]</f>
        <v>15552.589543174952</v>
      </c>
      <c r="U1372" s="3">
        <f>Table1[[#This Row],[Net_Sales]]-Table1[[#This Row],[Total_Cost]]</f>
        <v>10564.32954317495</v>
      </c>
      <c r="V1372" s="4">
        <f>Table1[[#This Row],[Net_Profit]]/Table1[[#This Row],[Net_Sales]]</f>
        <v>0.2197330431568211</v>
      </c>
      <c r="W1372" t="s">
        <v>33</v>
      </c>
      <c r="X1372" t="s">
        <v>1413</v>
      </c>
      <c r="Y1372">
        <v>12</v>
      </c>
      <c r="Z1372" t="str">
        <f>IF(Table1[[#This Row],[Month_No]]&lt;=6, "H1","H2")</f>
        <v>H2</v>
      </c>
    </row>
    <row r="1373" spans="1:26" x14ac:dyDescent="0.25">
      <c r="A1373" s="2">
        <v>46002</v>
      </c>
      <c r="B1373" t="s">
        <v>1457</v>
      </c>
      <c r="C1373" t="s">
        <v>63</v>
      </c>
      <c r="D1373" t="s">
        <v>81</v>
      </c>
      <c r="E1373" t="s">
        <v>45</v>
      </c>
      <c r="F1373" t="s">
        <v>52</v>
      </c>
      <c r="G1373" t="s">
        <v>76</v>
      </c>
      <c r="H1373" t="s">
        <v>32</v>
      </c>
      <c r="I1373">
        <v>51.257866049787673</v>
      </c>
      <c r="J1373" s="3">
        <v>7112.37</v>
      </c>
      <c r="K1373" s="3">
        <f>Table1[[#This Row],[Quantity]]*Table1[[#This Row],[Unit_Price]]</f>
        <v>364564.90875652834</v>
      </c>
      <c r="L1373" s="3">
        <v>15392.6</v>
      </c>
      <c r="M1373" s="3">
        <f>Table1[[#This Row],[Gross_Sales]]-Table1[[#This Row],[Discount]]</f>
        <v>349172.30875652836</v>
      </c>
      <c r="N1373" s="3">
        <v>185510.89</v>
      </c>
      <c r="O1373" s="3">
        <v>6236.67</v>
      </c>
      <c r="P1373" s="3">
        <v>17045.82</v>
      </c>
      <c r="Q1373" s="3">
        <v>10067.35</v>
      </c>
      <c r="R1373" s="3">
        <v>6611.71</v>
      </c>
      <c r="S1373" s="3">
        <f>SUM(Table1[[#This Row],[Product_Cost]:[Other_Cost]])</f>
        <v>225472.44000000003</v>
      </c>
      <c r="T1373" s="3">
        <f>Table1[[#This Row],[Net_Sales]]-Table1[[#This Row],[Product_Cost]]</f>
        <v>163661.41875652835</v>
      </c>
      <c r="U1373" s="3">
        <f>Table1[[#This Row],[Net_Sales]]-Table1[[#This Row],[Total_Cost]]</f>
        <v>123699.86875652833</v>
      </c>
      <c r="V1373" s="4">
        <f>Table1[[#This Row],[Net_Profit]]/Table1[[#This Row],[Net_Sales]]</f>
        <v>0.3542659760077998</v>
      </c>
      <c r="W1373" t="s">
        <v>33</v>
      </c>
      <c r="X1373" t="s">
        <v>1413</v>
      </c>
      <c r="Y1373">
        <v>12</v>
      </c>
      <c r="Z1373" t="str">
        <f>IF(Table1[[#This Row],[Month_No]]&lt;=6, "H1","H2")</f>
        <v>H2</v>
      </c>
    </row>
    <row r="1374" spans="1:26" x14ac:dyDescent="0.25">
      <c r="A1374" s="2">
        <v>46003</v>
      </c>
      <c r="B1374" t="s">
        <v>1458</v>
      </c>
      <c r="C1374" t="s">
        <v>55</v>
      </c>
      <c r="D1374" t="s">
        <v>44</v>
      </c>
      <c r="E1374" t="s">
        <v>45</v>
      </c>
      <c r="F1374" t="s">
        <v>52</v>
      </c>
      <c r="G1374" t="s">
        <v>76</v>
      </c>
      <c r="H1374" t="s">
        <v>41</v>
      </c>
      <c r="I1374">
        <v>48.842401430248529</v>
      </c>
      <c r="J1374" s="3">
        <v>4927.5</v>
      </c>
      <c r="K1374" s="3">
        <f>Table1[[#This Row],[Quantity]]*Table1[[#This Row],[Unit_Price]]</f>
        <v>240670.93304754962</v>
      </c>
      <c r="L1374" s="3">
        <v>10272.379999999999</v>
      </c>
      <c r="M1374" s="3">
        <f>Table1[[#This Row],[Gross_Sales]]-Table1[[#This Row],[Discount]]</f>
        <v>230398.55304754962</v>
      </c>
      <c r="N1374" s="3">
        <v>154567.54</v>
      </c>
      <c r="O1374" s="3">
        <v>4601.5</v>
      </c>
      <c r="P1374" s="3">
        <v>13653</v>
      </c>
      <c r="Q1374" s="3">
        <v>5945.28</v>
      </c>
      <c r="R1374" s="3">
        <v>3028.38</v>
      </c>
      <c r="S1374" s="3">
        <f>SUM(Table1[[#This Row],[Product_Cost]:[Other_Cost]])</f>
        <v>181795.7</v>
      </c>
      <c r="T1374" s="3">
        <f>Table1[[#This Row],[Net_Sales]]-Table1[[#This Row],[Product_Cost]]</f>
        <v>75831.013047549612</v>
      </c>
      <c r="U1374" s="3">
        <f>Table1[[#This Row],[Net_Sales]]-Table1[[#This Row],[Total_Cost]]</f>
        <v>48602.853047549608</v>
      </c>
      <c r="V1374" s="4">
        <f>Table1[[#This Row],[Net_Profit]]/Table1[[#This Row],[Net_Sales]]</f>
        <v>0.21095120782949953</v>
      </c>
      <c r="W1374" t="s">
        <v>33</v>
      </c>
      <c r="X1374" t="s">
        <v>1413</v>
      </c>
      <c r="Y1374">
        <v>12</v>
      </c>
      <c r="Z1374" t="str">
        <f>IF(Table1[[#This Row],[Month_No]]&lt;=6, "H1","H2")</f>
        <v>H2</v>
      </c>
    </row>
    <row r="1375" spans="1:26" x14ac:dyDescent="0.25">
      <c r="A1375" s="2">
        <v>46003</v>
      </c>
      <c r="B1375" t="s">
        <v>1459</v>
      </c>
      <c r="C1375" t="s">
        <v>55</v>
      </c>
      <c r="D1375" t="s">
        <v>50</v>
      </c>
      <c r="E1375" t="s">
        <v>51</v>
      </c>
      <c r="F1375" t="s">
        <v>39</v>
      </c>
      <c r="G1375" t="s">
        <v>31</v>
      </c>
      <c r="H1375" t="s">
        <v>41</v>
      </c>
      <c r="I1375">
        <v>81.339062604908221</v>
      </c>
      <c r="J1375" s="3">
        <v>929.33</v>
      </c>
      <c r="K1375" s="3">
        <f>Table1[[#This Row],[Quantity]]*Table1[[#This Row],[Unit_Price]]</f>
        <v>75590.831050619367</v>
      </c>
      <c r="L1375" s="3">
        <v>2927.14</v>
      </c>
      <c r="M1375" s="3">
        <f>Table1[[#This Row],[Gross_Sales]]-Table1[[#This Row],[Discount]]</f>
        <v>72663.691050619367</v>
      </c>
      <c r="N1375" s="3">
        <v>44722.6</v>
      </c>
      <c r="O1375" s="3">
        <v>2154.4299999999998</v>
      </c>
      <c r="P1375" s="3">
        <v>4452.3</v>
      </c>
      <c r="Q1375" s="3">
        <v>1778.73</v>
      </c>
      <c r="R1375" s="3">
        <v>1403.73</v>
      </c>
      <c r="S1375" s="3">
        <f>SUM(Table1[[#This Row],[Product_Cost]:[Other_Cost]])</f>
        <v>54511.790000000008</v>
      </c>
      <c r="T1375" s="3">
        <f>Table1[[#This Row],[Net_Sales]]-Table1[[#This Row],[Product_Cost]]</f>
        <v>27941.091050619369</v>
      </c>
      <c r="U1375" s="3">
        <f>Table1[[#This Row],[Net_Sales]]-Table1[[#This Row],[Total_Cost]]</f>
        <v>18151.901050619359</v>
      </c>
      <c r="V1375" s="4">
        <f>Table1[[#This Row],[Net_Profit]]/Table1[[#This Row],[Net_Sales]]</f>
        <v>0.24980703275827656</v>
      </c>
      <c r="W1375" t="s">
        <v>33</v>
      </c>
      <c r="X1375" t="s">
        <v>1413</v>
      </c>
      <c r="Y1375">
        <v>12</v>
      </c>
      <c r="Z1375" t="str">
        <f>IF(Table1[[#This Row],[Month_No]]&lt;=6, "H1","H2")</f>
        <v>H2</v>
      </c>
    </row>
    <row r="1376" spans="1:26" x14ac:dyDescent="0.25">
      <c r="A1376" s="2">
        <v>46003</v>
      </c>
      <c r="B1376" t="s">
        <v>1460</v>
      </c>
      <c r="C1376" t="s">
        <v>70</v>
      </c>
      <c r="D1376" t="s">
        <v>56</v>
      </c>
      <c r="E1376" t="s">
        <v>57</v>
      </c>
      <c r="F1376" t="s">
        <v>52</v>
      </c>
      <c r="G1376" t="s">
        <v>76</v>
      </c>
      <c r="H1376" t="s">
        <v>47</v>
      </c>
      <c r="I1376">
        <v>53.927313562850543</v>
      </c>
      <c r="J1376" s="3">
        <v>3577.01</v>
      </c>
      <c r="K1376" s="3">
        <f>Table1[[#This Row],[Quantity]]*Table1[[#This Row],[Unit_Price]]</f>
        <v>192898.53988745203</v>
      </c>
      <c r="L1376" s="3">
        <v>7378.86</v>
      </c>
      <c r="M1376" s="3">
        <f>Table1[[#This Row],[Gross_Sales]]-Table1[[#This Row],[Discount]]</f>
        <v>185519.67988745205</v>
      </c>
      <c r="N1376" s="3">
        <v>92450.17</v>
      </c>
      <c r="O1376" s="3">
        <v>3072.47</v>
      </c>
      <c r="P1376" s="3">
        <v>11004.57</v>
      </c>
      <c r="Q1376" s="3">
        <v>4226.51</v>
      </c>
      <c r="R1376" s="3">
        <v>3937.94</v>
      </c>
      <c r="S1376" s="3">
        <f>SUM(Table1[[#This Row],[Product_Cost]:[Other_Cost]])</f>
        <v>114691.65999999999</v>
      </c>
      <c r="T1376" s="3">
        <f>Table1[[#This Row],[Net_Sales]]-Table1[[#This Row],[Product_Cost]]</f>
        <v>93069.509887452048</v>
      </c>
      <c r="U1376" s="3">
        <f>Table1[[#This Row],[Net_Sales]]-Table1[[#This Row],[Total_Cost]]</f>
        <v>70828.019887452057</v>
      </c>
      <c r="V1376" s="4">
        <f>Table1[[#This Row],[Net_Profit]]/Table1[[#This Row],[Net_Sales]]</f>
        <v>0.38178170601857875</v>
      </c>
      <c r="W1376" t="s">
        <v>33</v>
      </c>
      <c r="X1376" t="s">
        <v>1413</v>
      </c>
      <c r="Y1376">
        <v>12</v>
      </c>
      <c r="Z1376" t="str">
        <f>IF(Table1[[#This Row],[Month_No]]&lt;=6, "H1","H2")</f>
        <v>H2</v>
      </c>
    </row>
    <row r="1377" spans="1:26" x14ac:dyDescent="0.25">
      <c r="A1377" s="2">
        <v>46004</v>
      </c>
      <c r="B1377" t="s">
        <v>1461</v>
      </c>
      <c r="C1377" t="s">
        <v>49</v>
      </c>
      <c r="D1377" t="s">
        <v>37</v>
      </c>
      <c r="E1377" t="s">
        <v>38</v>
      </c>
      <c r="F1377" t="s">
        <v>52</v>
      </c>
      <c r="G1377" t="s">
        <v>40</v>
      </c>
      <c r="H1377" t="s">
        <v>47</v>
      </c>
      <c r="I1377">
        <v>62.810345459112717</v>
      </c>
      <c r="J1377" s="3">
        <v>5065.08</v>
      </c>
      <c r="K1377" s="3">
        <f>Table1[[#This Row],[Quantity]]*Table1[[#This Row],[Unit_Price]]</f>
        <v>318139.42457804264</v>
      </c>
      <c r="L1377" s="3">
        <v>8254.92</v>
      </c>
      <c r="M1377" s="3">
        <f>Table1[[#This Row],[Gross_Sales]]-Table1[[#This Row],[Discount]]</f>
        <v>309884.50457804266</v>
      </c>
      <c r="N1377" s="3">
        <v>211467.19</v>
      </c>
      <c r="O1377" s="3">
        <v>4809.47</v>
      </c>
      <c r="P1377" s="3">
        <v>18885.669999999998</v>
      </c>
      <c r="Q1377" s="3">
        <v>9086.33</v>
      </c>
      <c r="R1377" s="3">
        <v>5949.26</v>
      </c>
      <c r="S1377" s="3">
        <f>SUM(Table1[[#This Row],[Product_Cost]:[Other_Cost]])</f>
        <v>250197.92</v>
      </c>
      <c r="T1377" s="3">
        <f>Table1[[#This Row],[Net_Sales]]-Table1[[#This Row],[Product_Cost]]</f>
        <v>98417.314578042657</v>
      </c>
      <c r="U1377" s="3">
        <f>Table1[[#This Row],[Net_Sales]]-Table1[[#This Row],[Total_Cost]]</f>
        <v>59686.584578042646</v>
      </c>
      <c r="V1377" s="4">
        <f>Table1[[#This Row],[Net_Profit]]/Table1[[#This Row],[Net_Sales]]</f>
        <v>0.19260912919578049</v>
      </c>
      <c r="W1377" t="s">
        <v>33</v>
      </c>
      <c r="X1377" t="s">
        <v>1413</v>
      </c>
      <c r="Y1377">
        <v>12</v>
      </c>
      <c r="Z1377" t="str">
        <f>IF(Table1[[#This Row],[Month_No]]&lt;=6, "H1","H2")</f>
        <v>H2</v>
      </c>
    </row>
    <row r="1378" spans="1:26" x14ac:dyDescent="0.25">
      <c r="A1378" s="2">
        <v>46004</v>
      </c>
      <c r="B1378" t="s">
        <v>1462</v>
      </c>
      <c r="C1378" t="s">
        <v>78</v>
      </c>
      <c r="D1378" t="s">
        <v>50</v>
      </c>
      <c r="E1378" t="s">
        <v>51</v>
      </c>
      <c r="F1378" t="s">
        <v>52</v>
      </c>
      <c r="G1378" t="s">
        <v>76</v>
      </c>
      <c r="H1378" t="s">
        <v>47</v>
      </c>
      <c r="I1378">
        <v>74.744085330465552</v>
      </c>
      <c r="J1378" s="3">
        <v>928.63</v>
      </c>
      <c r="K1378" s="3">
        <f>Table1[[#This Row],[Quantity]]*Table1[[#This Row],[Unit_Price]]</f>
        <v>69409.59996043022</v>
      </c>
      <c r="L1378" s="3">
        <v>2654.91</v>
      </c>
      <c r="M1378" s="3">
        <f>Table1[[#This Row],[Gross_Sales]]-Table1[[#This Row],[Discount]]</f>
        <v>66754.689960430216</v>
      </c>
      <c r="N1378" s="3">
        <v>40828.32</v>
      </c>
      <c r="O1378" s="3">
        <v>1164.0899999999999</v>
      </c>
      <c r="P1378" s="3">
        <v>4050.82</v>
      </c>
      <c r="Q1378" s="3">
        <v>1508.07</v>
      </c>
      <c r="R1378" s="3">
        <v>1388.44</v>
      </c>
      <c r="S1378" s="3">
        <f>SUM(Table1[[#This Row],[Product_Cost]:[Other_Cost]])</f>
        <v>48939.74</v>
      </c>
      <c r="T1378" s="3">
        <f>Table1[[#This Row],[Net_Sales]]-Table1[[#This Row],[Product_Cost]]</f>
        <v>25926.369960430216</v>
      </c>
      <c r="U1378" s="3">
        <f>Table1[[#This Row],[Net_Sales]]-Table1[[#This Row],[Total_Cost]]</f>
        <v>17814.949960430218</v>
      </c>
      <c r="V1378" s="4">
        <f>Table1[[#This Row],[Net_Profit]]/Table1[[#This Row],[Net_Sales]]</f>
        <v>0.26687188527113648</v>
      </c>
      <c r="W1378" t="s">
        <v>33</v>
      </c>
      <c r="X1378" t="s">
        <v>1413</v>
      </c>
      <c r="Y1378">
        <v>12</v>
      </c>
      <c r="Z1378" t="str">
        <f>IF(Table1[[#This Row],[Month_No]]&lt;=6, "H1","H2")</f>
        <v>H2</v>
      </c>
    </row>
    <row r="1379" spans="1:26" x14ac:dyDescent="0.25">
      <c r="A1379" s="2">
        <v>46005</v>
      </c>
      <c r="B1379" t="s">
        <v>1463</v>
      </c>
      <c r="C1379" t="s">
        <v>117</v>
      </c>
      <c r="D1379" t="s">
        <v>68</v>
      </c>
      <c r="E1379" t="s">
        <v>29</v>
      </c>
      <c r="F1379" t="s">
        <v>39</v>
      </c>
      <c r="G1379" t="s">
        <v>76</v>
      </c>
      <c r="H1379" t="s">
        <v>41</v>
      </c>
      <c r="I1379">
        <v>142.10880994367429</v>
      </c>
      <c r="J1379" s="3">
        <v>393.35</v>
      </c>
      <c r="K1379" s="3">
        <f>Table1[[#This Row],[Quantity]]*Table1[[#This Row],[Unit_Price]]</f>
        <v>55898.500391344285</v>
      </c>
      <c r="L1379" s="3">
        <v>2077.8000000000002</v>
      </c>
      <c r="M1379" s="3">
        <f>Table1[[#This Row],[Gross_Sales]]-Table1[[#This Row],[Discount]]</f>
        <v>53820.700391344282</v>
      </c>
      <c r="N1379" s="3">
        <v>39629.760000000002</v>
      </c>
      <c r="O1379" s="3">
        <v>1608.19</v>
      </c>
      <c r="P1379" s="3">
        <v>3170.31</v>
      </c>
      <c r="Q1379" s="3">
        <v>1634.97</v>
      </c>
      <c r="R1379" s="3">
        <v>920.09</v>
      </c>
      <c r="S1379" s="3">
        <f>SUM(Table1[[#This Row],[Product_Cost]:[Other_Cost]])</f>
        <v>46963.32</v>
      </c>
      <c r="T1379" s="3">
        <f>Table1[[#This Row],[Net_Sales]]-Table1[[#This Row],[Product_Cost]]</f>
        <v>14190.94039134428</v>
      </c>
      <c r="U1379" s="3">
        <f>Table1[[#This Row],[Net_Sales]]-Table1[[#This Row],[Total_Cost]]</f>
        <v>6857.3803913442825</v>
      </c>
      <c r="V1379" s="4">
        <f>Table1[[#This Row],[Net_Profit]]/Table1[[#This Row],[Net_Sales]]</f>
        <v>0.12741157847226978</v>
      </c>
      <c r="W1379" t="s">
        <v>33</v>
      </c>
      <c r="X1379" t="s">
        <v>1413</v>
      </c>
      <c r="Y1379">
        <v>12</v>
      </c>
      <c r="Z1379" t="str">
        <f>IF(Table1[[#This Row],[Month_No]]&lt;=6, "H1","H2")</f>
        <v>H2</v>
      </c>
    </row>
    <row r="1380" spans="1:26" x14ac:dyDescent="0.25">
      <c r="A1380" s="2">
        <v>46005</v>
      </c>
      <c r="B1380" t="s">
        <v>1464</v>
      </c>
      <c r="C1380" t="s">
        <v>107</v>
      </c>
      <c r="D1380" t="s">
        <v>37</v>
      </c>
      <c r="E1380" t="s">
        <v>38</v>
      </c>
      <c r="F1380" t="s">
        <v>52</v>
      </c>
      <c r="G1380" t="s">
        <v>31</v>
      </c>
      <c r="H1380" t="s">
        <v>47</v>
      </c>
      <c r="I1380">
        <v>96.952536641236392</v>
      </c>
      <c r="J1380" s="3">
        <v>4870.62</v>
      </c>
      <c r="K1380" s="3">
        <f>Table1[[#This Row],[Quantity]]*Table1[[#This Row],[Unit_Price]]</f>
        <v>472218.9640155388</v>
      </c>
      <c r="L1380" s="3">
        <v>23433.91</v>
      </c>
      <c r="M1380" s="3">
        <f>Table1[[#This Row],[Gross_Sales]]-Table1[[#This Row],[Discount]]</f>
        <v>448785.05401553883</v>
      </c>
      <c r="N1380" s="3">
        <v>280482.78000000003</v>
      </c>
      <c r="O1380" s="3">
        <v>7544.04</v>
      </c>
      <c r="P1380" s="3">
        <v>23862.77</v>
      </c>
      <c r="Q1380" s="3">
        <v>11237.58</v>
      </c>
      <c r="R1380" s="3">
        <v>6561.97</v>
      </c>
      <c r="S1380" s="3">
        <f>SUM(Table1[[#This Row],[Product_Cost]:[Other_Cost]])</f>
        <v>329689.14</v>
      </c>
      <c r="T1380" s="3">
        <f>Table1[[#This Row],[Net_Sales]]-Table1[[#This Row],[Product_Cost]]</f>
        <v>168302.2740155388</v>
      </c>
      <c r="U1380" s="3">
        <f>Table1[[#This Row],[Net_Sales]]-Table1[[#This Row],[Total_Cost]]</f>
        <v>119095.91401553882</v>
      </c>
      <c r="V1380" s="4">
        <f>Table1[[#This Row],[Net_Profit]]/Table1[[#This Row],[Net_Sales]]</f>
        <v>0.26537406482216586</v>
      </c>
      <c r="W1380" t="s">
        <v>33</v>
      </c>
      <c r="X1380" t="s">
        <v>1413</v>
      </c>
      <c r="Y1380">
        <v>12</v>
      </c>
      <c r="Z1380" t="str">
        <f>IF(Table1[[#This Row],[Month_No]]&lt;=6, "H1","H2")</f>
        <v>H2</v>
      </c>
    </row>
    <row r="1381" spans="1:26" x14ac:dyDescent="0.25">
      <c r="A1381" s="2">
        <v>46006</v>
      </c>
      <c r="B1381" t="s">
        <v>1465</v>
      </c>
      <c r="C1381" t="s">
        <v>107</v>
      </c>
      <c r="D1381" t="s">
        <v>28</v>
      </c>
      <c r="E1381" t="s">
        <v>29</v>
      </c>
      <c r="F1381" t="s">
        <v>46</v>
      </c>
      <c r="G1381" t="s">
        <v>71</v>
      </c>
      <c r="H1381" t="s">
        <v>59</v>
      </c>
      <c r="I1381">
        <v>115.2839877495439</v>
      </c>
      <c r="J1381" s="3">
        <v>1236.96</v>
      </c>
      <c r="K1381" s="3">
        <f>Table1[[#This Row],[Quantity]]*Table1[[#This Row],[Unit_Price]]</f>
        <v>142601.68148667584</v>
      </c>
      <c r="L1381" s="3">
        <v>5327.28</v>
      </c>
      <c r="M1381" s="3">
        <f>Table1[[#This Row],[Gross_Sales]]-Table1[[#This Row],[Discount]]</f>
        <v>137274.40148667584</v>
      </c>
      <c r="N1381" s="3">
        <v>75350.2</v>
      </c>
      <c r="O1381" s="3">
        <v>2753.29</v>
      </c>
      <c r="P1381" s="3">
        <v>7702.2</v>
      </c>
      <c r="Q1381" s="3">
        <v>3100.88</v>
      </c>
      <c r="R1381" s="3">
        <v>2232.65</v>
      </c>
      <c r="S1381" s="3">
        <f>SUM(Table1[[#This Row],[Product_Cost]:[Other_Cost]])</f>
        <v>91139.219999999987</v>
      </c>
      <c r="T1381" s="3">
        <f>Table1[[#This Row],[Net_Sales]]-Table1[[#This Row],[Product_Cost]]</f>
        <v>61924.20148667584</v>
      </c>
      <c r="U1381" s="3">
        <f>Table1[[#This Row],[Net_Sales]]-Table1[[#This Row],[Total_Cost]]</f>
        <v>46135.18148667585</v>
      </c>
      <c r="V1381" s="4">
        <f>Table1[[#This Row],[Net_Profit]]/Table1[[#This Row],[Net_Sales]]</f>
        <v>0.33608000462601789</v>
      </c>
      <c r="W1381" t="s">
        <v>33</v>
      </c>
      <c r="X1381" t="s">
        <v>1413</v>
      </c>
      <c r="Y1381">
        <v>12</v>
      </c>
      <c r="Z1381" t="str">
        <f>IF(Table1[[#This Row],[Month_No]]&lt;=6, "H1","H2")</f>
        <v>H2</v>
      </c>
    </row>
    <row r="1382" spans="1:26" x14ac:dyDescent="0.25">
      <c r="A1382" s="2">
        <v>46006</v>
      </c>
      <c r="B1382" t="s">
        <v>1466</v>
      </c>
      <c r="C1382" t="s">
        <v>36</v>
      </c>
      <c r="D1382" t="s">
        <v>85</v>
      </c>
      <c r="E1382" t="s">
        <v>57</v>
      </c>
      <c r="F1382" t="s">
        <v>39</v>
      </c>
      <c r="G1382" t="s">
        <v>31</v>
      </c>
      <c r="H1382" t="s">
        <v>47</v>
      </c>
      <c r="I1382">
        <v>67.333565993082075</v>
      </c>
      <c r="J1382" s="3">
        <v>2135.81</v>
      </c>
      <c r="K1382" s="3">
        <f>Table1[[#This Row],[Quantity]]*Table1[[#This Row],[Unit_Price]]</f>
        <v>143811.70358368463</v>
      </c>
      <c r="L1382" s="3">
        <v>5906.76</v>
      </c>
      <c r="M1382" s="3">
        <f>Table1[[#This Row],[Gross_Sales]]-Table1[[#This Row],[Discount]]</f>
        <v>137904.94358368462</v>
      </c>
      <c r="N1382" s="3">
        <v>84228.66</v>
      </c>
      <c r="O1382" s="3">
        <v>4105.54</v>
      </c>
      <c r="P1382" s="3">
        <v>7267.94</v>
      </c>
      <c r="Q1382" s="3">
        <v>2640.46</v>
      </c>
      <c r="R1382" s="3">
        <v>2053.75</v>
      </c>
      <c r="S1382" s="3">
        <f>SUM(Table1[[#This Row],[Product_Cost]:[Other_Cost]])</f>
        <v>100296.35</v>
      </c>
      <c r="T1382" s="3">
        <f>Table1[[#This Row],[Net_Sales]]-Table1[[#This Row],[Product_Cost]]</f>
        <v>53676.283583684621</v>
      </c>
      <c r="U1382" s="3">
        <f>Table1[[#This Row],[Net_Sales]]-Table1[[#This Row],[Total_Cost]]</f>
        <v>37608.593583684618</v>
      </c>
      <c r="V1382" s="4">
        <f>Table1[[#This Row],[Net_Profit]]/Table1[[#This Row],[Net_Sales]]</f>
        <v>0.27271388977337613</v>
      </c>
      <c r="W1382" t="s">
        <v>33</v>
      </c>
      <c r="X1382" t="s">
        <v>1413</v>
      </c>
      <c r="Y1382">
        <v>12</v>
      </c>
      <c r="Z1382" t="str">
        <f>IF(Table1[[#This Row],[Month_No]]&lt;=6, "H1","H2")</f>
        <v>H2</v>
      </c>
    </row>
    <row r="1383" spans="1:26" x14ac:dyDescent="0.25">
      <c r="A1383" s="2">
        <v>46006</v>
      </c>
      <c r="B1383" t="s">
        <v>1467</v>
      </c>
      <c r="C1383" t="s">
        <v>117</v>
      </c>
      <c r="D1383" t="s">
        <v>183</v>
      </c>
      <c r="E1383" t="s">
        <v>38</v>
      </c>
      <c r="F1383" t="s">
        <v>52</v>
      </c>
      <c r="G1383" t="s">
        <v>86</v>
      </c>
      <c r="H1383" t="s">
        <v>47</v>
      </c>
      <c r="I1383">
        <v>35.848087104849519</v>
      </c>
      <c r="J1383" s="3">
        <v>7145.97</v>
      </c>
      <c r="K1383" s="3">
        <f>Table1[[#This Row],[Quantity]]*Table1[[#This Row],[Unit_Price]]</f>
        <v>256169.35500864152</v>
      </c>
      <c r="L1383" s="3">
        <v>7547.59</v>
      </c>
      <c r="M1383" s="3">
        <f>Table1[[#This Row],[Gross_Sales]]-Table1[[#This Row],[Discount]]</f>
        <v>248621.76500864152</v>
      </c>
      <c r="N1383" s="3">
        <v>136304.07</v>
      </c>
      <c r="O1383" s="3">
        <v>4023.54</v>
      </c>
      <c r="P1383" s="3">
        <v>13271.58</v>
      </c>
      <c r="Q1383" s="3">
        <v>6572.59</v>
      </c>
      <c r="R1383" s="3">
        <v>3151.32</v>
      </c>
      <c r="S1383" s="3">
        <f>SUM(Table1[[#This Row],[Product_Cost]:[Other_Cost]])</f>
        <v>163323.1</v>
      </c>
      <c r="T1383" s="3">
        <f>Table1[[#This Row],[Net_Sales]]-Table1[[#This Row],[Product_Cost]]</f>
        <v>112317.69500864152</v>
      </c>
      <c r="U1383" s="3">
        <f>Table1[[#This Row],[Net_Sales]]-Table1[[#This Row],[Total_Cost]]</f>
        <v>85298.665008641517</v>
      </c>
      <c r="V1383" s="4">
        <f>Table1[[#This Row],[Net_Profit]]/Table1[[#This Row],[Net_Sales]]</f>
        <v>0.34308607295775867</v>
      </c>
      <c r="W1383" t="s">
        <v>33</v>
      </c>
      <c r="X1383" t="s">
        <v>1413</v>
      </c>
      <c r="Y1383">
        <v>12</v>
      </c>
      <c r="Z1383" t="str">
        <f>IF(Table1[[#This Row],[Month_No]]&lt;=6, "H1","H2")</f>
        <v>H2</v>
      </c>
    </row>
    <row r="1384" spans="1:26" x14ac:dyDescent="0.25">
      <c r="A1384" s="2">
        <v>46007</v>
      </c>
      <c r="B1384" t="s">
        <v>1468</v>
      </c>
      <c r="C1384" t="s">
        <v>49</v>
      </c>
      <c r="D1384" t="s">
        <v>100</v>
      </c>
      <c r="E1384" t="s">
        <v>75</v>
      </c>
      <c r="F1384" t="s">
        <v>39</v>
      </c>
      <c r="G1384" t="s">
        <v>86</v>
      </c>
      <c r="H1384" t="s">
        <v>41</v>
      </c>
      <c r="I1384">
        <v>61.51349182729696</v>
      </c>
      <c r="J1384" s="3">
        <v>7443.8</v>
      </c>
      <c r="K1384" s="3">
        <f>Table1[[#This Row],[Quantity]]*Table1[[#This Row],[Unit_Price]]</f>
        <v>457894.13046403311</v>
      </c>
      <c r="L1384" s="3">
        <v>19865.23</v>
      </c>
      <c r="M1384" s="3">
        <f>Table1[[#This Row],[Gross_Sales]]-Table1[[#This Row],[Discount]]</f>
        <v>438028.90046403313</v>
      </c>
      <c r="N1384" s="3">
        <v>235990.77</v>
      </c>
      <c r="O1384" s="3">
        <v>11181.36</v>
      </c>
      <c r="P1384" s="3">
        <v>21906.21</v>
      </c>
      <c r="Q1384" s="3">
        <v>13061.05</v>
      </c>
      <c r="R1384" s="3">
        <v>7602.82</v>
      </c>
      <c r="S1384" s="3">
        <f>SUM(Table1[[#This Row],[Product_Cost]:[Other_Cost]])</f>
        <v>289742.21000000002</v>
      </c>
      <c r="T1384" s="3">
        <f>Table1[[#This Row],[Net_Sales]]-Table1[[#This Row],[Product_Cost]]</f>
        <v>202038.13046403314</v>
      </c>
      <c r="U1384" s="3">
        <f>Table1[[#This Row],[Net_Sales]]-Table1[[#This Row],[Total_Cost]]</f>
        <v>148286.6904640331</v>
      </c>
      <c r="V1384" s="4">
        <f>Table1[[#This Row],[Net_Profit]]/Table1[[#This Row],[Net_Sales]]</f>
        <v>0.33853175054646661</v>
      </c>
      <c r="W1384" t="s">
        <v>33</v>
      </c>
      <c r="X1384" t="s">
        <v>1413</v>
      </c>
      <c r="Y1384">
        <v>12</v>
      </c>
      <c r="Z1384" t="str">
        <f>IF(Table1[[#This Row],[Month_No]]&lt;=6, "H1","H2")</f>
        <v>H2</v>
      </c>
    </row>
    <row r="1385" spans="1:26" x14ac:dyDescent="0.25">
      <c r="A1385" s="2">
        <v>46007</v>
      </c>
      <c r="B1385" t="s">
        <v>1469</v>
      </c>
      <c r="C1385" t="s">
        <v>55</v>
      </c>
      <c r="D1385" t="s">
        <v>68</v>
      </c>
      <c r="E1385" t="s">
        <v>29</v>
      </c>
      <c r="F1385" t="s">
        <v>52</v>
      </c>
      <c r="G1385" t="s">
        <v>71</v>
      </c>
      <c r="H1385" t="s">
        <v>59</v>
      </c>
      <c r="I1385">
        <v>83.873535594862602</v>
      </c>
      <c r="J1385" s="3">
        <v>406.08</v>
      </c>
      <c r="K1385" s="3">
        <f>Table1[[#This Row],[Quantity]]*Table1[[#This Row],[Unit_Price]]</f>
        <v>34059.365334361806</v>
      </c>
      <c r="L1385" s="3">
        <v>858.63</v>
      </c>
      <c r="M1385" s="3">
        <f>Table1[[#This Row],[Gross_Sales]]-Table1[[#This Row],[Discount]]</f>
        <v>33200.735334361809</v>
      </c>
      <c r="N1385" s="3">
        <v>23164.3</v>
      </c>
      <c r="O1385" s="3">
        <v>714.39</v>
      </c>
      <c r="P1385" s="3">
        <v>1662.57</v>
      </c>
      <c r="Q1385" s="3">
        <v>656.62</v>
      </c>
      <c r="R1385" s="3">
        <v>573.83000000000004</v>
      </c>
      <c r="S1385" s="3">
        <f>SUM(Table1[[#This Row],[Product_Cost]:[Other_Cost]])</f>
        <v>26771.71</v>
      </c>
      <c r="T1385" s="3">
        <f>Table1[[#This Row],[Net_Sales]]-Table1[[#This Row],[Product_Cost]]</f>
        <v>10036.43533436181</v>
      </c>
      <c r="U1385" s="3">
        <f>Table1[[#This Row],[Net_Sales]]-Table1[[#This Row],[Total_Cost]]</f>
        <v>6429.0253343618097</v>
      </c>
      <c r="V1385" s="4">
        <f>Table1[[#This Row],[Net_Profit]]/Table1[[#This Row],[Net_Sales]]</f>
        <v>0.19364105251331445</v>
      </c>
      <c r="W1385" t="s">
        <v>33</v>
      </c>
      <c r="X1385" t="s">
        <v>1413</v>
      </c>
      <c r="Y1385">
        <v>12</v>
      </c>
      <c r="Z1385" t="str">
        <f>IF(Table1[[#This Row],[Month_No]]&lt;=6, "H1","H2")</f>
        <v>H2</v>
      </c>
    </row>
    <row r="1386" spans="1:26" x14ac:dyDescent="0.25">
      <c r="A1386" s="2">
        <v>46007</v>
      </c>
      <c r="B1386" t="s">
        <v>1470</v>
      </c>
      <c r="C1386" t="s">
        <v>117</v>
      </c>
      <c r="D1386" t="s">
        <v>37</v>
      </c>
      <c r="E1386" t="s">
        <v>38</v>
      </c>
      <c r="F1386" t="s">
        <v>46</v>
      </c>
      <c r="G1386" t="s">
        <v>86</v>
      </c>
      <c r="H1386" t="s">
        <v>59</v>
      </c>
      <c r="I1386">
        <v>59.472830674747783</v>
      </c>
      <c r="J1386" s="3">
        <v>4975.32</v>
      </c>
      <c r="K1386" s="3">
        <f>Table1[[#This Row],[Quantity]]*Table1[[#This Row],[Unit_Price]]</f>
        <v>295896.36391268612</v>
      </c>
      <c r="L1386" s="3">
        <v>6155.98</v>
      </c>
      <c r="M1386" s="3">
        <f>Table1[[#This Row],[Gross_Sales]]-Table1[[#This Row],[Discount]]</f>
        <v>289740.38391268614</v>
      </c>
      <c r="N1386" s="3">
        <v>190904.87</v>
      </c>
      <c r="O1386" s="3">
        <v>6645.84</v>
      </c>
      <c r="P1386" s="3">
        <v>16892.009999999998</v>
      </c>
      <c r="Q1386" s="3">
        <v>7624.73</v>
      </c>
      <c r="R1386" s="3">
        <v>5237.72</v>
      </c>
      <c r="S1386" s="3">
        <f>SUM(Table1[[#This Row],[Product_Cost]:[Other_Cost]])</f>
        <v>227305.17</v>
      </c>
      <c r="T1386" s="3">
        <f>Table1[[#This Row],[Net_Sales]]-Table1[[#This Row],[Product_Cost]]</f>
        <v>98835.513912686147</v>
      </c>
      <c r="U1386" s="3">
        <f>Table1[[#This Row],[Net_Sales]]-Table1[[#This Row],[Total_Cost]]</f>
        <v>62435.213912686129</v>
      </c>
      <c r="V1386" s="4">
        <f>Table1[[#This Row],[Net_Profit]]/Table1[[#This Row],[Net_Sales]]</f>
        <v>0.2154867508269096</v>
      </c>
      <c r="W1386" t="s">
        <v>33</v>
      </c>
      <c r="X1386" t="s">
        <v>1413</v>
      </c>
      <c r="Y1386">
        <v>12</v>
      </c>
      <c r="Z1386" t="str">
        <f>IF(Table1[[#This Row],[Month_No]]&lt;=6, "H1","H2")</f>
        <v>H2</v>
      </c>
    </row>
    <row r="1387" spans="1:26" x14ac:dyDescent="0.25">
      <c r="A1387" s="2">
        <v>46007</v>
      </c>
      <c r="B1387" t="s">
        <v>1471</v>
      </c>
      <c r="C1387" t="s">
        <v>70</v>
      </c>
      <c r="D1387" t="s">
        <v>85</v>
      </c>
      <c r="E1387" t="s">
        <v>57</v>
      </c>
      <c r="F1387" t="s">
        <v>52</v>
      </c>
      <c r="G1387" t="s">
        <v>71</v>
      </c>
      <c r="H1387" t="s">
        <v>59</v>
      </c>
      <c r="I1387">
        <v>48.351394934643523</v>
      </c>
      <c r="J1387" s="3">
        <v>2047.64</v>
      </c>
      <c r="K1387" s="3">
        <f>Table1[[#This Row],[Quantity]]*Table1[[#This Row],[Unit_Price]]</f>
        <v>99006.250323973465</v>
      </c>
      <c r="L1387" s="3">
        <v>4177.5200000000004</v>
      </c>
      <c r="M1387" s="3">
        <f>Table1[[#This Row],[Gross_Sales]]-Table1[[#This Row],[Discount]]</f>
        <v>94828.730323973461</v>
      </c>
      <c r="N1387" s="3">
        <v>60219.5</v>
      </c>
      <c r="O1387" s="3">
        <v>1628.04</v>
      </c>
      <c r="P1387" s="3">
        <v>4607.63</v>
      </c>
      <c r="Q1387" s="3">
        <v>2384.7800000000002</v>
      </c>
      <c r="R1387" s="3">
        <v>1705.97</v>
      </c>
      <c r="S1387" s="3">
        <f>SUM(Table1[[#This Row],[Product_Cost]:[Other_Cost]])</f>
        <v>70545.919999999998</v>
      </c>
      <c r="T1387" s="3">
        <f>Table1[[#This Row],[Net_Sales]]-Table1[[#This Row],[Product_Cost]]</f>
        <v>34609.230323973461</v>
      </c>
      <c r="U1387" s="3">
        <f>Table1[[#This Row],[Net_Sales]]-Table1[[#This Row],[Total_Cost]]</f>
        <v>24282.810323973463</v>
      </c>
      <c r="V1387" s="4">
        <f>Table1[[#This Row],[Net_Profit]]/Table1[[#This Row],[Net_Sales]]</f>
        <v>0.25607018296051753</v>
      </c>
      <c r="W1387" t="s">
        <v>33</v>
      </c>
      <c r="X1387" t="s">
        <v>1413</v>
      </c>
      <c r="Y1387">
        <v>12</v>
      </c>
      <c r="Z1387" t="str">
        <f>IF(Table1[[#This Row],[Month_No]]&lt;=6, "H1","H2")</f>
        <v>H2</v>
      </c>
    </row>
    <row r="1388" spans="1:26" x14ac:dyDescent="0.25">
      <c r="A1388" s="2">
        <v>46008</v>
      </c>
      <c r="B1388" t="s">
        <v>1472</v>
      </c>
      <c r="C1388" t="s">
        <v>55</v>
      </c>
      <c r="D1388" t="s">
        <v>44</v>
      </c>
      <c r="E1388" t="s">
        <v>45</v>
      </c>
      <c r="F1388" t="s">
        <v>39</v>
      </c>
      <c r="G1388" t="s">
        <v>40</v>
      </c>
      <c r="H1388" t="s">
        <v>41</v>
      </c>
      <c r="I1388">
        <v>54.578475910882212</v>
      </c>
      <c r="J1388" s="3">
        <v>4923.91</v>
      </c>
      <c r="K1388" s="3">
        <f>Table1[[#This Row],[Quantity]]*Table1[[#This Row],[Unit_Price]]</f>
        <v>268739.50332235201</v>
      </c>
      <c r="L1388" s="3">
        <v>11563.45</v>
      </c>
      <c r="M1388" s="3">
        <f>Table1[[#This Row],[Gross_Sales]]-Table1[[#This Row],[Discount]]</f>
        <v>257176.053322352</v>
      </c>
      <c r="N1388" s="3">
        <v>177021.3</v>
      </c>
      <c r="O1388" s="3">
        <v>7147.32</v>
      </c>
      <c r="P1388" s="3">
        <v>13069.95</v>
      </c>
      <c r="Q1388" s="3">
        <v>7580.96</v>
      </c>
      <c r="R1388" s="3">
        <v>3121.73</v>
      </c>
      <c r="S1388" s="3">
        <f>SUM(Table1[[#This Row],[Product_Cost]:[Other_Cost]])</f>
        <v>207941.26</v>
      </c>
      <c r="T1388" s="3">
        <f>Table1[[#This Row],[Net_Sales]]-Table1[[#This Row],[Product_Cost]]</f>
        <v>80154.753322352015</v>
      </c>
      <c r="U1388" s="3">
        <f>Table1[[#This Row],[Net_Sales]]-Table1[[#This Row],[Total_Cost]]</f>
        <v>49234.793322351994</v>
      </c>
      <c r="V1388" s="4">
        <f>Table1[[#This Row],[Net_Profit]]/Table1[[#This Row],[Net_Sales]]</f>
        <v>0.19144392600441559</v>
      </c>
      <c r="W1388" t="s">
        <v>72</v>
      </c>
      <c r="X1388" t="s">
        <v>1413</v>
      </c>
      <c r="Y1388">
        <v>12</v>
      </c>
      <c r="Z1388" t="str">
        <f>IF(Table1[[#This Row],[Month_No]]&lt;=6, "H1","H2")</f>
        <v>H2</v>
      </c>
    </row>
    <row r="1389" spans="1:26" x14ac:dyDescent="0.25">
      <c r="A1389" s="2">
        <v>46008</v>
      </c>
      <c r="B1389" t="s">
        <v>1473</v>
      </c>
      <c r="C1389" t="s">
        <v>83</v>
      </c>
      <c r="D1389" t="s">
        <v>44</v>
      </c>
      <c r="E1389" t="s">
        <v>45</v>
      </c>
      <c r="F1389" t="s">
        <v>30</v>
      </c>
      <c r="G1389" t="s">
        <v>61</v>
      </c>
      <c r="H1389" t="s">
        <v>41</v>
      </c>
      <c r="I1389">
        <v>73.177740482497626</v>
      </c>
      <c r="J1389" s="3">
        <v>4731.67</v>
      </c>
      <c r="K1389" s="3">
        <f>Table1[[#This Row],[Quantity]]*Table1[[#This Row],[Unit_Price]]</f>
        <v>346252.91930881958</v>
      </c>
      <c r="L1389" s="3">
        <v>14336.01</v>
      </c>
      <c r="M1389" s="3">
        <f>Table1[[#This Row],[Gross_Sales]]-Table1[[#This Row],[Discount]]</f>
        <v>331916.90930881957</v>
      </c>
      <c r="N1389" s="3">
        <v>211120.34</v>
      </c>
      <c r="O1389" s="3">
        <v>8452.3700000000008</v>
      </c>
      <c r="P1389" s="3">
        <v>16618.599999999999</v>
      </c>
      <c r="Q1389" s="3">
        <v>7390.93</v>
      </c>
      <c r="R1389" s="3">
        <v>4130.04</v>
      </c>
      <c r="S1389" s="3">
        <f>SUM(Table1[[#This Row],[Product_Cost]:[Other_Cost]])</f>
        <v>247712.28</v>
      </c>
      <c r="T1389" s="3">
        <f>Table1[[#This Row],[Net_Sales]]-Table1[[#This Row],[Product_Cost]]</f>
        <v>120796.56930881957</v>
      </c>
      <c r="U1389" s="3">
        <f>Table1[[#This Row],[Net_Sales]]-Table1[[#This Row],[Total_Cost]]</f>
        <v>84204.629308819567</v>
      </c>
      <c r="V1389" s="4">
        <f>Table1[[#This Row],[Net_Profit]]/Table1[[#This Row],[Net_Sales]]</f>
        <v>0.25369189380609275</v>
      </c>
      <c r="W1389" t="s">
        <v>33</v>
      </c>
      <c r="X1389" t="s">
        <v>1413</v>
      </c>
      <c r="Y1389">
        <v>12</v>
      </c>
      <c r="Z1389" t="str">
        <f>IF(Table1[[#This Row],[Month_No]]&lt;=6, "H1","H2")</f>
        <v>H2</v>
      </c>
    </row>
    <row r="1390" spans="1:26" x14ac:dyDescent="0.25">
      <c r="A1390" s="2">
        <v>46008</v>
      </c>
      <c r="B1390" t="s">
        <v>1474</v>
      </c>
      <c r="C1390" t="s">
        <v>27</v>
      </c>
      <c r="D1390" t="s">
        <v>183</v>
      </c>
      <c r="E1390" t="s">
        <v>38</v>
      </c>
      <c r="F1390" t="s">
        <v>52</v>
      </c>
      <c r="G1390" t="s">
        <v>86</v>
      </c>
      <c r="H1390" t="s">
        <v>47</v>
      </c>
      <c r="I1390">
        <v>53.603968123934763</v>
      </c>
      <c r="J1390" s="3">
        <v>7492.05</v>
      </c>
      <c r="K1390" s="3">
        <f>Table1[[#This Row],[Quantity]]*Table1[[#This Row],[Unit_Price]]</f>
        <v>401603.60938292544</v>
      </c>
      <c r="L1390" s="3">
        <v>10536.35</v>
      </c>
      <c r="M1390" s="3">
        <f>Table1[[#This Row],[Gross_Sales]]-Table1[[#This Row],[Discount]]</f>
        <v>391067.25938292546</v>
      </c>
      <c r="N1390" s="3">
        <v>201932.57</v>
      </c>
      <c r="O1390" s="3">
        <v>7971.9</v>
      </c>
      <c r="P1390" s="3">
        <v>22125.73</v>
      </c>
      <c r="Q1390" s="3">
        <v>10153.280000000001</v>
      </c>
      <c r="R1390" s="3">
        <v>6306.59</v>
      </c>
      <c r="S1390" s="3">
        <f>SUM(Table1[[#This Row],[Product_Cost]:[Other_Cost]])</f>
        <v>248490.07</v>
      </c>
      <c r="T1390" s="3">
        <f>Table1[[#This Row],[Net_Sales]]-Table1[[#This Row],[Product_Cost]]</f>
        <v>189134.68938292545</v>
      </c>
      <c r="U1390" s="3">
        <f>Table1[[#This Row],[Net_Sales]]-Table1[[#This Row],[Total_Cost]]</f>
        <v>142577.18938292545</v>
      </c>
      <c r="V1390" s="4">
        <f>Table1[[#This Row],[Net_Profit]]/Table1[[#This Row],[Net_Sales]]</f>
        <v>0.36458482770432243</v>
      </c>
      <c r="W1390" t="s">
        <v>33</v>
      </c>
      <c r="X1390" t="s">
        <v>1413</v>
      </c>
      <c r="Y1390">
        <v>12</v>
      </c>
      <c r="Z1390" t="str">
        <f>IF(Table1[[#This Row],[Month_No]]&lt;=6, "H1","H2")</f>
        <v>H2</v>
      </c>
    </row>
    <row r="1391" spans="1:26" x14ac:dyDescent="0.25">
      <c r="A1391" s="2">
        <v>46008</v>
      </c>
      <c r="B1391" t="s">
        <v>1475</v>
      </c>
      <c r="C1391" t="s">
        <v>36</v>
      </c>
      <c r="D1391" t="s">
        <v>100</v>
      </c>
      <c r="E1391" t="s">
        <v>75</v>
      </c>
      <c r="F1391" t="s">
        <v>52</v>
      </c>
      <c r="G1391" t="s">
        <v>76</v>
      </c>
      <c r="H1391" t="s">
        <v>41</v>
      </c>
      <c r="I1391">
        <v>72.145079085686973</v>
      </c>
      <c r="J1391" s="3">
        <v>7476.46</v>
      </c>
      <c r="K1391" s="3">
        <f>Table1[[#This Row],[Quantity]]*Table1[[#This Row],[Unit_Price]]</f>
        <v>539389.79798097524</v>
      </c>
      <c r="L1391" s="3">
        <v>19532.84</v>
      </c>
      <c r="M1391" s="3">
        <f>Table1[[#This Row],[Gross_Sales]]-Table1[[#This Row],[Discount]]</f>
        <v>519856.95798097522</v>
      </c>
      <c r="N1391" s="3">
        <v>292909.18</v>
      </c>
      <c r="O1391" s="3">
        <v>8656.17</v>
      </c>
      <c r="P1391" s="3">
        <v>25746.43</v>
      </c>
      <c r="Q1391" s="3">
        <v>11748.97</v>
      </c>
      <c r="R1391" s="3">
        <v>10099.07</v>
      </c>
      <c r="S1391" s="3">
        <f>SUM(Table1[[#This Row],[Product_Cost]:[Other_Cost]])</f>
        <v>349159.81999999995</v>
      </c>
      <c r="T1391" s="3">
        <f>Table1[[#This Row],[Net_Sales]]-Table1[[#This Row],[Product_Cost]]</f>
        <v>226947.77798097522</v>
      </c>
      <c r="U1391" s="3">
        <f>Table1[[#This Row],[Net_Sales]]-Table1[[#This Row],[Total_Cost]]</f>
        <v>170697.13798097527</v>
      </c>
      <c r="V1391" s="4">
        <f>Table1[[#This Row],[Net_Profit]]/Table1[[#This Row],[Net_Sales]]</f>
        <v>0.32835405078337365</v>
      </c>
      <c r="W1391" t="s">
        <v>33</v>
      </c>
      <c r="X1391" t="s">
        <v>1413</v>
      </c>
      <c r="Y1391">
        <v>12</v>
      </c>
      <c r="Z1391" t="str">
        <f>IF(Table1[[#This Row],[Month_No]]&lt;=6, "H1","H2")</f>
        <v>H2</v>
      </c>
    </row>
    <row r="1392" spans="1:26" x14ac:dyDescent="0.25">
      <c r="A1392" s="2">
        <v>46009</v>
      </c>
      <c r="B1392" t="s">
        <v>1476</v>
      </c>
      <c r="C1392" t="s">
        <v>107</v>
      </c>
      <c r="D1392" t="s">
        <v>28</v>
      </c>
      <c r="E1392" t="s">
        <v>29</v>
      </c>
      <c r="F1392" t="s">
        <v>52</v>
      </c>
      <c r="G1392" t="s">
        <v>40</v>
      </c>
      <c r="H1392" t="s">
        <v>59</v>
      </c>
      <c r="I1392">
        <v>124.31845825390531</v>
      </c>
      <c r="J1392" s="3">
        <v>1320.41</v>
      </c>
      <c r="K1392" s="3">
        <f>Table1[[#This Row],[Quantity]]*Table1[[#This Row],[Unit_Price]]</f>
        <v>164151.33546303911</v>
      </c>
      <c r="L1392" s="3">
        <v>7073.99</v>
      </c>
      <c r="M1392" s="3">
        <f>Table1[[#This Row],[Gross_Sales]]-Table1[[#This Row],[Discount]]</f>
        <v>157077.34546303912</v>
      </c>
      <c r="N1392" s="3">
        <v>88751.3</v>
      </c>
      <c r="O1392" s="3">
        <v>2552.3200000000002</v>
      </c>
      <c r="P1392" s="3">
        <v>8613.6299999999992</v>
      </c>
      <c r="Q1392" s="3">
        <v>3730.47</v>
      </c>
      <c r="R1392" s="3">
        <v>3023.84</v>
      </c>
      <c r="S1392" s="3">
        <f>SUM(Table1[[#This Row],[Product_Cost]:[Other_Cost]])</f>
        <v>106671.56000000001</v>
      </c>
      <c r="T1392" s="3">
        <f>Table1[[#This Row],[Net_Sales]]-Table1[[#This Row],[Product_Cost]]</f>
        <v>68326.045463039118</v>
      </c>
      <c r="U1392" s="3">
        <f>Table1[[#This Row],[Net_Sales]]-Table1[[#This Row],[Total_Cost]]</f>
        <v>50405.785463039108</v>
      </c>
      <c r="V1392" s="4">
        <f>Table1[[#This Row],[Net_Profit]]/Table1[[#This Row],[Net_Sales]]</f>
        <v>0.32089786922774155</v>
      </c>
      <c r="W1392" t="s">
        <v>33</v>
      </c>
      <c r="X1392" t="s">
        <v>1413</v>
      </c>
      <c r="Y1392">
        <v>12</v>
      </c>
      <c r="Z1392" t="str">
        <f>IF(Table1[[#This Row],[Month_No]]&lt;=6, "H1","H2")</f>
        <v>H2</v>
      </c>
    </row>
    <row r="1393" spans="1:26" x14ac:dyDescent="0.25">
      <c r="A1393" s="2">
        <v>46009</v>
      </c>
      <c r="B1393" t="s">
        <v>1477</v>
      </c>
      <c r="C1393" t="s">
        <v>55</v>
      </c>
      <c r="D1393" t="s">
        <v>66</v>
      </c>
      <c r="E1393" t="s">
        <v>51</v>
      </c>
      <c r="F1393" t="s">
        <v>52</v>
      </c>
      <c r="G1393" t="s">
        <v>71</v>
      </c>
      <c r="H1393" t="s">
        <v>32</v>
      </c>
      <c r="I1393">
        <v>44.626138504575103</v>
      </c>
      <c r="J1393" s="3">
        <v>1568.04</v>
      </c>
      <c r="K1393" s="3">
        <f>Table1[[#This Row],[Quantity]]*Table1[[#This Row],[Unit_Price]]</f>
        <v>69975.57022071394</v>
      </c>
      <c r="L1393" s="3">
        <v>4159.07</v>
      </c>
      <c r="M1393" s="3">
        <f>Table1[[#This Row],[Gross_Sales]]-Table1[[#This Row],[Discount]]</f>
        <v>65816.500220713933</v>
      </c>
      <c r="N1393" s="3">
        <v>32090.36</v>
      </c>
      <c r="O1393" s="3">
        <v>1164.92</v>
      </c>
      <c r="P1393" s="3">
        <v>4045.08</v>
      </c>
      <c r="Q1393" s="3">
        <v>2088.08</v>
      </c>
      <c r="R1393" s="3">
        <v>1247.21</v>
      </c>
      <c r="S1393" s="3">
        <f>SUM(Table1[[#This Row],[Product_Cost]:[Other_Cost]])</f>
        <v>40635.65</v>
      </c>
      <c r="T1393" s="3">
        <f>Table1[[#This Row],[Net_Sales]]-Table1[[#This Row],[Product_Cost]]</f>
        <v>33726.140220713933</v>
      </c>
      <c r="U1393" s="3">
        <f>Table1[[#This Row],[Net_Sales]]-Table1[[#This Row],[Total_Cost]]</f>
        <v>25180.850220713932</v>
      </c>
      <c r="V1393" s="4">
        <f>Table1[[#This Row],[Net_Profit]]/Table1[[#This Row],[Net_Sales]]</f>
        <v>0.38259175337902501</v>
      </c>
      <c r="W1393" t="s">
        <v>72</v>
      </c>
      <c r="X1393" t="s">
        <v>1413</v>
      </c>
      <c r="Y1393">
        <v>12</v>
      </c>
      <c r="Z1393" t="str">
        <f>IF(Table1[[#This Row],[Month_No]]&lt;=6, "H1","H2")</f>
        <v>H2</v>
      </c>
    </row>
    <row r="1394" spans="1:26" x14ac:dyDescent="0.25">
      <c r="A1394" s="2">
        <v>46009</v>
      </c>
      <c r="B1394" t="s">
        <v>1478</v>
      </c>
      <c r="C1394" t="s">
        <v>55</v>
      </c>
      <c r="D1394" t="s">
        <v>56</v>
      </c>
      <c r="E1394" t="s">
        <v>57</v>
      </c>
      <c r="F1394" t="s">
        <v>52</v>
      </c>
      <c r="G1394" t="s">
        <v>71</v>
      </c>
      <c r="H1394" t="s">
        <v>32</v>
      </c>
      <c r="I1394">
        <v>57.323944855268437</v>
      </c>
      <c r="J1394" s="3">
        <v>3410.93</v>
      </c>
      <c r="K1394" s="3">
        <f>Table1[[#This Row],[Quantity]]*Table1[[#This Row],[Unit_Price]]</f>
        <v>195527.96322518075</v>
      </c>
      <c r="L1394" s="3">
        <v>9938.82</v>
      </c>
      <c r="M1394" s="3">
        <f>Table1[[#This Row],[Gross_Sales]]-Table1[[#This Row],[Discount]]</f>
        <v>185589.14322518074</v>
      </c>
      <c r="N1394" s="3">
        <v>96452.67</v>
      </c>
      <c r="O1394" s="3">
        <v>2969.15</v>
      </c>
      <c r="P1394" s="3">
        <v>9954.14</v>
      </c>
      <c r="Q1394" s="3">
        <v>5095.9399999999996</v>
      </c>
      <c r="R1394" s="3">
        <v>2463.0700000000002</v>
      </c>
      <c r="S1394" s="3">
        <f>SUM(Table1[[#This Row],[Product_Cost]:[Other_Cost]])</f>
        <v>116934.97</v>
      </c>
      <c r="T1394" s="3">
        <f>Table1[[#This Row],[Net_Sales]]-Table1[[#This Row],[Product_Cost]]</f>
        <v>89136.473225180744</v>
      </c>
      <c r="U1394" s="3">
        <f>Table1[[#This Row],[Net_Sales]]-Table1[[#This Row],[Total_Cost]]</f>
        <v>68654.173225180741</v>
      </c>
      <c r="V1394" s="4">
        <f>Table1[[#This Row],[Net_Profit]]/Table1[[#This Row],[Net_Sales]]</f>
        <v>0.36992558956900096</v>
      </c>
      <c r="W1394" t="s">
        <v>33</v>
      </c>
      <c r="X1394" t="s">
        <v>1413</v>
      </c>
      <c r="Y1394">
        <v>12</v>
      </c>
      <c r="Z1394" t="str">
        <f>IF(Table1[[#This Row],[Month_No]]&lt;=6, "H1","H2")</f>
        <v>H2</v>
      </c>
    </row>
    <row r="1395" spans="1:26" x14ac:dyDescent="0.25">
      <c r="A1395" s="2">
        <v>46009</v>
      </c>
      <c r="B1395" t="s">
        <v>1479</v>
      </c>
      <c r="C1395" t="s">
        <v>117</v>
      </c>
      <c r="D1395" t="s">
        <v>66</v>
      </c>
      <c r="E1395" t="s">
        <v>51</v>
      </c>
      <c r="F1395" t="s">
        <v>52</v>
      </c>
      <c r="G1395" t="s">
        <v>64</v>
      </c>
      <c r="H1395" t="s">
        <v>47</v>
      </c>
      <c r="I1395">
        <v>36.368531787759231</v>
      </c>
      <c r="J1395" s="3">
        <v>1571.92</v>
      </c>
      <c r="K1395" s="3">
        <f>Table1[[#This Row],[Quantity]]*Table1[[#This Row],[Unit_Price]]</f>
        <v>57168.422487814496</v>
      </c>
      <c r="L1395" s="3">
        <v>1835.06</v>
      </c>
      <c r="M1395" s="3">
        <f>Table1[[#This Row],[Gross_Sales]]-Table1[[#This Row],[Discount]]</f>
        <v>55333.362487814498</v>
      </c>
      <c r="N1395" s="3">
        <v>26833.21</v>
      </c>
      <c r="O1395" s="3">
        <v>934.89</v>
      </c>
      <c r="P1395" s="3">
        <v>3151.55</v>
      </c>
      <c r="Q1395" s="3">
        <v>1242.5</v>
      </c>
      <c r="R1395" s="3">
        <v>786.86</v>
      </c>
      <c r="S1395" s="3">
        <f>SUM(Table1[[#This Row],[Product_Cost]:[Other_Cost]])</f>
        <v>32949.009999999995</v>
      </c>
      <c r="T1395" s="3">
        <f>Table1[[#This Row],[Net_Sales]]-Table1[[#This Row],[Product_Cost]]</f>
        <v>28500.152487814499</v>
      </c>
      <c r="U1395" s="3">
        <f>Table1[[#This Row],[Net_Sales]]-Table1[[#This Row],[Total_Cost]]</f>
        <v>22384.352487814504</v>
      </c>
      <c r="V1395" s="4">
        <f>Table1[[#This Row],[Net_Profit]]/Table1[[#This Row],[Net_Sales]]</f>
        <v>0.4045362775982389</v>
      </c>
      <c r="W1395" t="s">
        <v>72</v>
      </c>
      <c r="X1395" t="s">
        <v>1413</v>
      </c>
      <c r="Y1395">
        <v>12</v>
      </c>
      <c r="Z1395" t="str">
        <f>IF(Table1[[#This Row],[Month_No]]&lt;=6, "H1","H2")</f>
        <v>H2</v>
      </c>
    </row>
    <row r="1396" spans="1:26" x14ac:dyDescent="0.25">
      <c r="A1396" s="2">
        <v>46009</v>
      </c>
      <c r="B1396" t="s">
        <v>1480</v>
      </c>
      <c r="C1396" t="s">
        <v>36</v>
      </c>
      <c r="D1396" t="s">
        <v>85</v>
      </c>
      <c r="E1396" t="s">
        <v>57</v>
      </c>
      <c r="F1396" t="s">
        <v>52</v>
      </c>
      <c r="G1396" t="s">
        <v>40</v>
      </c>
      <c r="H1396" t="s">
        <v>32</v>
      </c>
      <c r="I1396">
        <v>68.213331089775039</v>
      </c>
      <c r="J1396" s="3">
        <v>2065.4</v>
      </c>
      <c r="K1396" s="3">
        <f>Table1[[#This Row],[Quantity]]*Table1[[#This Row],[Unit_Price]]</f>
        <v>140887.81403282136</v>
      </c>
      <c r="L1396" s="3">
        <v>6850.19</v>
      </c>
      <c r="M1396" s="3">
        <f>Table1[[#This Row],[Gross_Sales]]-Table1[[#This Row],[Discount]]</f>
        <v>134037.62403282136</v>
      </c>
      <c r="N1396" s="3">
        <v>86032.51</v>
      </c>
      <c r="O1396" s="3">
        <v>2603.5500000000002</v>
      </c>
      <c r="P1396" s="3">
        <v>7474.49</v>
      </c>
      <c r="Q1396" s="3">
        <v>4279.0200000000004</v>
      </c>
      <c r="R1396" s="3">
        <v>2386</v>
      </c>
      <c r="S1396" s="3">
        <f>SUM(Table1[[#This Row],[Product_Cost]:[Other_Cost]])</f>
        <v>102775.57</v>
      </c>
      <c r="T1396" s="3">
        <f>Table1[[#This Row],[Net_Sales]]-Table1[[#This Row],[Product_Cost]]</f>
        <v>48005.114032821366</v>
      </c>
      <c r="U1396" s="3">
        <f>Table1[[#This Row],[Net_Sales]]-Table1[[#This Row],[Total_Cost]]</f>
        <v>31262.054032821354</v>
      </c>
      <c r="V1396" s="4">
        <f>Table1[[#This Row],[Net_Profit]]/Table1[[#This Row],[Net_Sales]]</f>
        <v>0.23323342425979079</v>
      </c>
      <c r="W1396" t="s">
        <v>33</v>
      </c>
      <c r="X1396" t="s">
        <v>1413</v>
      </c>
      <c r="Y1396">
        <v>12</v>
      </c>
      <c r="Z1396" t="str">
        <f>IF(Table1[[#This Row],[Month_No]]&lt;=6, "H1","H2")</f>
        <v>H2</v>
      </c>
    </row>
    <row r="1397" spans="1:26" x14ac:dyDescent="0.25">
      <c r="A1397" s="2">
        <v>46009</v>
      </c>
      <c r="B1397" t="s">
        <v>1481</v>
      </c>
      <c r="C1397" t="s">
        <v>98</v>
      </c>
      <c r="D1397" t="s">
        <v>56</v>
      </c>
      <c r="E1397" t="s">
        <v>57</v>
      </c>
      <c r="F1397" t="s">
        <v>39</v>
      </c>
      <c r="G1397" t="s">
        <v>40</v>
      </c>
      <c r="H1397" t="s">
        <v>41</v>
      </c>
      <c r="I1397">
        <v>5.3759051199823782</v>
      </c>
      <c r="J1397" s="3">
        <v>3525.75</v>
      </c>
      <c r="K1397" s="3">
        <f>Table1[[#This Row],[Quantity]]*Table1[[#This Row],[Unit_Price]]</f>
        <v>18954.097476777872</v>
      </c>
      <c r="L1397" s="3">
        <v>608.85</v>
      </c>
      <c r="M1397" s="3">
        <f>Table1[[#This Row],[Gross_Sales]]-Table1[[#This Row],[Discount]]</f>
        <v>18345.247476777873</v>
      </c>
      <c r="N1397" s="3">
        <v>9293.81</v>
      </c>
      <c r="O1397" s="3">
        <v>491.51</v>
      </c>
      <c r="P1397" s="3">
        <v>944.43</v>
      </c>
      <c r="Q1397" s="3">
        <v>585.29999999999995</v>
      </c>
      <c r="R1397" s="3">
        <v>239.07</v>
      </c>
      <c r="S1397" s="3">
        <f>SUM(Table1[[#This Row],[Product_Cost]:[Other_Cost]])</f>
        <v>11554.119999999999</v>
      </c>
      <c r="T1397" s="3">
        <f>Table1[[#This Row],[Net_Sales]]-Table1[[#This Row],[Product_Cost]]</f>
        <v>9051.4374767778736</v>
      </c>
      <c r="U1397" s="3">
        <f>Table1[[#This Row],[Net_Sales]]-Table1[[#This Row],[Total_Cost]]</f>
        <v>6791.1274767778741</v>
      </c>
      <c r="V1397" s="4">
        <f>Table1[[#This Row],[Net_Profit]]/Table1[[#This Row],[Net_Sales]]</f>
        <v>0.37018456607763656</v>
      </c>
      <c r="W1397" t="s">
        <v>33</v>
      </c>
      <c r="X1397" t="s">
        <v>1413</v>
      </c>
      <c r="Y1397">
        <v>12</v>
      </c>
      <c r="Z1397" t="str">
        <f>IF(Table1[[#This Row],[Month_No]]&lt;=6, "H1","H2")</f>
        <v>H2</v>
      </c>
    </row>
    <row r="1398" spans="1:26" x14ac:dyDescent="0.25">
      <c r="A1398" s="2">
        <v>46010</v>
      </c>
      <c r="B1398" t="s">
        <v>1482</v>
      </c>
      <c r="C1398" t="s">
        <v>117</v>
      </c>
      <c r="D1398" t="s">
        <v>183</v>
      </c>
      <c r="E1398" t="s">
        <v>38</v>
      </c>
      <c r="F1398" t="s">
        <v>46</v>
      </c>
      <c r="G1398" t="s">
        <v>86</v>
      </c>
      <c r="H1398" t="s">
        <v>47</v>
      </c>
      <c r="I1398">
        <v>42.651668477763437</v>
      </c>
      <c r="J1398" s="3">
        <v>7291.3</v>
      </c>
      <c r="K1398" s="3">
        <f>Table1[[#This Row],[Quantity]]*Table1[[#This Row],[Unit_Price]]</f>
        <v>310986.11037191655</v>
      </c>
      <c r="L1398" s="3">
        <v>14732.4</v>
      </c>
      <c r="M1398" s="3">
        <f>Table1[[#This Row],[Gross_Sales]]-Table1[[#This Row],[Discount]]</f>
        <v>296253.71037191653</v>
      </c>
      <c r="N1398" s="3">
        <v>148870.14000000001</v>
      </c>
      <c r="O1398" s="3">
        <v>5319.45</v>
      </c>
      <c r="P1398" s="3">
        <v>15784.93</v>
      </c>
      <c r="Q1398" s="3">
        <v>8229.31</v>
      </c>
      <c r="R1398" s="3">
        <v>4729.4399999999996</v>
      </c>
      <c r="S1398" s="3">
        <f>SUM(Table1[[#This Row],[Product_Cost]:[Other_Cost]])</f>
        <v>182933.27000000002</v>
      </c>
      <c r="T1398" s="3">
        <f>Table1[[#This Row],[Net_Sales]]-Table1[[#This Row],[Product_Cost]]</f>
        <v>147383.57037191652</v>
      </c>
      <c r="U1398" s="3">
        <f>Table1[[#This Row],[Net_Sales]]-Table1[[#This Row],[Total_Cost]]</f>
        <v>113320.44037191651</v>
      </c>
      <c r="V1398" s="4">
        <f>Table1[[#This Row],[Net_Profit]]/Table1[[#This Row],[Net_Sales]]</f>
        <v>0.38251146366961675</v>
      </c>
      <c r="W1398" t="s">
        <v>33</v>
      </c>
      <c r="X1398" t="s">
        <v>1413</v>
      </c>
      <c r="Y1398">
        <v>12</v>
      </c>
      <c r="Z1398" t="str">
        <f>IF(Table1[[#This Row],[Month_No]]&lt;=6, "H1","H2")</f>
        <v>H2</v>
      </c>
    </row>
    <row r="1399" spans="1:26" x14ac:dyDescent="0.25">
      <c r="A1399" s="2">
        <v>46010</v>
      </c>
      <c r="B1399" t="s">
        <v>1483</v>
      </c>
      <c r="C1399" t="s">
        <v>70</v>
      </c>
      <c r="D1399" t="s">
        <v>56</v>
      </c>
      <c r="E1399" t="s">
        <v>57</v>
      </c>
      <c r="F1399" t="s">
        <v>30</v>
      </c>
      <c r="G1399" t="s">
        <v>61</v>
      </c>
      <c r="H1399" t="s">
        <v>59</v>
      </c>
      <c r="I1399">
        <v>30.445353084709431</v>
      </c>
      <c r="J1399" s="3">
        <v>3384.39</v>
      </c>
      <c r="K1399" s="3">
        <f>Table1[[#This Row],[Quantity]]*Table1[[#This Row],[Unit_Price]]</f>
        <v>103038.94852635975</v>
      </c>
      <c r="L1399" s="3">
        <v>3106.07</v>
      </c>
      <c r="M1399" s="3">
        <f>Table1[[#This Row],[Gross_Sales]]-Table1[[#This Row],[Discount]]</f>
        <v>99932.878526359738</v>
      </c>
      <c r="N1399" s="3">
        <v>49236.09</v>
      </c>
      <c r="O1399" s="3">
        <v>2520.12</v>
      </c>
      <c r="P1399" s="3">
        <v>5433.85</v>
      </c>
      <c r="Q1399" s="3">
        <v>2254.92</v>
      </c>
      <c r="R1399" s="3">
        <v>1781.58</v>
      </c>
      <c r="S1399" s="3">
        <f>SUM(Table1[[#This Row],[Product_Cost]:[Other_Cost]])</f>
        <v>61226.559999999998</v>
      </c>
      <c r="T1399" s="3">
        <f>Table1[[#This Row],[Net_Sales]]-Table1[[#This Row],[Product_Cost]]</f>
        <v>50696.788526359742</v>
      </c>
      <c r="U1399" s="3">
        <f>Table1[[#This Row],[Net_Sales]]-Table1[[#This Row],[Total_Cost]]</f>
        <v>38706.318526359741</v>
      </c>
      <c r="V1399" s="4">
        <f>Table1[[#This Row],[Net_Profit]]/Table1[[#This Row],[Net_Sales]]</f>
        <v>0.38732316227786839</v>
      </c>
      <c r="W1399" t="s">
        <v>33</v>
      </c>
      <c r="X1399" t="s">
        <v>1413</v>
      </c>
      <c r="Y1399">
        <v>12</v>
      </c>
      <c r="Z1399" t="str">
        <f>IF(Table1[[#This Row],[Month_No]]&lt;=6, "H1","H2")</f>
        <v>H2</v>
      </c>
    </row>
    <row r="1400" spans="1:26" x14ac:dyDescent="0.25">
      <c r="A1400" s="2">
        <v>46010</v>
      </c>
      <c r="B1400" t="s">
        <v>1484</v>
      </c>
      <c r="C1400" t="s">
        <v>78</v>
      </c>
      <c r="D1400" t="s">
        <v>66</v>
      </c>
      <c r="E1400" t="s">
        <v>51</v>
      </c>
      <c r="F1400" t="s">
        <v>52</v>
      </c>
      <c r="G1400" t="s">
        <v>40</v>
      </c>
      <c r="H1400" t="s">
        <v>41</v>
      </c>
      <c r="I1400">
        <v>51.281625141692302</v>
      </c>
      <c r="J1400" s="3">
        <v>1699.34</v>
      </c>
      <c r="K1400" s="3">
        <f>Table1[[#This Row],[Quantity]]*Table1[[#This Row],[Unit_Price]]</f>
        <v>87144.916868283399</v>
      </c>
      <c r="L1400" s="3">
        <v>3622.24</v>
      </c>
      <c r="M1400" s="3">
        <f>Table1[[#This Row],[Gross_Sales]]-Table1[[#This Row],[Discount]]</f>
        <v>83522.676868283394</v>
      </c>
      <c r="N1400" s="3">
        <v>41166.949999999997</v>
      </c>
      <c r="O1400" s="3">
        <v>1539.31</v>
      </c>
      <c r="P1400" s="3">
        <v>4023.16</v>
      </c>
      <c r="Q1400" s="3">
        <v>2608.86</v>
      </c>
      <c r="R1400" s="3">
        <v>1733.13</v>
      </c>
      <c r="S1400" s="3">
        <f>SUM(Table1[[#This Row],[Product_Cost]:[Other_Cost]])</f>
        <v>51071.409999999996</v>
      </c>
      <c r="T1400" s="3">
        <f>Table1[[#This Row],[Net_Sales]]-Table1[[#This Row],[Product_Cost]]</f>
        <v>42355.726868283396</v>
      </c>
      <c r="U1400" s="3">
        <f>Table1[[#This Row],[Net_Sales]]-Table1[[#This Row],[Total_Cost]]</f>
        <v>32451.266868283397</v>
      </c>
      <c r="V1400" s="4">
        <f>Table1[[#This Row],[Net_Profit]]/Table1[[#This Row],[Net_Sales]]</f>
        <v>0.38853240922174426</v>
      </c>
      <c r="W1400" t="s">
        <v>72</v>
      </c>
      <c r="X1400" t="s">
        <v>1413</v>
      </c>
      <c r="Y1400">
        <v>12</v>
      </c>
      <c r="Z1400" t="str">
        <f>IF(Table1[[#This Row],[Month_No]]&lt;=6, "H1","H2")</f>
        <v>H2</v>
      </c>
    </row>
    <row r="1401" spans="1:26" x14ac:dyDescent="0.25">
      <c r="A1401" s="2">
        <v>46011</v>
      </c>
      <c r="B1401" t="s">
        <v>1485</v>
      </c>
      <c r="C1401" t="s">
        <v>63</v>
      </c>
      <c r="D1401" t="s">
        <v>81</v>
      </c>
      <c r="E1401" t="s">
        <v>45</v>
      </c>
      <c r="F1401" t="s">
        <v>52</v>
      </c>
      <c r="G1401" t="s">
        <v>58</v>
      </c>
      <c r="H1401" t="s">
        <v>59</v>
      </c>
      <c r="I1401">
        <v>41.863757765711803</v>
      </c>
      <c r="J1401" s="3">
        <v>6982.65</v>
      </c>
      <c r="K1401" s="3">
        <f>Table1[[#This Row],[Quantity]]*Table1[[#This Row],[Unit_Price]]</f>
        <v>292319.96816274751</v>
      </c>
      <c r="L1401" s="3">
        <v>9675.85</v>
      </c>
      <c r="M1401" s="3">
        <f>Table1[[#This Row],[Gross_Sales]]-Table1[[#This Row],[Discount]]</f>
        <v>282644.11816274753</v>
      </c>
      <c r="N1401" s="3">
        <v>147244.53</v>
      </c>
      <c r="O1401" s="3">
        <v>5000.7700000000004</v>
      </c>
      <c r="P1401" s="3">
        <v>17327.75</v>
      </c>
      <c r="Q1401" s="3">
        <v>6770.9</v>
      </c>
      <c r="R1401" s="3">
        <v>3394.94</v>
      </c>
      <c r="S1401" s="3">
        <f>SUM(Table1[[#This Row],[Product_Cost]:[Other_Cost]])</f>
        <v>179738.88999999998</v>
      </c>
      <c r="T1401" s="3">
        <f>Table1[[#This Row],[Net_Sales]]-Table1[[#This Row],[Product_Cost]]</f>
        <v>135399.58816274753</v>
      </c>
      <c r="U1401" s="3">
        <f>Table1[[#This Row],[Net_Sales]]-Table1[[#This Row],[Total_Cost]]</f>
        <v>102905.22816274755</v>
      </c>
      <c r="V1401" s="4">
        <f>Table1[[#This Row],[Net_Profit]]/Table1[[#This Row],[Net_Sales]]</f>
        <v>0.36408055766967823</v>
      </c>
      <c r="W1401" t="s">
        <v>33</v>
      </c>
      <c r="X1401" t="s">
        <v>1413</v>
      </c>
      <c r="Y1401">
        <v>12</v>
      </c>
      <c r="Z1401" t="str">
        <f>IF(Table1[[#This Row],[Month_No]]&lt;=6, "H1","H2")</f>
        <v>H2</v>
      </c>
    </row>
    <row r="1402" spans="1:26" x14ac:dyDescent="0.25">
      <c r="A1402" s="2">
        <v>46011</v>
      </c>
      <c r="B1402" t="s">
        <v>1486</v>
      </c>
      <c r="C1402" t="s">
        <v>27</v>
      </c>
      <c r="D1402" t="s">
        <v>28</v>
      </c>
      <c r="E1402" t="s">
        <v>29</v>
      </c>
      <c r="F1402" t="s">
        <v>39</v>
      </c>
      <c r="G1402" t="s">
        <v>61</v>
      </c>
      <c r="H1402" t="s">
        <v>41</v>
      </c>
      <c r="I1402">
        <v>101.2934103303888</v>
      </c>
      <c r="J1402" s="3">
        <v>1230.8499999999999</v>
      </c>
      <c r="K1402" s="3">
        <f>Table1[[#This Row],[Quantity]]*Table1[[#This Row],[Unit_Price]]</f>
        <v>124676.99410515904</v>
      </c>
      <c r="L1402" s="3">
        <v>4834.18</v>
      </c>
      <c r="M1402" s="3">
        <f>Table1[[#This Row],[Gross_Sales]]-Table1[[#This Row],[Discount]]</f>
        <v>119842.81410515905</v>
      </c>
      <c r="N1402" s="3">
        <v>59807.7</v>
      </c>
      <c r="O1402" s="3">
        <v>3870.29</v>
      </c>
      <c r="P1402" s="3">
        <v>5905.16</v>
      </c>
      <c r="Q1402" s="3">
        <v>2697.72</v>
      </c>
      <c r="R1402" s="3">
        <v>2011.14</v>
      </c>
      <c r="S1402" s="3">
        <f>SUM(Table1[[#This Row],[Product_Cost]:[Other_Cost]])</f>
        <v>74292.009999999995</v>
      </c>
      <c r="T1402" s="3">
        <f>Table1[[#This Row],[Net_Sales]]-Table1[[#This Row],[Product_Cost]]</f>
        <v>60035.114105159053</v>
      </c>
      <c r="U1402" s="3">
        <f>Table1[[#This Row],[Net_Sales]]-Table1[[#This Row],[Total_Cost]]</f>
        <v>45550.804105159055</v>
      </c>
      <c r="V1402" s="4">
        <f>Table1[[#This Row],[Net_Profit]]/Table1[[#This Row],[Net_Sales]]</f>
        <v>0.3800879046881307</v>
      </c>
      <c r="W1402" t="s">
        <v>33</v>
      </c>
      <c r="X1402" t="s">
        <v>1413</v>
      </c>
      <c r="Y1402">
        <v>12</v>
      </c>
      <c r="Z1402" t="str">
        <f>IF(Table1[[#This Row],[Month_No]]&lt;=6, "H1","H2")</f>
        <v>H2</v>
      </c>
    </row>
    <row r="1403" spans="1:26" x14ac:dyDescent="0.25">
      <c r="A1403" s="2">
        <v>46011</v>
      </c>
      <c r="B1403" t="s">
        <v>1487</v>
      </c>
      <c r="C1403" t="s">
        <v>27</v>
      </c>
      <c r="D1403" t="s">
        <v>183</v>
      </c>
      <c r="E1403" t="s">
        <v>38</v>
      </c>
      <c r="F1403" t="s">
        <v>52</v>
      </c>
      <c r="G1403" t="s">
        <v>58</v>
      </c>
      <c r="H1403" t="s">
        <v>47</v>
      </c>
      <c r="I1403">
        <v>46.009870809885989</v>
      </c>
      <c r="J1403" s="3">
        <v>7362.92</v>
      </c>
      <c r="K1403" s="3">
        <f>Table1[[#This Row],[Quantity]]*Table1[[#This Row],[Unit_Price]]</f>
        <v>338766.99798352574</v>
      </c>
      <c r="L1403" s="3">
        <v>16686.810000000001</v>
      </c>
      <c r="M1403" s="3">
        <f>Table1[[#This Row],[Gross_Sales]]-Table1[[#This Row],[Discount]]</f>
        <v>322080.18798352574</v>
      </c>
      <c r="N1403" s="3">
        <v>169181.73</v>
      </c>
      <c r="O1403" s="3">
        <v>4604.6899999999996</v>
      </c>
      <c r="P1403" s="3">
        <v>18277.71</v>
      </c>
      <c r="Q1403" s="3">
        <v>8561.8799999999992</v>
      </c>
      <c r="R1403" s="3">
        <v>5783.77</v>
      </c>
      <c r="S1403" s="3">
        <f>SUM(Table1[[#This Row],[Product_Cost]:[Other_Cost]])</f>
        <v>206409.78</v>
      </c>
      <c r="T1403" s="3">
        <f>Table1[[#This Row],[Net_Sales]]-Table1[[#This Row],[Product_Cost]]</f>
        <v>152898.45798352573</v>
      </c>
      <c r="U1403" s="3">
        <f>Table1[[#This Row],[Net_Sales]]-Table1[[#This Row],[Total_Cost]]</f>
        <v>115670.40798352574</v>
      </c>
      <c r="V1403" s="4">
        <f>Table1[[#This Row],[Net_Profit]]/Table1[[#This Row],[Net_Sales]]</f>
        <v>0.35913543365617456</v>
      </c>
      <c r="W1403" t="s">
        <v>33</v>
      </c>
      <c r="X1403" t="s">
        <v>1413</v>
      </c>
      <c r="Y1403">
        <v>12</v>
      </c>
      <c r="Z1403" t="str">
        <f>IF(Table1[[#This Row],[Month_No]]&lt;=6, "H1","H2")</f>
        <v>H2</v>
      </c>
    </row>
    <row r="1404" spans="1:26" x14ac:dyDescent="0.25">
      <c r="A1404" s="2">
        <v>46011</v>
      </c>
      <c r="B1404" t="s">
        <v>1488</v>
      </c>
      <c r="C1404" t="s">
        <v>78</v>
      </c>
      <c r="D1404" t="s">
        <v>100</v>
      </c>
      <c r="E1404" t="s">
        <v>75</v>
      </c>
      <c r="F1404" t="s">
        <v>52</v>
      </c>
      <c r="G1404" t="s">
        <v>86</v>
      </c>
      <c r="H1404" t="s">
        <v>41</v>
      </c>
      <c r="I1404">
        <v>39.662323264605817</v>
      </c>
      <c r="J1404" s="3">
        <v>7710.06</v>
      </c>
      <c r="K1404" s="3">
        <f>Table1[[#This Row],[Quantity]]*Table1[[#This Row],[Unit_Price]]</f>
        <v>305798.89210950676</v>
      </c>
      <c r="L1404" s="3">
        <v>15259.07</v>
      </c>
      <c r="M1404" s="3">
        <f>Table1[[#This Row],[Gross_Sales]]-Table1[[#This Row],[Discount]]</f>
        <v>290539.82210950676</v>
      </c>
      <c r="N1404" s="3">
        <v>157606.71</v>
      </c>
      <c r="O1404" s="3">
        <v>5879.81</v>
      </c>
      <c r="P1404" s="3">
        <v>15596.83</v>
      </c>
      <c r="Q1404" s="3">
        <v>6932.04</v>
      </c>
      <c r="R1404" s="3">
        <v>3539.7</v>
      </c>
      <c r="S1404" s="3">
        <f>SUM(Table1[[#This Row],[Product_Cost]:[Other_Cost]])</f>
        <v>189555.09</v>
      </c>
      <c r="T1404" s="3">
        <f>Table1[[#This Row],[Net_Sales]]-Table1[[#This Row],[Product_Cost]]</f>
        <v>132933.11210950676</v>
      </c>
      <c r="U1404" s="3">
        <f>Table1[[#This Row],[Net_Sales]]-Table1[[#This Row],[Total_Cost]]</f>
        <v>100984.73210950676</v>
      </c>
      <c r="V1404" s="4">
        <f>Table1[[#This Row],[Net_Profit]]/Table1[[#This Row],[Net_Sales]]</f>
        <v>0.3475762164934651</v>
      </c>
      <c r="W1404" t="s">
        <v>33</v>
      </c>
      <c r="X1404" t="s">
        <v>1413</v>
      </c>
      <c r="Y1404">
        <v>12</v>
      </c>
      <c r="Z1404" t="str">
        <f>IF(Table1[[#This Row],[Month_No]]&lt;=6, "H1","H2")</f>
        <v>H2</v>
      </c>
    </row>
    <row r="1405" spans="1:26" x14ac:dyDescent="0.25">
      <c r="A1405" s="2">
        <v>46011</v>
      </c>
      <c r="B1405" t="s">
        <v>1489</v>
      </c>
      <c r="C1405" t="s">
        <v>107</v>
      </c>
      <c r="D1405" t="s">
        <v>44</v>
      </c>
      <c r="E1405" t="s">
        <v>45</v>
      </c>
      <c r="F1405" t="s">
        <v>52</v>
      </c>
      <c r="G1405" t="s">
        <v>71</v>
      </c>
      <c r="H1405" t="s">
        <v>41</v>
      </c>
      <c r="I1405">
        <v>48.088707220462467</v>
      </c>
      <c r="J1405" s="3">
        <v>4936.58</v>
      </c>
      <c r="K1405" s="3">
        <f>Table1[[#This Row],[Quantity]]*Table1[[#This Row],[Unit_Price]]</f>
        <v>237393.7502903906</v>
      </c>
      <c r="L1405" s="3">
        <v>10500.94</v>
      </c>
      <c r="M1405" s="3">
        <f>Table1[[#This Row],[Gross_Sales]]-Table1[[#This Row],[Discount]]</f>
        <v>226892.8102903906</v>
      </c>
      <c r="N1405" s="3">
        <v>148633.41</v>
      </c>
      <c r="O1405" s="3">
        <v>3907.41</v>
      </c>
      <c r="P1405" s="3">
        <v>12963.17</v>
      </c>
      <c r="Q1405" s="3">
        <v>7012.49</v>
      </c>
      <c r="R1405" s="3">
        <v>4069.42</v>
      </c>
      <c r="S1405" s="3">
        <f>SUM(Table1[[#This Row],[Product_Cost]:[Other_Cost]])</f>
        <v>176585.90000000002</v>
      </c>
      <c r="T1405" s="3">
        <f>Table1[[#This Row],[Net_Sales]]-Table1[[#This Row],[Product_Cost]]</f>
        <v>78259.400290390593</v>
      </c>
      <c r="U1405" s="3">
        <f>Table1[[#This Row],[Net_Sales]]-Table1[[#This Row],[Total_Cost]]</f>
        <v>50306.910290390573</v>
      </c>
      <c r="V1405" s="4">
        <f>Table1[[#This Row],[Net_Profit]]/Table1[[#This Row],[Net_Sales]]</f>
        <v>0.22172104186996877</v>
      </c>
      <c r="W1405" t="s">
        <v>33</v>
      </c>
      <c r="X1405" t="s">
        <v>1413</v>
      </c>
      <c r="Y1405">
        <v>12</v>
      </c>
      <c r="Z1405" t="str">
        <f>IF(Table1[[#This Row],[Month_No]]&lt;=6, "H1","H2")</f>
        <v>H2</v>
      </c>
    </row>
    <row r="1406" spans="1:26" x14ac:dyDescent="0.25">
      <c r="A1406" s="2">
        <v>46011</v>
      </c>
      <c r="B1406" t="s">
        <v>1490</v>
      </c>
      <c r="C1406" t="s">
        <v>55</v>
      </c>
      <c r="D1406" t="s">
        <v>81</v>
      </c>
      <c r="E1406" t="s">
        <v>45</v>
      </c>
      <c r="F1406" t="s">
        <v>52</v>
      </c>
      <c r="G1406" t="s">
        <v>61</v>
      </c>
      <c r="H1406" t="s">
        <v>59</v>
      </c>
      <c r="I1406">
        <v>46.95365344175466</v>
      </c>
      <c r="J1406" s="3">
        <v>7040.46</v>
      </c>
      <c r="K1406" s="3">
        <f>Table1[[#This Row],[Quantity]]*Table1[[#This Row],[Unit_Price]]</f>
        <v>330575.31891053601</v>
      </c>
      <c r="L1406" s="3">
        <v>9137.59</v>
      </c>
      <c r="M1406" s="3">
        <f>Table1[[#This Row],[Gross_Sales]]-Table1[[#This Row],[Discount]]</f>
        <v>321437.72891053598</v>
      </c>
      <c r="N1406" s="3">
        <v>163314.88</v>
      </c>
      <c r="O1406" s="3">
        <v>5184.8100000000004</v>
      </c>
      <c r="P1406" s="3">
        <v>17777.66</v>
      </c>
      <c r="Q1406" s="3">
        <v>8180.37</v>
      </c>
      <c r="R1406" s="3">
        <v>6540.34</v>
      </c>
      <c r="S1406" s="3">
        <f>SUM(Table1[[#This Row],[Product_Cost]:[Other_Cost]])</f>
        <v>200998.06</v>
      </c>
      <c r="T1406" s="3">
        <f>Table1[[#This Row],[Net_Sales]]-Table1[[#This Row],[Product_Cost]]</f>
        <v>158122.84891053598</v>
      </c>
      <c r="U1406" s="3">
        <f>Table1[[#This Row],[Net_Sales]]-Table1[[#This Row],[Total_Cost]]</f>
        <v>120439.66891053598</v>
      </c>
      <c r="V1406" s="4">
        <f>Table1[[#This Row],[Net_Profit]]/Table1[[#This Row],[Net_Sales]]</f>
        <v>0.37469051725429936</v>
      </c>
      <c r="W1406" t="s">
        <v>72</v>
      </c>
      <c r="X1406" t="s">
        <v>1413</v>
      </c>
      <c r="Y1406">
        <v>12</v>
      </c>
      <c r="Z1406" t="str">
        <f>IF(Table1[[#This Row],[Month_No]]&lt;=6, "H1","H2")</f>
        <v>H2</v>
      </c>
    </row>
    <row r="1407" spans="1:26" x14ac:dyDescent="0.25">
      <c r="A1407" s="2">
        <v>46011</v>
      </c>
      <c r="B1407" t="s">
        <v>1491</v>
      </c>
      <c r="C1407" t="s">
        <v>36</v>
      </c>
      <c r="D1407" t="s">
        <v>74</v>
      </c>
      <c r="E1407" t="s">
        <v>75</v>
      </c>
      <c r="F1407" t="s">
        <v>52</v>
      </c>
      <c r="G1407" t="s">
        <v>76</v>
      </c>
      <c r="H1407" t="s">
        <v>41</v>
      </c>
      <c r="I1407">
        <v>78.568170807793209</v>
      </c>
      <c r="J1407" s="3">
        <v>6124.96</v>
      </c>
      <c r="K1407" s="3">
        <f>Table1[[#This Row],[Quantity]]*Table1[[#This Row],[Unit_Price]]</f>
        <v>481226.90347090107</v>
      </c>
      <c r="L1407" s="3">
        <v>20741.79</v>
      </c>
      <c r="M1407" s="3">
        <f>Table1[[#This Row],[Gross_Sales]]-Table1[[#This Row],[Discount]]</f>
        <v>460485.11347090109</v>
      </c>
      <c r="N1407" s="3">
        <v>317399.33</v>
      </c>
      <c r="O1407" s="3">
        <v>9882.9500000000007</v>
      </c>
      <c r="P1407" s="3">
        <v>25550.01</v>
      </c>
      <c r="Q1407" s="3">
        <v>13144.25</v>
      </c>
      <c r="R1407" s="3">
        <v>7166.26</v>
      </c>
      <c r="S1407" s="3">
        <f>SUM(Table1[[#This Row],[Product_Cost]:[Other_Cost]])</f>
        <v>373142.80000000005</v>
      </c>
      <c r="T1407" s="3">
        <f>Table1[[#This Row],[Net_Sales]]-Table1[[#This Row],[Product_Cost]]</f>
        <v>143085.78347090108</v>
      </c>
      <c r="U1407" s="3">
        <f>Table1[[#This Row],[Net_Sales]]-Table1[[#This Row],[Total_Cost]]</f>
        <v>87342.313470901048</v>
      </c>
      <c r="V1407" s="4">
        <f>Table1[[#This Row],[Net_Profit]]/Table1[[#This Row],[Net_Sales]]</f>
        <v>0.18967456474881325</v>
      </c>
      <c r="W1407" t="s">
        <v>72</v>
      </c>
      <c r="X1407" t="s">
        <v>1413</v>
      </c>
      <c r="Y1407">
        <v>12</v>
      </c>
      <c r="Z1407" t="str">
        <f>IF(Table1[[#This Row],[Month_No]]&lt;=6, "H1","H2")</f>
        <v>H2</v>
      </c>
    </row>
    <row r="1408" spans="1:26" x14ac:dyDescent="0.25">
      <c r="A1408" s="2">
        <v>46012</v>
      </c>
      <c r="B1408" t="s">
        <v>1492</v>
      </c>
      <c r="C1408" t="s">
        <v>83</v>
      </c>
      <c r="D1408" t="s">
        <v>50</v>
      </c>
      <c r="E1408" t="s">
        <v>51</v>
      </c>
      <c r="F1408" t="s">
        <v>30</v>
      </c>
      <c r="G1408" t="s">
        <v>31</v>
      </c>
      <c r="H1408" t="s">
        <v>41</v>
      </c>
      <c r="I1408">
        <v>76.827484603156861</v>
      </c>
      <c r="J1408" s="3">
        <v>922.66</v>
      </c>
      <c r="K1408" s="3">
        <f>Table1[[#This Row],[Quantity]]*Table1[[#This Row],[Unit_Price]]</f>
        <v>70885.646943948712</v>
      </c>
      <c r="L1408" s="3">
        <v>2854.08</v>
      </c>
      <c r="M1408" s="3">
        <f>Table1[[#This Row],[Gross_Sales]]-Table1[[#This Row],[Discount]]</f>
        <v>68031.56694394871</v>
      </c>
      <c r="N1408" s="3">
        <v>40915.15</v>
      </c>
      <c r="O1408" s="3">
        <v>1559.7</v>
      </c>
      <c r="P1408" s="3">
        <v>3889.26</v>
      </c>
      <c r="Q1408" s="3">
        <v>1229.77</v>
      </c>
      <c r="R1408" s="3">
        <v>927.28</v>
      </c>
      <c r="S1408" s="3">
        <f>SUM(Table1[[#This Row],[Product_Cost]:[Other_Cost]])</f>
        <v>48521.159999999996</v>
      </c>
      <c r="T1408" s="3">
        <f>Table1[[#This Row],[Net_Sales]]-Table1[[#This Row],[Product_Cost]]</f>
        <v>27116.416943948709</v>
      </c>
      <c r="U1408" s="3">
        <f>Table1[[#This Row],[Net_Sales]]-Table1[[#This Row],[Total_Cost]]</f>
        <v>19510.406943948714</v>
      </c>
      <c r="V1408" s="4">
        <f>Table1[[#This Row],[Net_Profit]]/Table1[[#This Row],[Net_Sales]]</f>
        <v>0.2867846180880026</v>
      </c>
      <c r="W1408" t="s">
        <v>33</v>
      </c>
      <c r="X1408" t="s">
        <v>1413</v>
      </c>
      <c r="Y1408">
        <v>12</v>
      </c>
      <c r="Z1408" t="str">
        <f>IF(Table1[[#This Row],[Month_No]]&lt;=6, "H1","H2")</f>
        <v>H2</v>
      </c>
    </row>
    <row r="1409" spans="1:26" x14ac:dyDescent="0.25">
      <c r="A1409" s="2">
        <v>46013</v>
      </c>
      <c r="B1409" t="s">
        <v>1493</v>
      </c>
      <c r="C1409" t="s">
        <v>107</v>
      </c>
      <c r="D1409" t="s">
        <v>81</v>
      </c>
      <c r="E1409" t="s">
        <v>45</v>
      </c>
      <c r="F1409" t="s">
        <v>39</v>
      </c>
      <c r="G1409" t="s">
        <v>76</v>
      </c>
      <c r="H1409" t="s">
        <v>41</v>
      </c>
      <c r="I1409">
        <v>26.649356776232981</v>
      </c>
      <c r="J1409" s="3">
        <v>7407.81</v>
      </c>
      <c r="K1409" s="3">
        <f>Table1[[#This Row],[Quantity]]*Table1[[#This Row],[Unit_Price]]</f>
        <v>197413.37162054644</v>
      </c>
      <c r="L1409" s="3">
        <v>7858.04</v>
      </c>
      <c r="M1409" s="3">
        <f>Table1[[#This Row],[Gross_Sales]]-Table1[[#This Row],[Discount]]</f>
        <v>189555.33162054644</v>
      </c>
      <c r="N1409" s="3">
        <v>99878.37</v>
      </c>
      <c r="O1409" s="3">
        <v>5567.66</v>
      </c>
      <c r="P1409" s="3">
        <v>9538.93</v>
      </c>
      <c r="Q1409" s="3">
        <v>5230.8999999999996</v>
      </c>
      <c r="R1409" s="3">
        <v>2754.12</v>
      </c>
      <c r="S1409" s="3">
        <f>SUM(Table1[[#This Row],[Product_Cost]:[Other_Cost]])</f>
        <v>122969.97999999998</v>
      </c>
      <c r="T1409" s="3">
        <f>Table1[[#This Row],[Net_Sales]]-Table1[[#This Row],[Product_Cost]]</f>
        <v>89676.961620546441</v>
      </c>
      <c r="U1409" s="3">
        <f>Table1[[#This Row],[Net_Sales]]-Table1[[#This Row],[Total_Cost]]</f>
        <v>66585.351620546455</v>
      </c>
      <c r="V1409" s="4">
        <f>Table1[[#This Row],[Net_Profit]]/Table1[[#This Row],[Net_Sales]]</f>
        <v>0.35127132036485054</v>
      </c>
      <c r="W1409" t="s">
        <v>33</v>
      </c>
      <c r="X1409" t="s">
        <v>1413</v>
      </c>
      <c r="Y1409">
        <v>12</v>
      </c>
      <c r="Z1409" t="str">
        <f>IF(Table1[[#This Row],[Month_No]]&lt;=6, "H1","H2")</f>
        <v>H2</v>
      </c>
    </row>
    <row r="1410" spans="1:26" x14ac:dyDescent="0.25">
      <c r="A1410" s="2">
        <v>46013</v>
      </c>
      <c r="B1410" t="s">
        <v>1494</v>
      </c>
      <c r="C1410" t="s">
        <v>83</v>
      </c>
      <c r="D1410" t="s">
        <v>81</v>
      </c>
      <c r="E1410" t="s">
        <v>45</v>
      </c>
      <c r="F1410" t="s">
        <v>52</v>
      </c>
      <c r="G1410" t="s">
        <v>31</v>
      </c>
      <c r="H1410" t="s">
        <v>59</v>
      </c>
      <c r="I1410">
        <v>63.579223147905267</v>
      </c>
      <c r="J1410" s="3">
        <v>7309.3</v>
      </c>
      <c r="K1410" s="3">
        <f>Table1[[#This Row],[Quantity]]*Table1[[#This Row],[Unit_Price]]</f>
        <v>464719.61575498397</v>
      </c>
      <c r="L1410" s="3">
        <v>13365.79</v>
      </c>
      <c r="M1410" s="3">
        <f>Table1[[#This Row],[Gross_Sales]]-Table1[[#This Row],[Discount]]</f>
        <v>451353.82575498399</v>
      </c>
      <c r="N1410" s="3">
        <v>239693.61</v>
      </c>
      <c r="O1410" s="3">
        <v>8203.27</v>
      </c>
      <c r="P1410" s="3">
        <v>22024.639999999999</v>
      </c>
      <c r="Q1410" s="3">
        <v>12777.42</v>
      </c>
      <c r="R1410" s="3">
        <v>7288.11</v>
      </c>
      <c r="S1410" s="3">
        <f>SUM(Table1[[#This Row],[Product_Cost]:[Other_Cost]])</f>
        <v>289987.04999999993</v>
      </c>
      <c r="T1410" s="3">
        <f>Table1[[#This Row],[Net_Sales]]-Table1[[#This Row],[Product_Cost]]</f>
        <v>211660.215754984</v>
      </c>
      <c r="U1410" s="3">
        <f>Table1[[#This Row],[Net_Sales]]-Table1[[#This Row],[Total_Cost]]</f>
        <v>161366.77575498406</v>
      </c>
      <c r="V1410" s="4">
        <f>Table1[[#This Row],[Net_Profit]]/Table1[[#This Row],[Net_Sales]]</f>
        <v>0.35751724378333177</v>
      </c>
      <c r="W1410" t="s">
        <v>72</v>
      </c>
      <c r="X1410" t="s">
        <v>1413</v>
      </c>
      <c r="Y1410">
        <v>12</v>
      </c>
      <c r="Z1410" t="str">
        <f>IF(Table1[[#This Row],[Month_No]]&lt;=6, "H1","H2")</f>
        <v>H2</v>
      </c>
    </row>
    <row r="1411" spans="1:26" x14ac:dyDescent="0.25">
      <c r="A1411" s="2">
        <v>46013</v>
      </c>
      <c r="B1411" t="s">
        <v>1495</v>
      </c>
      <c r="C1411" t="s">
        <v>63</v>
      </c>
      <c r="D1411" t="s">
        <v>28</v>
      </c>
      <c r="E1411" t="s">
        <v>29</v>
      </c>
      <c r="F1411" t="s">
        <v>52</v>
      </c>
      <c r="G1411" t="s">
        <v>40</v>
      </c>
      <c r="H1411" t="s">
        <v>41</v>
      </c>
      <c r="I1411">
        <v>77.691367830564104</v>
      </c>
      <c r="J1411" s="3">
        <v>1312.39</v>
      </c>
      <c r="K1411" s="3">
        <f>Table1[[#This Row],[Quantity]]*Table1[[#This Row],[Unit_Price]]</f>
        <v>101961.37422715404</v>
      </c>
      <c r="L1411" s="3">
        <v>4129.43</v>
      </c>
      <c r="M1411" s="3">
        <f>Table1[[#This Row],[Gross_Sales]]-Table1[[#This Row],[Discount]]</f>
        <v>97831.944227154047</v>
      </c>
      <c r="N1411" s="3">
        <v>52058.69</v>
      </c>
      <c r="O1411" s="3">
        <v>1715.98</v>
      </c>
      <c r="P1411" s="3">
        <v>5628.87</v>
      </c>
      <c r="Q1411" s="3">
        <v>2898.39</v>
      </c>
      <c r="R1411" s="3">
        <v>1590.78</v>
      </c>
      <c r="S1411" s="3">
        <f>SUM(Table1[[#This Row],[Product_Cost]:[Other_Cost]])</f>
        <v>63892.710000000006</v>
      </c>
      <c r="T1411" s="3">
        <f>Table1[[#This Row],[Net_Sales]]-Table1[[#This Row],[Product_Cost]]</f>
        <v>45773.254227154044</v>
      </c>
      <c r="U1411" s="3">
        <f>Table1[[#This Row],[Net_Sales]]-Table1[[#This Row],[Total_Cost]]</f>
        <v>33939.23422715404</v>
      </c>
      <c r="V1411" s="4">
        <f>Table1[[#This Row],[Net_Profit]]/Table1[[#This Row],[Net_Sales]]</f>
        <v>0.34691362310403651</v>
      </c>
      <c r="W1411" t="s">
        <v>33</v>
      </c>
      <c r="X1411" t="s">
        <v>1413</v>
      </c>
      <c r="Y1411">
        <v>12</v>
      </c>
      <c r="Z1411" t="str">
        <f>IF(Table1[[#This Row],[Month_No]]&lt;=6, "H1","H2")</f>
        <v>H2</v>
      </c>
    </row>
    <row r="1412" spans="1:26" x14ac:dyDescent="0.25">
      <c r="A1412" s="2">
        <v>46013</v>
      </c>
      <c r="B1412" t="s">
        <v>1496</v>
      </c>
      <c r="C1412" t="s">
        <v>49</v>
      </c>
      <c r="D1412" t="s">
        <v>28</v>
      </c>
      <c r="E1412" t="s">
        <v>29</v>
      </c>
      <c r="F1412" t="s">
        <v>52</v>
      </c>
      <c r="G1412" t="s">
        <v>61</v>
      </c>
      <c r="H1412" t="s">
        <v>59</v>
      </c>
      <c r="I1412">
        <v>91.99153496431525</v>
      </c>
      <c r="J1412" s="3">
        <v>1263.3800000000001</v>
      </c>
      <c r="K1412" s="3">
        <f>Table1[[#This Row],[Quantity]]*Table1[[#This Row],[Unit_Price]]</f>
        <v>116220.26544321662</v>
      </c>
      <c r="L1412" s="3">
        <v>4162.72</v>
      </c>
      <c r="M1412" s="3">
        <f>Table1[[#This Row],[Gross_Sales]]-Table1[[#This Row],[Discount]]</f>
        <v>112057.54544321662</v>
      </c>
      <c r="N1412" s="3">
        <v>57548.02</v>
      </c>
      <c r="O1412" s="3">
        <v>2077.25</v>
      </c>
      <c r="P1412" s="3">
        <v>5382.51</v>
      </c>
      <c r="Q1412" s="3">
        <v>3409.58</v>
      </c>
      <c r="R1412" s="3">
        <v>1884.96</v>
      </c>
      <c r="S1412" s="3">
        <f>SUM(Table1[[#This Row],[Product_Cost]:[Other_Cost]])</f>
        <v>70302.320000000007</v>
      </c>
      <c r="T1412" s="3">
        <f>Table1[[#This Row],[Net_Sales]]-Table1[[#This Row],[Product_Cost]]</f>
        <v>54509.525443216618</v>
      </c>
      <c r="U1412" s="3">
        <f>Table1[[#This Row],[Net_Sales]]-Table1[[#This Row],[Total_Cost]]</f>
        <v>41755.225443216608</v>
      </c>
      <c r="V1412" s="4">
        <f>Table1[[#This Row],[Net_Profit]]/Table1[[#This Row],[Net_Sales]]</f>
        <v>0.37262305967941628</v>
      </c>
      <c r="W1412" t="s">
        <v>72</v>
      </c>
      <c r="X1412" t="s">
        <v>1413</v>
      </c>
      <c r="Y1412">
        <v>12</v>
      </c>
      <c r="Z1412" t="str">
        <f>IF(Table1[[#This Row],[Month_No]]&lt;=6, "H1","H2")</f>
        <v>H2</v>
      </c>
    </row>
    <row r="1413" spans="1:26" x14ac:dyDescent="0.25">
      <c r="A1413" s="2">
        <v>46013</v>
      </c>
      <c r="B1413" t="s">
        <v>1497</v>
      </c>
      <c r="C1413" t="s">
        <v>36</v>
      </c>
      <c r="D1413" t="s">
        <v>74</v>
      </c>
      <c r="E1413" t="s">
        <v>75</v>
      </c>
      <c r="F1413" t="s">
        <v>30</v>
      </c>
      <c r="G1413" t="s">
        <v>40</v>
      </c>
      <c r="H1413" t="s">
        <v>47</v>
      </c>
      <c r="I1413">
        <v>61.959936601978598</v>
      </c>
      <c r="J1413" s="3">
        <v>5909</v>
      </c>
      <c r="K1413" s="3">
        <f>Table1[[#This Row],[Quantity]]*Table1[[#This Row],[Unit_Price]]</f>
        <v>366121.26538109151</v>
      </c>
      <c r="L1413" s="3">
        <v>9680.33</v>
      </c>
      <c r="M1413" s="3">
        <f>Table1[[#This Row],[Gross_Sales]]-Table1[[#This Row],[Discount]]</f>
        <v>356440.93538109149</v>
      </c>
      <c r="N1413" s="3">
        <v>246106.78</v>
      </c>
      <c r="O1413" s="3">
        <v>8932.49</v>
      </c>
      <c r="P1413" s="3">
        <v>21363.279999999999</v>
      </c>
      <c r="Q1413" s="3">
        <v>7336.18</v>
      </c>
      <c r="R1413" s="3">
        <v>5715.84</v>
      </c>
      <c r="S1413" s="3">
        <f>SUM(Table1[[#This Row],[Product_Cost]:[Other_Cost]])</f>
        <v>289454.57</v>
      </c>
      <c r="T1413" s="3">
        <f>Table1[[#This Row],[Net_Sales]]-Table1[[#This Row],[Product_Cost]]</f>
        <v>110334.15538109149</v>
      </c>
      <c r="U1413" s="3">
        <f>Table1[[#This Row],[Net_Sales]]-Table1[[#This Row],[Total_Cost]]</f>
        <v>66986.365381091484</v>
      </c>
      <c r="V1413" s="4">
        <f>Table1[[#This Row],[Net_Profit]]/Table1[[#This Row],[Net_Sales]]</f>
        <v>0.18793117942380133</v>
      </c>
      <c r="W1413" t="s">
        <v>33</v>
      </c>
      <c r="X1413" t="s">
        <v>1413</v>
      </c>
      <c r="Y1413">
        <v>12</v>
      </c>
      <c r="Z1413" t="str">
        <f>IF(Table1[[#This Row],[Month_No]]&lt;=6, "H1","H2")</f>
        <v>H2</v>
      </c>
    </row>
    <row r="1414" spans="1:26" x14ac:dyDescent="0.25">
      <c r="A1414" s="2">
        <v>46013</v>
      </c>
      <c r="B1414" t="s">
        <v>1498</v>
      </c>
      <c r="C1414" t="s">
        <v>55</v>
      </c>
      <c r="D1414" t="s">
        <v>81</v>
      </c>
      <c r="E1414" t="s">
        <v>45</v>
      </c>
      <c r="F1414" t="s">
        <v>30</v>
      </c>
      <c r="G1414" t="s">
        <v>58</v>
      </c>
      <c r="H1414" t="s">
        <v>32</v>
      </c>
      <c r="I1414">
        <v>34.350073787154493</v>
      </c>
      <c r="J1414" s="3">
        <v>7305.9</v>
      </c>
      <c r="K1414" s="3">
        <f>Table1[[#This Row],[Quantity]]*Table1[[#This Row],[Unit_Price]]</f>
        <v>250958.20408157201</v>
      </c>
      <c r="L1414" s="3">
        <v>13683.09</v>
      </c>
      <c r="M1414" s="3">
        <f>Table1[[#This Row],[Gross_Sales]]-Table1[[#This Row],[Discount]]</f>
        <v>237275.11408157201</v>
      </c>
      <c r="N1414" s="3">
        <v>127043.38</v>
      </c>
      <c r="O1414" s="3">
        <v>5770.65</v>
      </c>
      <c r="P1414" s="3">
        <v>13326.81</v>
      </c>
      <c r="Q1414" s="3">
        <v>5991.07</v>
      </c>
      <c r="R1414" s="3">
        <v>4750.34</v>
      </c>
      <c r="S1414" s="3">
        <f>SUM(Table1[[#This Row],[Product_Cost]:[Other_Cost]])</f>
        <v>156882.25</v>
      </c>
      <c r="T1414" s="3">
        <f>Table1[[#This Row],[Net_Sales]]-Table1[[#This Row],[Product_Cost]]</f>
        <v>110231.73408157201</v>
      </c>
      <c r="U1414" s="3">
        <f>Table1[[#This Row],[Net_Sales]]-Table1[[#This Row],[Total_Cost]]</f>
        <v>80392.864081572014</v>
      </c>
      <c r="V1414" s="4">
        <f>Table1[[#This Row],[Net_Profit]]/Table1[[#This Row],[Net_Sales]]</f>
        <v>0.33881709168174301</v>
      </c>
      <c r="W1414" t="s">
        <v>72</v>
      </c>
      <c r="X1414" t="s">
        <v>1413</v>
      </c>
      <c r="Y1414">
        <v>12</v>
      </c>
      <c r="Z1414" t="str">
        <f>IF(Table1[[#This Row],[Month_No]]&lt;=6, "H1","H2")</f>
        <v>H2</v>
      </c>
    </row>
    <row r="1415" spans="1:26" x14ac:dyDescent="0.25">
      <c r="A1415" s="2">
        <v>46013</v>
      </c>
      <c r="B1415" t="s">
        <v>1499</v>
      </c>
      <c r="C1415" t="s">
        <v>63</v>
      </c>
      <c r="D1415" t="s">
        <v>37</v>
      </c>
      <c r="E1415" t="s">
        <v>38</v>
      </c>
      <c r="F1415" t="s">
        <v>30</v>
      </c>
      <c r="G1415" t="s">
        <v>64</v>
      </c>
      <c r="H1415" t="s">
        <v>32</v>
      </c>
      <c r="I1415">
        <v>44.039095682959918</v>
      </c>
      <c r="J1415" s="3">
        <v>4913.5200000000004</v>
      </c>
      <c r="K1415" s="3">
        <f>Table1[[#This Row],[Quantity]]*Table1[[#This Row],[Unit_Price]]</f>
        <v>216386.97742013723</v>
      </c>
      <c r="L1415" s="3">
        <v>12775.25</v>
      </c>
      <c r="M1415" s="3">
        <f>Table1[[#This Row],[Gross_Sales]]-Table1[[#This Row],[Discount]]</f>
        <v>203611.72742013723</v>
      </c>
      <c r="N1415" s="3">
        <v>131724.73000000001</v>
      </c>
      <c r="O1415" s="3">
        <v>5472.36</v>
      </c>
      <c r="P1415" s="3">
        <v>12348.79</v>
      </c>
      <c r="Q1415" s="3">
        <v>5251.25</v>
      </c>
      <c r="R1415" s="3">
        <v>3196.83</v>
      </c>
      <c r="S1415" s="3">
        <f>SUM(Table1[[#This Row],[Product_Cost]:[Other_Cost]])</f>
        <v>157993.96</v>
      </c>
      <c r="T1415" s="3">
        <f>Table1[[#This Row],[Net_Sales]]-Table1[[#This Row],[Product_Cost]]</f>
        <v>71886.997420137224</v>
      </c>
      <c r="U1415" s="3">
        <f>Table1[[#This Row],[Net_Sales]]-Table1[[#This Row],[Total_Cost]]</f>
        <v>45617.767420137243</v>
      </c>
      <c r="V1415" s="4">
        <f>Table1[[#This Row],[Net_Profit]]/Table1[[#This Row],[Net_Sales]]</f>
        <v>0.22404292718370031</v>
      </c>
      <c r="W1415" t="s">
        <v>33</v>
      </c>
      <c r="X1415" t="s">
        <v>1413</v>
      </c>
      <c r="Y1415">
        <v>12</v>
      </c>
      <c r="Z1415" t="str">
        <f>IF(Table1[[#This Row],[Month_No]]&lt;=6, "H1","H2")</f>
        <v>H2</v>
      </c>
    </row>
    <row r="1416" spans="1:26" x14ac:dyDescent="0.25">
      <c r="A1416" s="2">
        <v>46014</v>
      </c>
      <c r="B1416" t="s">
        <v>1500</v>
      </c>
      <c r="C1416" t="s">
        <v>98</v>
      </c>
      <c r="D1416" t="s">
        <v>74</v>
      </c>
      <c r="E1416" t="s">
        <v>75</v>
      </c>
      <c r="F1416" t="s">
        <v>52</v>
      </c>
      <c r="G1416" t="s">
        <v>61</v>
      </c>
      <c r="H1416" t="s">
        <v>59</v>
      </c>
      <c r="I1416">
        <v>43.132066471460803</v>
      </c>
      <c r="J1416" s="3">
        <v>6049.99</v>
      </c>
      <c r="K1416" s="3">
        <f>Table1[[#This Row],[Quantity]]*Table1[[#This Row],[Unit_Price]]</f>
        <v>260948.57083167313</v>
      </c>
      <c r="L1416" s="3">
        <v>11546.37</v>
      </c>
      <c r="M1416" s="3">
        <f>Table1[[#This Row],[Gross_Sales]]-Table1[[#This Row],[Discount]]</f>
        <v>249402.20083167314</v>
      </c>
      <c r="N1416" s="3">
        <v>163120.07</v>
      </c>
      <c r="O1416" s="3">
        <v>4571.3900000000003</v>
      </c>
      <c r="P1416" s="3">
        <v>13200.42</v>
      </c>
      <c r="Q1416" s="3">
        <v>7543.56</v>
      </c>
      <c r="R1416" s="3">
        <v>4743.21</v>
      </c>
      <c r="S1416" s="3">
        <f>SUM(Table1[[#This Row],[Product_Cost]:[Other_Cost]])</f>
        <v>193178.65000000002</v>
      </c>
      <c r="T1416" s="3">
        <f>Table1[[#This Row],[Net_Sales]]-Table1[[#This Row],[Product_Cost]]</f>
        <v>86282.13083167313</v>
      </c>
      <c r="U1416" s="3">
        <f>Table1[[#This Row],[Net_Sales]]-Table1[[#This Row],[Total_Cost]]</f>
        <v>56223.550831673114</v>
      </c>
      <c r="V1416" s="4">
        <f>Table1[[#This Row],[Net_Profit]]/Table1[[#This Row],[Net_Sales]]</f>
        <v>0.22543325858467297</v>
      </c>
      <c r="W1416" t="s">
        <v>33</v>
      </c>
      <c r="X1416" t="s">
        <v>1413</v>
      </c>
      <c r="Y1416">
        <v>12</v>
      </c>
      <c r="Z1416" t="str">
        <f>IF(Table1[[#This Row],[Month_No]]&lt;=6, "H1","H2")</f>
        <v>H2</v>
      </c>
    </row>
    <row r="1417" spans="1:26" x14ac:dyDescent="0.25">
      <c r="A1417" s="2">
        <v>46014</v>
      </c>
      <c r="B1417" t="s">
        <v>1501</v>
      </c>
      <c r="C1417" t="s">
        <v>27</v>
      </c>
      <c r="D1417" t="s">
        <v>66</v>
      </c>
      <c r="E1417" t="s">
        <v>51</v>
      </c>
      <c r="F1417" t="s">
        <v>46</v>
      </c>
      <c r="G1417" t="s">
        <v>76</v>
      </c>
      <c r="H1417" t="s">
        <v>41</v>
      </c>
      <c r="I1417">
        <v>72.825437299645145</v>
      </c>
      <c r="J1417" s="3">
        <v>1574.77</v>
      </c>
      <c r="K1417" s="3">
        <f>Table1[[#This Row],[Quantity]]*Table1[[#This Row],[Unit_Price]]</f>
        <v>114683.31389636219</v>
      </c>
      <c r="L1417" s="3">
        <v>3754.24</v>
      </c>
      <c r="M1417" s="3">
        <f>Table1[[#This Row],[Gross_Sales]]-Table1[[#This Row],[Discount]]</f>
        <v>110929.07389636218</v>
      </c>
      <c r="N1417" s="3">
        <v>52429.48</v>
      </c>
      <c r="O1417" s="3">
        <v>2606.75</v>
      </c>
      <c r="P1417" s="3">
        <v>6306.73</v>
      </c>
      <c r="Q1417" s="3">
        <v>2056.69</v>
      </c>
      <c r="R1417" s="3">
        <v>1973.54</v>
      </c>
      <c r="S1417" s="3">
        <f>SUM(Table1[[#This Row],[Product_Cost]:[Other_Cost]])</f>
        <v>65373.19000000001</v>
      </c>
      <c r="T1417" s="3">
        <f>Table1[[#This Row],[Net_Sales]]-Table1[[#This Row],[Product_Cost]]</f>
        <v>58499.593896362181</v>
      </c>
      <c r="U1417" s="3">
        <f>Table1[[#This Row],[Net_Sales]]-Table1[[#This Row],[Total_Cost]]</f>
        <v>45555.883896362175</v>
      </c>
      <c r="V1417" s="4">
        <f>Table1[[#This Row],[Net_Profit]]/Table1[[#This Row],[Net_Sales]]</f>
        <v>0.41067577954291512</v>
      </c>
      <c r="W1417" t="s">
        <v>33</v>
      </c>
      <c r="X1417" t="s">
        <v>1413</v>
      </c>
      <c r="Y1417">
        <v>12</v>
      </c>
      <c r="Z1417" t="str">
        <f>IF(Table1[[#This Row],[Month_No]]&lt;=6, "H1","H2")</f>
        <v>H2</v>
      </c>
    </row>
    <row r="1418" spans="1:26" x14ac:dyDescent="0.25">
      <c r="A1418" s="2">
        <v>46014</v>
      </c>
      <c r="B1418" t="s">
        <v>1502</v>
      </c>
      <c r="C1418" t="s">
        <v>83</v>
      </c>
      <c r="D1418" t="s">
        <v>66</v>
      </c>
      <c r="E1418" t="s">
        <v>51</v>
      </c>
      <c r="F1418" t="s">
        <v>30</v>
      </c>
      <c r="G1418" t="s">
        <v>71</v>
      </c>
      <c r="H1418" t="s">
        <v>59</v>
      </c>
      <c r="I1418">
        <v>26.20153122613689</v>
      </c>
      <c r="J1418" s="3">
        <v>1640.28</v>
      </c>
      <c r="K1418" s="3">
        <f>Table1[[#This Row],[Quantity]]*Table1[[#This Row],[Unit_Price]]</f>
        <v>42977.847639607819</v>
      </c>
      <c r="L1418" s="3">
        <v>1757.82</v>
      </c>
      <c r="M1418" s="3">
        <f>Table1[[#This Row],[Gross_Sales]]-Table1[[#This Row],[Discount]]</f>
        <v>41220.027639607819</v>
      </c>
      <c r="N1418" s="3">
        <v>21298.91</v>
      </c>
      <c r="O1418" s="3">
        <v>1103.57</v>
      </c>
      <c r="P1418" s="3">
        <v>2339.66</v>
      </c>
      <c r="Q1418" s="3">
        <v>1054.27</v>
      </c>
      <c r="R1418" s="3">
        <v>836.34</v>
      </c>
      <c r="S1418" s="3">
        <f>SUM(Table1[[#This Row],[Product_Cost]:[Other_Cost]])</f>
        <v>26632.75</v>
      </c>
      <c r="T1418" s="3">
        <f>Table1[[#This Row],[Net_Sales]]-Table1[[#This Row],[Product_Cost]]</f>
        <v>19921.117639607819</v>
      </c>
      <c r="U1418" s="3">
        <f>Table1[[#This Row],[Net_Sales]]-Table1[[#This Row],[Total_Cost]]</f>
        <v>14587.277639607819</v>
      </c>
      <c r="V1418" s="4">
        <f>Table1[[#This Row],[Net_Profit]]/Table1[[#This Row],[Net_Sales]]</f>
        <v>0.35388810912856067</v>
      </c>
      <c r="W1418" t="s">
        <v>33</v>
      </c>
      <c r="X1418" t="s">
        <v>1413</v>
      </c>
      <c r="Y1418">
        <v>12</v>
      </c>
      <c r="Z1418" t="str">
        <f>IF(Table1[[#This Row],[Month_No]]&lt;=6, "H1","H2")</f>
        <v>H2</v>
      </c>
    </row>
    <row r="1419" spans="1:26" x14ac:dyDescent="0.25">
      <c r="A1419" s="2">
        <v>46014</v>
      </c>
      <c r="B1419" t="s">
        <v>1503</v>
      </c>
      <c r="C1419" t="s">
        <v>55</v>
      </c>
      <c r="D1419" t="s">
        <v>50</v>
      </c>
      <c r="E1419" t="s">
        <v>51</v>
      </c>
      <c r="F1419" t="s">
        <v>52</v>
      </c>
      <c r="G1419" t="s">
        <v>40</v>
      </c>
      <c r="H1419" t="s">
        <v>47</v>
      </c>
      <c r="I1419">
        <v>46.141038474732611</v>
      </c>
      <c r="J1419" s="3">
        <v>970.52</v>
      </c>
      <c r="K1419" s="3">
        <f>Table1[[#This Row],[Quantity]]*Table1[[#This Row],[Unit_Price]]</f>
        <v>44780.800660497494</v>
      </c>
      <c r="L1419" s="3">
        <v>1908.42</v>
      </c>
      <c r="M1419" s="3">
        <f>Table1[[#This Row],[Gross_Sales]]-Table1[[#This Row],[Discount]]</f>
        <v>42872.380660497496</v>
      </c>
      <c r="N1419" s="3">
        <v>25257.599999999999</v>
      </c>
      <c r="O1419" s="3">
        <v>779.32</v>
      </c>
      <c r="P1419" s="3">
        <v>2071.73</v>
      </c>
      <c r="Q1419" s="3">
        <v>1141.0899999999999</v>
      </c>
      <c r="R1419" s="3">
        <v>540.57000000000005</v>
      </c>
      <c r="S1419" s="3">
        <f>SUM(Table1[[#This Row],[Product_Cost]:[Other_Cost]])</f>
        <v>29790.309999999998</v>
      </c>
      <c r="T1419" s="3">
        <f>Table1[[#This Row],[Net_Sales]]-Table1[[#This Row],[Product_Cost]]</f>
        <v>17614.780660497498</v>
      </c>
      <c r="U1419" s="3">
        <f>Table1[[#This Row],[Net_Sales]]-Table1[[#This Row],[Total_Cost]]</f>
        <v>13082.070660497498</v>
      </c>
      <c r="V1419" s="4">
        <f>Table1[[#This Row],[Net_Profit]]/Table1[[#This Row],[Net_Sales]]</f>
        <v>0.30513982333039147</v>
      </c>
      <c r="W1419" t="s">
        <v>33</v>
      </c>
      <c r="X1419" t="s">
        <v>1413</v>
      </c>
      <c r="Y1419">
        <v>12</v>
      </c>
      <c r="Z1419" t="str">
        <f>IF(Table1[[#This Row],[Month_No]]&lt;=6, "H1","H2")</f>
        <v>H2</v>
      </c>
    </row>
    <row r="1420" spans="1:26" x14ac:dyDescent="0.25">
      <c r="A1420" s="2">
        <v>46015</v>
      </c>
      <c r="B1420" t="s">
        <v>1504</v>
      </c>
      <c r="C1420" t="s">
        <v>63</v>
      </c>
      <c r="D1420" t="s">
        <v>66</v>
      </c>
      <c r="E1420" t="s">
        <v>51</v>
      </c>
      <c r="F1420" t="s">
        <v>52</v>
      </c>
      <c r="G1420" t="s">
        <v>61</v>
      </c>
      <c r="H1420" t="s">
        <v>41</v>
      </c>
      <c r="I1420">
        <v>72.332509036388061</v>
      </c>
      <c r="J1420" s="3">
        <v>1656.95</v>
      </c>
      <c r="K1420" s="3">
        <f>Table1[[#This Row],[Quantity]]*Table1[[#This Row],[Unit_Price]]</f>
        <v>119851.3508478432</v>
      </c>
      <c r="L1420" s="3">
        <v>4672.07</v>
      </c>
      <c r="M1420" s="3">
        <f>Table1[[#This Row],[Gross_Sales]]-Table1[[#This Row],[Discount]]</f>
        <v>115179.28084784321</v>
      </c>
      <c r="N1420" s="3">
        <v>52832.14</v>
      </c>
      <c r="O1420" s="3">
        <v>1883.18</v>
      </c>
      <c r="P1420" s="3">
        <v>7002.9</v>
      </c>
      <c r="Q1420" s="3">
        <v>3307.78</v>
      </c>
      <c r="R1420" s="3">
        <v>1613.8</v>
      </c>
      <c r="S1420" s="3">
        <f>SUM(Table1[[#This Row],[Product_Cost]:[Other_Cost]])</f>
        <v>66639.8</v>
      </c>
      <c r="T1420" s="3">
        <f>Table1[[#This Row],[Net_Sales]]-Table1[[#This Row],[Product_Cost]]</f>
        <v>62347.140847843213</v>
      </c>
      <c r="U1420" s="3">
        <f>Table1[[#This Row],[Net_Sales]]-Table1[[#This Row],[Total_Cost]]</f>
        <v>48539.48084784321</v>
      </c>
      <c r="V1420" s="4">
        <f>Table1[[#This Row],[Net_Profit]]/Table1[[#This Row],[Net_Sales]]</f>
        <v>0.42142545508654422</v>
      </c>
      <c r="W1420" t="s">
        <v>33</v>
      </c>
      <c r="X1420" t="s">
        <v>1413</v>
      </c>
      <c r="Y1420">
        <v>12</v>
      </c>
      <c r="Z1420" t="str">
        <f>IF(Table1[[#This Row],[Month_No]]&lt;=6, "H1","H2")</f>
        <v>H2</v>
      </c>
    </row>
    <row r="1421" spans="1:26" x14ac:dyDescent="0.25">
      <c r="A1421" s="2">
        <v>46015</v>
      </c>
      <c r="B1421" t="s">
        <v>1505</v>
      </c>
      <c r="C1421" t="s">
        <v>107</v>
      </c>
      <c r="D1421" t="s">
        <v>74</v>
      </c>
      <c r="E1421" t="s">
        <v>75</v>
      </c>
      <c r="F1421" t="s">
        <v>52</v>
      </c>
      <c r="G1421" t="s">
        <v>58</v>
      </c>
      <c r="H1421" t="s">
        <v>59</v>
      </c>
      <c r="I1421">
        <v>29.74710871517086</v>
      </c>
      <c r="J1421" s="3">
        <v>6186.36</v>
      </c>
      <c r="K1421" s="3">
        <f>Table1[[#This Row],[Quantity]]*Table1[[#This Row],[Unit_Price]]</f>
        <v>184026.32347118438</v>
      </c>
      <c r="L1421" s="3">
        <v>5496.32</v>
      </c>
      <c r="M1421" s="3">
        <f>Table1[[#This Row],[Gross_Sales]]-Table1[[#This Row],[Discount]]</f>
        <v>178530.00347118438</v>
      </c>
      <c r="N1421" s="3">
        <v>125175.42</v>
      </c>
      <c r="O1421" s="3">
        <v>3025.56</v>
      </c>
      <c r="P1421" s="3">
        <v>8990.26</v>
      </c>
      <c r="Q1421" s="3">
        <v>4672.99</v>
      </c>
      <c r="R1421" s="3">
        <v>3401.77</v>
      </c>
      <c r="S1421" s="3">
        <f>SUM(Table1[[#This Row],[Product_Cost]:[Other_Cost]])</f>
        <v>145265.99999999997</v>
      </c>
      <c r="T1421" s="3">
        <f>Table1[[#This Row],[Net_Sales]]-Table1[[#This Row],[Product_Cost]]</f>
        <v>53354.583471184378</v>
      </c>
      <c r="U1421" s="3">
        <f>Table1[[#This Row],[Net_Sales]]-Table1[[#This Row],[Total_Cost]]</f>
        <v>33264.003471184405</v>
      </c>
      <c r="V1421" s="4">
        <f>Table1[[#This Row],[Net_Profit]]/Table1[[#This Row],[Net_Sales]]</f>
        <v>0.1863216424378403</v>
      </c>
      <c r="W1421" t="s">
        <v>33</v>
      </c>
      <c r="X1421" t="s">
        <v>1413</v>
      </c>
      <c r="Y1421">
        <v>12</v>
      </c>
      <c r="Z1421" t="str">
        <f>IF(Table1[[#This Row],[Month_No]]&lt;=6, "H1","H2")</f>
        <v>H2</v>
      </c>
    </row>
    <row r="1422" spans="1:26" x14ac:dyDescent="0.25">
      <c r="A1422" s="2">
        <v>46015</v>
      </c>
      <c r="B1422" t="s">
        <v>1506</v>
      </c>
      <c r="C1422" t="s">
        <v>107</v>
      </c>
      <c r="D1422" t="s">
        <v>50</v>
      </c>
      <c r="E1422" t="s">
        <v>51</v>
      </c>
      <c r="F1422" t="s">
        <v>52</v>
      </c>
      <c r="G1422" t="s">
        <v>40</v>
      </c>
      <c r="H1422" t="s">
        <v>59</v>
      </c>
      <c r="I1422">
        <v>75.440613452794025</v>
      </c>
      <c r="J1422" s="3">
        <v>938.36</v>
      </c>
      <c r="K1422" s="3">
        <f>Table1[[#This Row],[Quantity]]*Table1[[#This Row],[Unit_Price]]</f>
        <v>70790.454039563803</v>
      </c>
      <c r="L1422" s="3">
        <v>2890.97</v>
      </c>
      <c r="M1422" s="3">
        <f>Table1[[#This Row],[Gross_Sales]]-Table1[[#This Row],[Discount]]</f>
        <v>67899.484039563802</v>
      </c>
      <c r="N1422" s="3">
        <v>39099.769999999997</v>
      </c>
      <c r="O1422" s="3">
        <v>1138.6300000000001</v>
      </c>
      <c r="P1422" s="3">
        <v>3777.16</v>
      </c>
      <c r="Q1422" s="3">
        <v>1701.22</v>
      </c>
      <c r="R1422" s="3">
        <v>1419.21</v>
      </c>
      <c r="S1422" s="3">
        <f>SUM(Table1[[#This Row],[Product_Cost]:[Other_Cost]])</f>
        <v>47135.99</v>
      </c>
      <c r="T1422" s="3">
        <f>Table1[[#This Row],[Net_Sales]]-Table1[[#This Row],[Product_Cost]]</f>
        <v>28799.714039563805</v>
      </c>
      <c r="U1422" s="3">
        <f>Table1[[#This Row],[Net_Sales]]-Table1[[#This Row],[Total_Cost]]</f>
        <v>20763.494039563804</v>
      </c>
      <c r="V1422" s="4">
        <f>Table1[[#This Row],[Net_Profit]]/Table1[[#This Row],[Net_Sales]]</f>
        <v>0.30579752310732278</v>
      </c>
      <c r="W1422" t="s">
        <v>33</v>
      </c>
      <c r="X1422" t="s">
        <v>1413</v>
      </c>
      <c r="Y1422">
        <v>12</v>
      </c>
      <c r="Z1422" t="str">
        <f>IF(Table1[[#This Row],[Month_No]]&lt;=6, "H1","H2")</f>
        <v>H2</v>
      </c>
    </row>
    <row r="1423" spans="1:26" x14ac:dyDescent="0.25">
      <c r="A1423" s="2">
        <v>46016</v>
      </c>
      <c r="B1423" t="s">
        <v>1507</v>
      </c>
      <c r="C1423" t="s">
        <v>117</v>
      </c>
      <c r="D1423" t="s">
        <v>66</v>
      </c>
      <c r="E1423" t="s">
        <v>51</v>
      </c>
      <c r="F1423" t="s">
        <v>52</v>
      </c>
      <c r="G1423" t="s">
        <v>58</v>
      </c>
      <c r="H1423" t="s">
        <v>41</v>
      </c>
      <c r="I1423">
        <v>44.214238059993328</v>
      </c>
      <c r="J1423" s="3">
        <v>1669.43</v>
      </c>
      <c r="K1423" s="3">
        <f>Table1[[#This Row],[Quantity]]*Table1[[#This Row],[Unit_Price]]</f>
        <v>73812.575444494665</v>
      </c>
      <c r="L1423" s="3">
        <v>3010.43</v>
      </c>
      <c r="M1423" s="3">
        <f>Table1[[#This Row],[Gross_Sales]]-Table1[[#This Row],[Discount]]</f>
        <v>70802.145444494672</v>
      </c>
      <c r="N1423" s="3">
        <v>32594.93</v>
      </c>
      <c r="O1423" s="3">
        <v>1363.48</v>
      </c>
      <c r="P1423" s="3">
        <v>3605.03</v>
      </c>
      <c r="Q1423" s="3">
        <v>2163.41</v>
      </c>
      <c r="R1423" s="3">
        <v>1367.72</v>
      </c>
      <c r="S1423" s="3">
        <f>SUM(Table1[[#This Row],[Product_Cost]:[Other_Cost]])</f>
        <v>41094.570000000007</v>
      </c>
      <c r="T1423" s="3">
        <f>Table1[[#This Row],[Net_Sales]]-Table1[[#This Row],[Product_Cost]]</f>
        <v>38207.215444494672</v>
      </c>
      <c r="U1423" s="3">
        <f>Table1[[#This Row],[Net_Sales]]-Table1[[#This Row],[Total_Cost]]</f>
        <v>29707.575444494665</v>
      </c>
      <c r="V1423" s="4">
        <f>Table1[[#This Row],[Net_Profit]]/Table1[[#This Row],[Net_Sales]]</f>
        <v>0.41958580856541861</v>
      </c>
      <c r="W1423" t="s">
        <v>33</v>
      </c>
      <c r="X1423" t="s">
        <v>1413</v>
      </c>
      <c r="Y1423">
        <v>12</v>
      </c>
      <c r="Z1423" t="str">
        <f>IF(Table1[[#This Row],[Month_No]]&lt;=6, "H1","H2")</f>
        <v>H2</v>
      </c>
    </row>
    <row r="1424" spans="1:26" x14ac:dyDescent="0.25">
      <c r="A1424" s="2">
        <v>46016</v>
      </c>
      <c r="B1424" t="s">
        <v>1508</v>
      </c>
      <c r="C1424" t="s">
        <v>49</v>
      </c>
      <c r="D1424" t="s">
        <v>44</v>
      </c>
      <c r="E1424" t="s">
        <v>45</v>
      </c>
      <c r="F1424" t="s">
        <v>52</v>
      </c>
      <c r="G1424" t="s">
        <v>64</v>
      </c>
      <c r="H1424" t="s">
        <v>41</v>
      </c>
      <c r="I1424">
        <v>55.918007972691683</v>
      </c>
      <c r="J1424" s="3">
        <v>4829.99</v>
      </c>
      <c r="K1424" s="3">
        <f>Table1[[#This Row],[Quantity]]*Table1[[#This Row],[Unit_Price]]</f>
        <v>270083.41932802112</v>
      </c>
      <c r="L1424" s="3">
        <v>10675.47</v>
      </c>
      <c r="M1424" s="3">
        <f>Table1[[#This Row],[Gross_Sales]]-Table1[[#This Row],[Discount]]</f>
        <v>259407.94932802112</v>
      </c>
      <c r="N1424" s="3">
        <v>168420.81</v>
      </c>
      <c r="O1424" s="3">
        <v>4857.2700000000004</v>
      </c>
      <c r="P1424" s="3">
        <v>14248.01</v>
      </c>
      <c r="Q1424" s="3">
        <v>8190.13</v>
      </c>
      <c r="R1424" s="3">
        <v>4994.75</v>
      </c>
      <c r="S1424" s="3">
        <f>SUM(Table1[[#This Row],[Product_Cost]:[Other_Cost]])</f>
        <v>200710.97</v>
      </c>
      <c r="T1424" s="3">
        <f>Table1[[#This Row],[Net_Sales]]-Table1[[#This Row],[Product_Cost]]</f>
        <v>90987.13932802112</v>
      </c>
      <c r="U1424" s="3">
        <f>Table1[[#This Row],[Net_Sales]]-Table1[[#This Row],[Total_Cost]]</f>
        <v>58696.979328021116</v>
      </c>
      <c r="V1424" s="4">
        <f>Table1[[#This Row],[Net_Profit]]/Table1[[#This Row],[Net_Sales]]</f>
        <v>0.22627286280189832</v>
      </c>
      <c r="W1424" t="s">
        <v>33</v>
      </c>
      <c r="X1424" t="s">
        <v>1413</v>
      </c>
      <c r="Y1424">
        <v>12</v>
      </c>
      <c r="Z1424" t="str">
        <f>IF(Table1[[#This Row],[Month_No]]&lt;=6, "H1","H2")</f>
        <v>H2</v>
      </c>
    </row>
    <row r="1425" spans="1:26" x14ac:dyDescent="0.25">
      <c r="A1425" s="2">
        <v>46016</v>
      </c>
      <c r="B1425" t="s">
        <v>1509</v>
      </c>
      <c r="C1425" t="s">
        <v>83</v>
      </c>
      <c r="D1425" t="s">
        <v>28</v>
      </c>
      <c r="E1425" t="s">
        <v>29</v>
      </c>
      <c r="F1425" t="s">
        <v>30</v>
      </c>
      <c r="G1425" t="s">
        <v>61</v>
      </c>
      <c r="H1425" t="s">
        <v>41</v>
      </c>
      <c r="I1425">
        <v>8.4971182809541155</v>
      </c>
      <c r="J1425" s="3">
        <v>1304.5999999999999</v>
      </c>
      <c r="K1425" s="3">
        <f>Table1[[#This Row],[Quantity]]*Table1[[#This Row],[Unit_Price]]</f>
        <v>11085.340509332738</v>
      </c>
      <c r="L1425" s="3">
        <v>431.2</v>
      </c>
      <c r="M1425" s="3">
        <f>Table1[[#This Row],[Gross_Sales]]-Table1[[#This Row],[Discount]]</f>
        <v>10654.140509332738</v>
      </c>
      <c r="N1425" s="3">
        <v>5645.01</v>
      </c>
      <c r="O1425" s="3">
        <v>313.83999999999997</v>
      </c>
      <c r="P1425" s="3">
        <v>539.41999999999996</v>
      </c>
      <c r="Q1425" s="3">
        <v>309.83999999999997</v>
      </c>
      <c r="R1425" s="3">
        <v>185.82</v>
      </c>
      <c r="S1425" s="3">
        <f>SUM(Table1[[#This Row],[Product_Cost]:[Other_Cost]])</f>
        <v>6993.93</v>
      </c>
      <c r="T1425" s="3">
        <f>Table1[[#This Row],[Net_Sales]]-Table1[[#This Row],[Product_Cost]]</f>
        <v>5009.1305093327373</v>
      </c>
      <c r="U1425" s="3">
        <f>Table1[[#This Row],[Net_Sales]]-Table1[[#This Row],[Total_Cost]]</f>
        <v>3660.2105093327373</v>
      </c>
      <c r="V1425" s="4">
        <f>Table1[[#This Row],[Net_Profit]]/Table1[[#This Row],[Net_Sales]]</f>
        <v>0.34354817323147674</v>
      </c>
      <c r="W1425" t="s">
        <v>33</v>
      </c>
      <c r="X1425" t="s">
        <v>1413</v>
      </c>
      <c r="Y1425">
        <v>12</v>
      </c>
      <c r="Z1425" t="str">
        <f>IF(Table1[[#This Row],[Month_No]]&lt;=6, "H1","H2")</f>
        <v>H2</v>
      </c>
    </row>
    <row r="1426" spans="1:26" x14ac:dyDescent="0.25">
      <c r="A1426" s="2">
        <v>46017</v>
      </c>
      <c r="B1426" t="s">
        <v>1510</v>
      </c>
      <c r="C1426" t="s">
        <v>36</v>
      </c>
      <c r="D1426" t="s">
        <v>66</v>
      </c>
      <c r="E1426" t="s">
        <v>51</v>
      </c>
      <c r="F1426" t="s">
        <v>30</v>
      </c>
      <c r="G1426" t="s">
        <v>61</v>
      </c>
      <c r="H1426" t="s">
        <v>47</v>
      </c>
      <c r="I1426">
        <v>26.792847347276361</v>
      </c>
      <c r="J1426" s="3">
        <v>1611.58</v>
      </c>
      <c r="K1426" s="3">
        <f>Table1[[#This Row],[Quantity]]*Table1[[#This Row],[Unit_Price]]</f>
        <v>43178.816927923632</v>
      </c>
      <c r="L1426" s="3">
        <v>1431.5</v>
      </c>
      <c r="M1426" s="3">
        <f>Table1[[#This Row],[Gross_Sales]]-Table1[[#This Row],[Discount]]</f>
        <v>41747.316927923632</v>
      </c>
      <c r="N1426" s="3">
        <v>19548.16</v>
      </c>
      <c r="O1426" s="3">
        <v>1103.8499999999999</v>
      </c>
      <c r="P1426" s="3">
        <v>2546.58</v>
      </c>
      <c r="Q1426" s="3">
        <v>1161.0899999999999</v>
      </c>
      <c r="R1426" s="3">
        <v>905.87</v>
      </c>
      <c r="S1426" s="3">
        <f>SUM(Table1[[#This Row],[Product_Cost]:[Other_Cost]])</f>
        <v>25265.549999999996</v>
      </c>
      <c r="T1426" s="3">
        <f>Table1[[#This Row],[Net_Sales]]-Table1[[#This Row],[Product_Cost]]</f>
        <v>22199.156927923632</v>
      </c>
      <c r="U1426" s="3">
        <f>Table1[[#This Row],[Net_Sales]]-Table1[[#This Row],[Total_Cost]]</f>
        <v>16481.766927923636</v>
      </c>
      <c r="V1426" s="4">
        <f>Table1[[#This Row],[Net_Profit]]/Table1[[#This Row],[Net_Sales]]</f>
        <v>0.39479823233620637</v>
      </c>
      <c r="W1426" t="s">
        <v>72</v>
      </c>
      <c r="X1426" t="s">
        <v>1413</v>
      </c>
      <c r="Y1426">
        <v>12</v>
      </c>
      <c r="Z1426" t="str">
        <f>IF(Table1[[#This Row],[Month_No]]&lt;=6, "H1","H2")</f>
        <v>H2</v>
      </c>
    </row>
    <row r="1427" spans="1:26" x14ac:dyDescent="0.25">
      <c r="A1427" s="2">
        <v>46017</v>
      </c>
      <c r="B1427" t="s">
        <v>1511</v>
      </c>
      <c r="C1427" t="s">
        <v>83</v>
      </c>
      <c r="D1427" t="s">
        <v>66</v>
      </c>
      <c r="E1427" t="s">
        <v>51</v>
      </c>
      <c r="F1427" t="s">
        <v>39</v>
      </c>
      <c r="G1427" t="s">
        <v>40</v>
      </c>
      <c r="H1427" t="s">
        <v>41</v>
      </c>
      <c r="I1427">
        <v>35.607385120696073</v>
      </c>
      <c r="J1427" s="3">
        <v>1653.61</v>
      </c>
      <c r="K1427" s="3">
        <f>Table1[[#This Row],[Quantity]]*Table1[[#This Row],[Unit_Price]]</f>
        <v>58880.728109434232</v>
      </c>
      <c r="L1427" s="3">
        <v>2398.31</v>
      </c>
      <c r="M1427" s="3">
        <f>Table1[[#This Row],[Gross_Sales]]-Table1[[#This Row],[Discount]]</f>
        <v>56482.418109434235</v>
      </c>
      <c r="N1427" s="3">
        <v>29006.560000000001</v>
      </c>
      <c r="O1427" s="3">
        <v>1731.69</v>
      </c>
      <c r="P1427" s="3">
        <v>3364.07</v>
      </c>
      <c r="Q1427" s="3">
        <v>1465.35</v>
      </c>
      <c r="R1427" s="3">
        <v>726.26</v>
      </c>
      <c r="S1427" s="3">
        <f>SUM(Table1[[#This Row],[Product_Cost]:[Other_Cost]])</f>
        <v>36293.93</v>
      </c>
      <c r="T1427" s="3">
        <f>Table1[[#This Row],[Net_Sales]]-Table1[[#This Row],[Product_Cost]]</f>
        <v>27475.858109434233</v>
      </c>
      <c r="U1427" s="3">
        <f>Table1[[#This Row],[Net_Sales]]-Table1[[#This Row],[Total_Cost]]</f>
        <v>20188.488109434235</v>
      </c>
      <c r="V1427" s="4">
        <f>Table1[[#This Row],[Net_Profit]]/Table1[[#This Row],[Net_Sales]]</f>
        <v>0.35742959995655993</v>
      </c>
      <c r="W1427" t="s">
        <v>33</v>
      </c>
      <c r="X1427" t="s">
        <v>1413</v>
      </c>
      <c r="Y1427">
        <v>12</v>
      </c>
      <c r="Z1427" t="str">
        <f>IF(Table1[[#This Row],[Month_No]]&lt;=6, "H1","H2")</f>
        <v>H2</v>
      </c>
    </row>
    <row r="1428" spans="1:26" x14ac:dyDescent="0.25">
      <c r="A1428" s="2">
        <v>46019</v>
      </c>
      <c r="B1428" t="s">
        <v>1512</v>
      </c>
      <c r="C1428" t="s">
        <v>49</v>
      </c>
      <c r="D1428" t="s">
        <v>81</v>
      </c>
      <c r="E1428" t="s">
        <v>45</v>
      </c>
      <c r="F1428" t="s">
        <v>52</v>
      </c>
      <c r="G1428" t="s">
        <v>31</v>
      </c>
      <c r="H1428" t="s">
        <v>59</v>
      </c>
      <c r="I1428">
        <v>73.850577234956788</v>
      </c>
      <c r="J1428" s="3">
        <v>7212.77</v>
      </c>
      <c r="K1428" s="3">
        <f>Table1[[#This Row],[Quantity]]*Table1[[#This Row],[Unit_Price]]</f>
        <v>532667.22796297935</v>
      </c>
      <c r="L1428" s="3">
        <v>19835.25</v>
      </c>
      <c r="M1428" s="3">
        <f>Table1[[#This Row],[Gross_Sales]]-Table1[[#This Row],[Discount]]</f>
        <v>512831.97796297935</v>
      </c>
      <c r="N1428" s="3">
        <v>260931.25</v>
      </c>
      <c r="O1428" s="3">
        <v>10230.02</v>
      </c>
      <c r="P1428" s="3">
        <v>27392.73</v>
      </c>
      <c r="Q1428" s="3">
        <v>12389.57</v>
      </c>
      <c r="R1428" s="3">
        <v>10475.19</v>
      </c>
      <c r="S1428" s="3">
        <f>SUM(Table1[[#This Row],[Product_Cost]:[Other_Cost]])</f>
        <v>321418.76</v>
      </c>
      <c r="T1428" s="3">
        <f>Table1[[#This Row],[Net_Sales]]-Table1[[#This Row],[Product_Cost]]</f>
        <v>251900.72796297935</v>
      </c>
      <c r="U1428" s="3">
        <f>Table1[[#This Row],[Net_Sales]]-Table1[[#This Row],[Total_Cost]]</f>
        <v>191413.21796297934</v>
      </c>
      <c r="V1428" s="4">
        <f>Table1[[#This Row],[Net_Profit]]/Table1[[#This Row],[Net_Sales]]</f>
        <v>0.37324743032463004</v>
      </c>
      <c r="W1428" t="s">
        <v>33</v>
      </c>
      <c r="X1428" t="s">
        <v>1413</v>
      </c>
      <c r="Y1428">
        <v>12</v>
      </c>
      <c r="Z1428" t="str">
        <f>IF(Table1[[#This Row],[Month_No]]&lt;=6, "H1","H2")</f>
        <v>H2</v>
      </c>
    </row>
    <row r="1429" spans="1:26" x14ac:dyDescent="0.25">
      <c r="A1429" s="2">
        <v>46019</v>
      </c>
      <c r="B1429" t="s">
        <v>1513</v>
      </c>
      <c r="C1429" t="s">
        <v>83</v>
      </c>
      <c r="D1429" t="s">
        <v>100</v>
      </c>
      <c r="E1429" t="s">
        <v>75</v>
      </c>
      <c r="F1429" t="s">
        <v>46</v>
      </c>
      <c r="G1429" t="s">
        <v>61</v>
      </c>
      <c r="H1429" t="s">
        <v>47</v>
      </c>
      <c r="I1429">
        <v>18.20693563451178</v>
      </c>
      <c r="J1429" s="3">
        <v>7882.01</v>
      </c>
      <c r="K1429" s="3">
        <f>Table1[[#This Row],[Quantity]]*Table1[[#This Row],[Unit_Price]]</f>
        <v>143507.24874057819</v>
      </c>
      <c r="L1429" s="3">
        <v>4266.09</v>
      </c>
      <c r="M1429" s="3">
        <f>Table1[[#This Row],[Gross_Sales]]-Table1[[#This Row],[Discount]]</f>
        <v>139241.15874057819</v>
      </c>
      <c r="N1429" s="3">
        <v>70496.91</v>
      </c>
      <c r="O1429" s="3">
        <v>2574.62</v>
      </c>
      <c r="P1429" s="3">
        <v>6898.84</v>
      </c>
      <c r="Q1429" s="3">
        <v>4399.87</v>
      </c>
      <c r="R1429" s="3">
        <v>2597.6999999999998</v>
      </c>
      <c r="S1429" s="3">
        <f>SUM(Table1[[#This Row],[Product_Cost]:[Other_Cost]])</f>
        <v>86967.939999999988</v>
      </c>
      <c r="T1429" s="3">
        <f>Table1[[#This Row],[Net_Sales]]-Table1[[#This Row],[Product_Cost]]</f>
        <v>68744.248740578187</v>
      </c>
      <c r="U1429" s="3">
        <f>Table1[[#This Row],[Net_Sales]]-Table1[[#This Row],[Total_Cost]]</f>
        <v>52273.218740578202</v>
      </c>
      <c r="V1429" s="4">
        <f>Table1[[#This Row],[Net_Profit]]/Table1[[#This Row],[Net_Sales]]</f>
        <v>0.37541499376609644</v>
      </c>
      <c r="W1429" t="s">
        <v>33</v>
      </c>
      <c r="X1429" t="s">
        <v>1413</v>
      </c>
      <c r="Y1429">
        <v>12</v>
      </c>
      <c r="Z1429" t="str">
        <f>IF(Table1[[#This Row],[Month_No]]&lt;=6, "H1","H2")</f>
        <v>H2</v>
      </c>
    </row>
    <row r="1430" spans="1:26" x14ac:dyDescent="0.25">
      <c r="A1430" s="2">
        <v>46020</v>
      </c>
      <c r="B1430" t="s">
        <v>1514</v>
      </c>
      <c r="C1430" t="s">
        <v>36</v>
      </c>
      <c r="D1430" t="s">
        <v>100</v>
      </c>
      <c r="E1430" t="s">
        <v>75</v>
      </c>
      <c r="F1430" t="s">
        <v>52</v>
      </c>
      <c r="G1430" t="s">
        <v>61</v>
      </c>
      <c r="H1430" t="s">
        <v>41</v>
      </c>
      <c r="I1430">
        <v>76.164825807583796</v>
      </c>
      <c r="J1430" s="3">
        <v>7598.85</v>
      </c>
      <c r="K1430" s="3">
        <f>Table1[[#This Row],[Quantity]]*Table1[[#This Row],[Unit_Price]]</f>
        <v>578765.08658795815</v>
      </c>
      <c r="L1430" s="3">
        <v>26651.88</v>
      </c>
      <c r="M1430" s="3">
        <f>Table1[[#This Row],[Gross_Sales]]-Table1[[#This Row],[Discount]]</f>
        <v>552113.20658795815</v>
      </c>
      <c r="N1430" s="3">
        <v>306293.92</v>
      </c>
      <c r="O1430" s="3">
        <v>11376.67</v>
      </c>
      <c r="P1430" s="3">
        <v>30514.95</v>
      </c>
      <c r="Q1430" s="3">
        <v>16219.32</v>
      </c>
      <c r="R1430" s="3">
        <v>8427.5300000000007</v>
      </c>
      <c r="S1430" s="3">
        <f>SUM(Table1[[#This Row],[Product_Cost]:[Other_Cost]])</f>
        <v>372832.39</v>
      </c>
      <c r="T1430" s="3">
        <f>Table1[[#This Row],[Net_Sales]]-Table1[[#This Row],[Product_Cost]]</f>
        <v>245819.28658795817</v>
      </c>
      <c r="U1430" s="3">
        <f>Table1[[#This Row],[Net_Sales]]-Table1[[#This Row],[Total_Cost]]</f>
        <v>179280.81658795814</v>
      </c>
      <c r="V1430" s="4">
        <f>Table1[[#This Row],[Net_Profit]]/Table1[[#This Row],[Net_Sales]]</f>
        <v>0.32471749352982843</v>
      </c>
      <c r="W1430" t="s">
        <v>33</v>
      </c>
      <c r="X1430" t="s">
        <v>1413</v>
      </c>
      <c r="Y1430">
        <v>12</v>
      </c>
      <c r="Z1430" t="str">
        <f>IF(Table1[[#This Row],[Month_No]]&lt;=6, "H1","H2")</f>
        <v>H2</v>
      </c>
    </row>
    <row r="1431" spans="1:26" x14ac:dyDescent="0.25">
      <c r="A1431" s="2">
        <v>46020</v>
      </c>
      <c r="B1431" t="s">
        <v>1515</v>
      </c>
      <c r="C1431" t="s">
        <v>117</v>
      </c>
      <c r="D1431" t="s">
        <v>50</v>
      </c>
      <c r="E1431" t="s">
        <v>51</v>
      </c>
      <c r="F1431" t="s">
        <v>39</v>
      </c>
      <c r="G1431" t="s">
        <v>76</v>
      </c>
      <c r="H1431" t="s">
        <v>47</v>
      </c>
      <c r="I1431">
        <v>33.974837197924607</v>
      </c>
      <c r="J1431" s="3">
        <v>957.58</v>
      </c>
      <c r="K1431" s="3">
        <f>Table1[[#This Row],[Quantity]]*Table1[[#This Row],[Unit_Price]]</f>
        <v>32533.624603988646</v>
      </c>
      <c r="L1431" s="3">
        <v>946.96</v>
      </c>
      <c r="M1431" s="3">
        <f>Table1[[#This Row],[Gross_Sales]]-Table1[[#This Row],[Discount]]</f>
        <v>31586.664603988647</v>
      </c>
      <c r="N1431" s="3">
        <v>18289.39</v>
      </c>
      <c r="O1431" s="3">
        <v>870.38</v>
      </c>
      <c r="P1431" s="3">
        <v>1842.13</v>
      </c>
      <c r="Q1431" s="3">
        <v>783.29</v>
      </c>
      <c r="R1431" s="3">
        <v>689.69</v>
      </c>
      <c r="S1431" s="3">
        <f>SUM(Table1[[#This Row],[Product_Cost]:[Other_Cost]])</f>
        <v>22474.880000000001</v>
      </c>
      <c r="T1431" s="3">
        <f>Table1[[#This Row],[Net_Sales]]-Table1[[#This Row],[Product_Cost]]</f>
        <v>13297.274603988648</v>
      </c>
      <c r="U1431" s="3">
        <f>Table1[[#This Row],[Net_Sales]]-Table1[[#This Row],[Total_Cost]]</f>
        <v>9111.7846039886463</v>
      </c>
      <c r="V1431" s="4">
        <f>Table1[[#This Row],[Net_Profit]]/Table1[[#This Row],[Net_Sales]]</f>
        <v>0.28846934990527756</v>
      </c>
      <c r="W1431" t="s">
        <v>72</v>
      </c>
      <c r="X1431" t="s">
        <v>1413</v>
      </c>
      <c r="Y1431">
        <v>12</v>
      </c>
      <c r="Z1431" t="str">
        <f>IF(Table1[[#This Row],[Month_No]]&lt;=6, "H1","H2")</f>
        <v>H2</v>
      </c>
    </row>
    <row r="1432" spans="1:26" x14ac:dyDescent="0.25">
      <c r="A1432" s="2">
        <v>46020</v>
      </c>
      <c r="B1432" t="s">
        <v>1516</v>
      </c>
      <c r="C1432" t="s">
        <v>117</v>
      </c>
      <c r="D1432" t="s">
        <v>44</v>
      </c>
      <c r="E1432" t="s">
        <v>45</v>
      </c>
      <c r="F1432" t="s">
        <v>52</v>
      </c>
      <c r="G1432" t="s">
        <v>86</v>
      </c>
      <c r="H1432" t="s">
        <v>32</v>
      </c>
      <c r="I1432">
        <v>65.736337758693992</v>
      </c>
      <c r="J1432" s="3">
        <v>4803.59</v>
      </c>
      <c r="K1432" s="3">
        <f>Table1[[#This Row],[Quantity]]*Table1[[#This Row],[Unit_Price]]</f>
        <v>315770.4146942849</v>
      </c>
      <c r="L1432" s="3">
        <v>11768.74</v>
      </c>
      <c r="M1432" s="3">
        <f>Table1[[#This Row],[Gross_Sales]]-Table1[[#This Row],[Discount]]</f>
        <v>304001.67469428491</v>
      </c>
      <c r="N1432" s="3">
        <v>197334.5</v>
      </c>
      <c r="O1432" s="3">
        <v>5553.47</v>
      </c>
      <c r="P1432" s="3">
        <v>16295.83</v>
      </c>
      <c r="Q1432" s="3">
        <v>8163.15</v>
      </c>
      <c r="R1432" s="3">
        <v>6200.53</v>
      </c>
      <c r="S1432" s="3">
        <f>SUM(Table1[[#This Row],[Product_Cost]:[Other_Cost]])</f>
        <v>233547.47999999998</v>
      </c>
      <c r="T1432" s="3">
        <f>Table1[[#This Row],[Net_Sales]]-Table1[[#This Row],[Product_Cost]]</f>
        <v>106667.17469428491</v>
      </c>
      <c r="U1432" s="3">
        <f>Table1[[#This Row],[Net_Sales]]-Table1[[#This Row],[Total_Cost]]</f>
        <v>70454.194694284932</v>
      </c>
      <c r="V1432" s="4">
        <f>Table1[[#This Row],[Net_Profit]]/Table1[[#This Row],[Net_Sales]]</f>
        <v>0.23175594267740868</v>
      </c>
      <c r="W1432" t="s">
        <v>33</v>
      </c>
      <c r="X1432" t="s">
        <v>1413</v>
      </c>
      <c r="Y1432">
        <v>12</v>
      </c>
      <c r="Z1432" t="str">
        <f>IF(Table1[[#This Row],[Month_No]]&lt;=6, "H1","H2")</f>
        <v>H2</v>
      </c>
    </row>
    <row r="1433" spans="1:26" x14ac:dyDescent="0.25">
      <c r="A1433" s="2">
        <v>46020</v>
      </c>
      <c r="B1433" t="s">
        <v>1517</v>
      </c>
      <c r="C1433" t="s">
        <v>49</v>
      </c>
      <c r="D1433" t="s">
        <v>100</v>
      </c>
      <c r="E1433" t="s">
        <v>75</v>
      </c>
      <c r="F1433" t="s">
        <v>52</v>
      </c>
      <c r="G1433" t="s">
        <v>40</v>
      </c>
      <c r="H1433" t="s">
        <v>41</v>
      </c>
      <c r="I1433">
        <v>69.157339939747303</v>
      </c>
      <c r="J1433" s="3">
        <v>7655.86</v>
      </c>
      <c r="K1433" s="3">
        <f>Table1[[#This Row],[Quantity]]*Table1[[#This Row],[Unit_Price]]</f>
        <v>529458.91255111375</v>
      </c>
      <c r="L1433" s="3">
        <v>22665.21</v>
      </c>
      <c r="M1433" s="3">
        <f>Table1[[#This Row],[Gross_Sales]]-Table1[[#This Row],[Discount]]</f>
        <v>506793.70255111373</v>
      </c>
      <c r="N1433" s="3">
        <v>271809.36</v>
      </c>
      <c r="O1433" s="3">
        <v>10108.379999999999</v>
      </c>
      <c r="P1433" s="3">
        <v>31081.57</v>
      </c>
      <c r="Q1433" s="3">
        <v>15276.7</v>
      </c>
      <c r="R1433" s="3">
        <v>10909.27</v>
      </c>
      <c r="S1433" s="3">
        <f>SUM(Table1[[#This Row],[Product_Cost]:[Other_Cost]])</f>
        <v>339185.28</v>
      </c>
      <c r="T1433" s="3">
        <f>Table1[[#This Row],[Net_Sales]]-Table1[[#This Row],[Product_Cost]]</f>
        <v>234984.34255111375</v>
      </c>
      <c r="U1433" s="3">
        <f>Table1[[#This Row],[Net_Sales]]-Table1[[#This Row],[Total_Cost]]</f>
        <v>167608.4225511137</v>
      </c>
      <c r="V1433" s="4">
        <f>Table1[[#This Row],[Net_Profit]]/Table1[[#This Row],[Net_Sales]]</f>
        <v>0.3307231753421585</v>
      </c>
      <c r="W1433" t="s">
        <v>33</v>
      </c>
      <c r="X1433" t="s">
        <v>1413</v>
      </c>
      <c r="Y1433">
        <v>12</v>
      </c>
      <c r="Z1433" t="str">
        <f>IF(Table1[[#This Row],[Month_No]]&lt;=6, "H1","H2")</f>
        <v>H2</v>
      </c>
    </row>
    <row r="1434" spans="1:26" x14ac:dyDescent="0.25">
      <c r="A1434" s="2">
        <v>46020</v>
      </c>
      <c r="B1434" t="s">
        <v>1518</v>
      </c>
      <c r="C1434" t="s">
        <v>107</v>
      </c>
      <c r="D1434" t="s">
        <v>66</v>
      </c>
      <c r="E1434" t="s">
        <v>51</v>
      </c>
      <c r="F1434" t="s">
        <v>52</v>
      </c>
      <c r="G1434" t="s">
        <v>76</v>
      </c>
      <c r="H1434" t="s">
        <v>47</v>
      </c>
      <c r="I1434">
        <v>50.523992260777788</v>
      </c>
      <c r="J1434" s="3">
        <v>1632.68</v>
      </c>
      <c r="K1434" s="3">
        <f>Table1[[#This Row],[Quantity]]*Table1[[#This Row],[Unit_Price]]</f>
        <v>82489.511684326688</v>
      </c>
      <c r="L1434" s="3">
        <v>3542.97</v>
      </c>
      <c r="M1434" s="3">
        <f>Table1[[#This Row],[Gross_Sales]]-Table1[[#This Row],[Discount]]</f>
        <v>78946.541684326687</v>
      </c>
      <c r="N1434" s="3">
        <v>37605.22</v>
      </c>
      <c r="O1434" s="3">
        <v>1140.1199999999999</v>
      </c>
      <c r="P1434" s="3">
        <v>4538.07</v>
      </c>
      <c r="Q1434" s="3">
        <v>1594.48</v>
      </c>
      <c r="R1434" s="3">
        <v>1640.08</v>
      </c>
      <c r="S1434" s="3">
        <f>SUM(Table1[[#This Row],[Product_Cost]:[Other_Cost]])</f>
        <v>46517.970000000008</v>
      </c>
      <c r="T1434" s="3">
        <f>Table1[[#This Row],[Net_Sales]]-Table1[[#This Row],[Product_Cost]]</f>
        <v>41341.321684326685</v>
      </c>
      <c r="U1434" s="3">
        <f>Table1[[#This Row],[Net_Sales]]-Table1[[#This Row],[Total_Cost]]</f>
        <v>32428.571684326678</v>
      </c>
      <c r="V1434" s="4">
        <f>Table1[[#This Row],[Net_Profit]]/Table1[[#This Row],[Net_Sales]]</f>
        <v>0.41076620954461324</v>
      </c>
      <c r="W1434" t="s">
        <v>33</v>
      </c>
      <c r="X1434" t="s">
        <v>1413</v>
      </c>
      <c r="Y1434">
        <v>12</v>
      </c>
      <c r="Z1434" t="str">
        <f>IF(Table1[[#This Row],[Month_No]]&lt;=6, "H1","H2")</f>
        <v>H2</v>
      </c>
    </row>
    <row r="1435" spans="1:26" x14ac:dyDescent="0.25">
      <c r="A1435" s="2">
        <v>46021</v>
      </c>
      <c r="B1435" t="s">
        <v>1519</v>
      </c>
      <c r="C1435" t="s">
        <v>117</v>
      </c>
      <c r="D1435" t="s">
        <v>56</v>
      </c>
      <c r="E1435" t="s">
        <v>57</v>
      </c>
      <c r="F1435" t="s">
        <v>52</v>
      </c>
      <c r="G1435" t="s">
        <v>64</v>
      </c>
      <c r="H1435" t="s">
        <v>59</v>
      </c>
      <c r="I1435">
        <v>57.317375792821842</v>
      </c>
      <c r="J1435" s="3">
        <v>3658.06</v>
      </c>
      <c r="K1435" s="3">
        <f>Table1[[#This Row],[Quantity]]*Table1[[#This Row],[Unit_Price]]</f>
        <v>209670.39969268985</v>
      </c>
      <c r="L1435" s="3">
        <v>7757.83</v>
      </c>
      <c r="M1435" s="3">
        <f>Table1[[#This Row],[Gross_Sales]]-Table1[[#This Row],[Discount]]</f>
        <v>201912.56969268987</v>
      </c>
      <c r="N1435" s="3">
        <v>106074.62</v>
      </c>
      <c r="O1435" s="3">
        <v>4382.57</v>
      </c>
      <c r="P1435" s="3">
        <v>11641.12</v>
      </c>
      <c r="Q1435" s="3">
        <v>4156.96</v>
      </c>
      <c r="R1435" s="3">
        <v>4118.84</v>
      </c>
      <c r="S1435" s="3">
        <f>SUM(Table1[[#This Row],[Product_Cost]:[Other_Cost]])</f>
        <v>130374.11</v>
      </c>
      <c r="T1435" s="3">
        <f>Table1[[#This Row],[Net_Sales]]-Table1[[#This Row],[Product_Cost]]</f>
        <v>95837.949692689872</v>
      </c>
      <c r="U1435" s="3">
        <f>Table1[[#This Row],[Net_Sales]]-Table1[[#This Row],[Total_Cost]]</f>
        <v>71538.459692689867</v>
      </c>
      <c r="V1435" s="4">
        <f>Table1[[#This Row],[Net_Profit]]/Table1[[#This Row],[Net_Sales]]</f>
        <v>0.35430414164690749</v>
      </c>
      <c r="W1435" t="s">
        <v>33</v>
      </c>
      <c r="X1435" t="s">
        <v>1413</v>
      </c>
      <c r="Y1435">
        <v>12</v>
      </c>
      <c r="Z1435" t="str">
        <f>IF(Table1[[#This Row],[Month_No]]&lt;=6, "H1","H2")</f>
        <v>H2</v>
      </c>
    </row>
    <row r="1436" spans="1:26" x14ac:dyDescent="0.25">
      <c r="A1436" s="2">
        <v>46021</v>
      </c>
      <c r="B1436" t="s">
        <v>1520</v>
      </c>
      <c r="C1436" t="s">
        <v>117</v>
      </c>
      <c r="D1436" t="s">
        <v>68</v>
      </c>
      <c r="E1436" t="s">
        <v>29</v>
      </c>
      <c r="F1436" t="s">
        <v>39</v>
      </c>
      <c r="G1436" t="s">
        <v>58</v>
      </c>
      <c r="H1436" t="s">
        <v>59</v>
      </c>
      <c r="I1436">
        <v>99.276734059027248</v>
      </c>
      <c r="J1436" s="3">
        <v>397.65</v>
      </c>
      <c r="K1436" s="3">
        <f>Table1[[#This Row],[Quantity]]*Table1[[#This Row],[Unit_Price]]</f>
        <v>39477.393298572184</v>
      </c>
      <c r="L1436" s="3">
        <v>1570.36</v>
      </c>
      <c r="M1436" s="3">
        <f>Table1[[#This Row],[Gross_Sales]]-Table1[[#This Row],[Discount]]</f>
        <v>37907.033298572183</v>
      </c>
      <c r="N1436" s="3">
        <v>25709.61</v>
      </c>
      <c r="O1436" s="3">
        <v>1286.23</v>
      </c>
      <c r="P1436" s="3">
        <v>2228.16</v>
      </c>
      <c r="Q1436" s="3">
        <v>1153.4000000000001</v>
      </c>
      <c r="R1436" s="3">
        <v>597.54</v>
      </c>
      <c r="S1436" s="3">
        <f>SUM(Table1[[#This Row],[Product_Cost]:[Other_Cost]])</f>
        <v>30974.940000000002</v>
      </c>
      <c r="T1436" s="3">
        <f>Table1[[#This Row],[Net_Sales]]-Table1[[#This Row],[Product_Cost]]</f>
        <v>12197.423298572183</v>
      </c>
      <c r="U1436" s="3">
        <f>Table1[[#This Row],[Net_Sales]]-Table1[[#This Row],[Total_Cost]]</f>
        <v>6932.0932985721811</v>
      </c>
      <c r="V1436" s="4">
        <f>Table1[[#This Row],[Net_Profit]]/Table1[[#This Row],[Net_Sales]]</f>
        <v>0.18287090007735549</v>
      </c>
      <c r="W1436" t="s">
        <v>33</v>
      </c>
      <c r="X1436" t="s">
        <v>1413</v>
      </c>
      <c r="Y1436">
        <v>12</v>
      </c>
      <c r="Z1436" t="str">
        <f>IF(Table1[[#This Row],[Month_No]]&lt;=6, "H1","H2")</f>
        <v>H2</v>
      </c>
    </row>
    <row r="1437" spans="1:26" x14ac:dyDescent="0.25">
      <c r="A1437" s="2">
        <v>46021</v>
      </c>
      <c r="B1437" t="s">
        <v>1521</v>
      </c>
      <c r="C1437" t="s">
        <v>78</v>
      </c>
      <c r="D1437" t="s">
        <v>50</v>
      </c>
      <c r="E1437" t="s">
        <v>51</v>
      </c>
      <c r="F1437" t="s">
        <v>52</v>
      </c>
      <c r="G1437" t="s">
        <v>64</v>
      </c>
      <c r="H1437" t="s">
        <v>41</v>
      </c>
      <c r="I1437">
        <v>78.50691359513209</v>
      </c>
      <c r="J1437" s="3">
        <v>919.48</v>
      </c>
      <c r="K1437" s="3">
        <f>Table1[[#This Row],[Quantity]]*Table1[[#This Row],[Unit_Price]]</f>
        <v>72185.536912452051</v>
      </c>
      <c r="L1437" s="3">
        <v>3423.43</v>
      </c>
      <c r="M1437" s="3">
        <f>Table1[[#This Row],[Gross_Sales]]-Table1[[#This Row],[Discount]]</f>
        <v>68762.106912452058</v>
      </c>
      <c r="N1437" s="3">
        <v>40058.129999999997</v>
      </c>
      <c r="O1437" s="3">
        <v>1116.29</v>
      </c>
      <c r="P1437" s="3">
        <v>4166.6499999999996</v>
      </c>
      <c r="Q1437" s="3">
        <v>1758.91</v>
      </c>
      <c r="R1437" s="3">
        <v>1415.31</v>
      </c>
      <c r="S1437" s="3">
        <f>SUM(Table1[[#This Row],[Product_Cost]:[Other_Cost]])</f>
        <v>48515.29</v>
      </c>
      <c r="T1437" s="3">
        <f>Table1[[#This Row],[Net_Sales]]-Table1[[#This Row],[Product_Cost]]</f>
        <v>28703.976912452061</v>
      </c>
      <c r="U1437" s="3">
        <f>Table1[[#This Row],[Net_Sales]]-Table1[[#This Row],[Total_Cost]]</f>
        <v>20246.816912452057</v>
      </c>
      <c r="V1437" s="4">
        <f>Table1[[#This Row],[Net_Profit]]/Table1[[#This Row],[Net_Sales]]</f>
        <v>0.29444730275979347</v>
      </c>
      <c r="W1437" t="s">
        <v>33</v>
      </c>
      <c r="X1437" t="s">
        <v>1413</v>
      </c>
      <c r="Y1437">
        <v>12</v>
      </c>
      <c r="Z1437" t="str">
        <f>IF(Table1[[#This Row],[Month_No]]&lt;=6, "H1","H2")</f>
        <v>H2</v>
      </c>
    </row>
    <row r="1438" spans="1:26" x14ac:dyDescent="0.25">
      <c r="A1438" s="2">
        <v>46022</v>
      </c>
      <c r="B1438" t="s">
        <v>1522</v>
      </c>
      <c r="C1438" t="s">
        <v>83</v>
      </c>
      <c r="D1438" t="s">
        <v>50</v>
      </c>
      <c r="E1438" t="s">
        <v>51</v>
      </c>
      <c r="F1438" t="s">
        <v>39</v>
      </c>
      <c r="G1438" t="s">
        <v>64</v>
      </c>
      <c r="H1438" t="s">
        <v>41</v>
      </c>
      <c r="I1438">
        <v>29.764958164737639</v>
      </c>
      <c r="J1438" s="3">
        <v>919.18</v>
      </c>
      <c r="K1438" s="3">
        <f>Table1[[#This Row],[Quantity]]*Table1[[#This Row],[Unit_Price]]</f>
        <v>27359.354245863542</v>
      </c>
      <c r="L1438" s="3">
        <v>961.14</v>
      </c>
      <c r="M1438" s="3">
        <f>Table1[[#This Row],[Gross_Sales]]-Table1[[#This Row],[Discount]]</f>
        <v>26398.214245863543</v>
      </c>
      <c r="N1438" s="3">
        <v>16526.98</v>
      </c>
      <c r="O1438" s="3">
        <v>743.81</v>
      </c>
      <c r="P1438" s="3">
        <v>1477.59</v>
      </c>
      <c r="Q1438" s="3">
        <v>689.9</v>
      </c>
      <c r="R1438" s="3">
        <v>470.59</v>
      </c>
      <c r="S1438" s="3">
        <f>SUM(Table1[[#This Row],[Product_Cost]:[Other_Cost]])</f>
        <v>19908.870000000003</v>
      </c>
      <c r="T1438" s="3">
        <f>Table1[[#This Row],[Net_Sales]]-Table1[[#This Row],[Product_Cost]]</f>
        <v>9871.234245863543</v>
      </c>
      <c r="U1438" s="3">
        <f>Table1[[#This Row],[Net_Sales]]-Table1[[#This Row],[Total_Cost]]</f>
        <v>6489.34424586354</v>
      </c>
      <c r="V1438" s="4">
        <f>Table1[[#This Row],[Net_Profit]]/Table1[[#This Row],[Net_Sales]]</f>
        <v>0.24582512231411202</v>
      </c>
      <c r="W1438" t="s">
        <v>33</v>
      </c>
      <c r="X1438" t="s">
        <v>1413</v>
      </c>
      <c r="Y1438">
        <v>12</v>
      </c>
      <c r="Z1438" t="str">
        <f>IF(Table1[[#This Row],[Month_No]]&lt;=6, "H1","H2")</f>
        <v>H2</v>
      </c>
    </row>
    <row r="1439" spans="1:26" x14ac:dyDescent="0.25">
      <c r="A1439" s="2">
        <v>46022</v>
      </c>
      <c r="B1439" t="s">
        <v>1523</v>
      </c>
      <c r="C1439" t="s">
        <v>117</v>
      </c>
      <c r="D1439" t="s">
        <v>183</v>
      </c>
      <c r="E1439" t="s">
        <v>38</v>
      </c>
      <c r="F1439" t="s">
        <v>46</v>
      </c>
      <c r="G1439" t="s">
        <v>76</v>
      </c>
      <c r="H1439" t="s">
        <v>59</v>
      </c>
      <c r="I1439">
        <v>27.086222179488551</v>
      </c>
      <c r="J1439" s="3">
        <v>6973.44</v>
      </c>
      <c r="K1439" s="3">
        <f>Table1[[#This Row],[Quantity]]*Table1[[#This Row],[Unit_Price]]</f>
        <v>188884.14519533265</v>
      </c>
      <c r="L1439" s="3">
        <v>5886.88</v>
      </c>
      <c r="M1439" s="3">
        <f>Table1[[#This Row],[Gross_Sales]]-Table1[[#This Row],[Discount]]</f>
        <v>182997.26519533264</v>
      </c>
      <c r="N1439" s="3">
        <v>99439.22</v>
      </c>
      <c r="O1439" s="3">
        <v>3947.41</v>
      </c>
      <c r="P1439" s="3">
        <v>9964.23</v>
      </c>
      <c r="Q1439" s="3">
        <v>4519.16</v>
      </c>
      <c r="R1439" s="3">
        <v>2983.85</v>
      </c>
      <c r="S1439" s="3">
        <f>SUM(Table1[[#This Row],[Product_Cost]:[Other_Cost]])</f>
        <v>120853.87000000001</v>
      </c>
      <c r="T1439" s="3">
        <f>Table1[[#This Row],[Net_Sales]]-Table1[[#This Row],[Product_Cost]]</f>
        <v>83558.045195332641</v>
      </c>
      <c r="U1439" s="3">
        <f>Table1[[#This Row],[Net_Sales]]-Table1[[#This Row],[Total_Cost]]</f>
        <v>62143.395195332632</v>
      </c>
      <c r="V1439" s="4">
        <f>Table1[[#This Row],[Net_Profit]]/Table1[[#This Row],[Net_Sales]]</f>
        <v>0.33958646938794584</v>
      </c>
      <c r="W1439" t="s">
        <v>33</v>
      </c>
      <c r="X1439" t="s">
        <v>1413</v>
      </c>
      <c r="Y1439">
        <v>12</v>
      </c>
      <c r="Z1439" t="str">
        <f>IF(Table1[[#This Row],[Month_No]]&lt;=6, "H1","H2")</f>
        <v>H2</v>
      </c>
    </row>
    <row r="1440" spans="1:26" x14ac:dyDescent="0.25">
      <c r="A1440" s="2">
        <v>46022</v>
      </c>
      <c r="B1440" t="s">
        <v>1524</v>
      </c>
      <c r="C1440" t="s">
        <v>27</v>
      </c>
      <c r="D1440" t="s">
        <v>66</v>
      </c>
      <c r="E1440" t="s">
        <v>51</v>
      </c>
      <c r="F1440" t="s">
        <v>52</v>
      </c>
      <c r="G1440" t="s">
        <v>86</v>
      </c>
      <c r="H1440" t="s">
        <v>47</v>
      </c>
      <c r="I1440">
        <v>35.349857620444872</v>
      </c>
      <c r="J1440" s="3">
        <v>1688.38</v>
      </c>
      <c r="K1440" s="3">
        <f>Table1[[#This Row],[Quantity]]*Table1[[#This Row],[Unit_Price]]</f>
        <v>59683.992609206718</v>
      </c>
      <c r="L1440" s="3">
        <v>2106.5100000000002</v>
      </c>
      <c r="M1440" s="3">
        <f>Table1[[#This Row],[Gross_Sales]]-Table1[[#This Row],[Discount]]</f>
        <v>57577.482609206716</v>
      </c>
      <c r="N1440" s="3">
        <v>29364.77</v>
      </c>
      <c r="O1440" s="3">
        <v>1153.52</v>
      </c>
      <c r="P1440" s="3">
        <v>3479.96</v>
      </c>
      <c r="Q1440" s="3">
        <v>1407.49</v>
      </c>
      <c r="R1440" s="3">
        <v>784.17</v>
      </c>
      <c r="S1440" s="3">
        <f>SUM(Table1[[#This Row],[Product_Cost]:[Other_Cost]])</f>
        <v>36189.909999999996</v>
      </c>
      <c r="T1440" s="3">
        <f>Table1[[#This Row],[Net_Sales]]-Table1[[#This Row],[Product_Cost]]</f>
        <v>28212.712609206716</v>
      </c>
      <c r="U1440" s="3">
        <f>Table1[[#This Row],[Net_Sales]]-Table1[[#This Row],[Total_Cost]]</f>
        <v>21387.57260920672</v>
      </c>
      <c r="V1440" s="4">
        <f>Table1[[#This Row],[Net_Profit]]/Table1[[#This Row],[Net_Sales]]</f>
        <v>0.37145723710030382</v>
      </c>
      <c r="W1440" t="s">
        <v>33</v>
      </c>
      <c r="X1440" t="s">
        <v>1413</v>
      </c>
      <c r="Y1440">
        <v>12</v>
      </c>
      <c r="Z1440" t="str">
        <f>IF(Table1[[#This Row],[Month_No]]&lt;=6, "H1","H2")</f>
        <v>H2</v>
      </c>
    </row>
    <row r="1441" spans="1:26" x14ac:dyDescent="0.25">
      <c r="A1441" s="2">
        <v>46022</v>
      </c>
      <c r="B1441" t="s">
        <v>1525</v>
      </c>
      <c r="C1441" t="s">
        <v>98</v>
      </c>
      <c r="D1441" t="s">
        <v>37</v>
      </c>
      <c r="E1441" t="s">
        <v>38</v>
      </c>
      <c r="F1441" t="s">
        <v>46</v>
      </c>
      <c r="G1441" t="s">
        <v>61</v>
      </c>
      <c r="H1441" t="s">
        <v>59</v>
      </c>
      <c r="I1441">
        <v>64.365454092061839</v>
      </c>
      <c r="J1441" s="3">
        <v>4975.2</v>
      </c>
      <c r="K1441" s="3">
        <f>Table1[[#This Row],[Quantity]]*Table1[[#This Row],[Unit_Price]]</f>
        <v>320231.00719882606</v>
      </c>
      <c r="L1441" s="3">
        <v>6527.27</v>
      </c>
      <c r="M1441" s="3">
        <f>Table1[[#This Row],[Gross_Sales]]-Table1[[#This Row],[Discount]]</f>
        <v>313703.73719882604</v>
      </c>
      <c r="N1441" s="3">
        <v>215880.53</v>
      </c>
      <c r="O1441" s="3">
        <v>6342.52</v>
      </c>
      <c r="P1441" s="3">
        <v>16751.650000000001</v>
      </c>
      <c r="Q1441" s="3">
        <v>8559.33</v>
      </c>
      <c r="R1441" s="3">
        <v>5880.73</v>
      </c>
      <c r="S1441" s="3">
        <f>SUM(Table1[[#This Row],[Product_Cost]:[Other_Cost]])</f>
        <v>253414.75999999998</v>
      </c>
      <c r="T1441" s="3">
        <f>Table1[[#This Row],[Net_Sales]]-Table1[[#This Row],[Product_Cost]]</f>
        <v>97823.207198826043</v>
      </c>
      <c r="U1441" s="3">
        <f>Table1[[#This Row],[Net_Sales]]-Table1[[#This Row],[Total_Cost]]</f>
        <v>60288.977198826062</v>
      </c>
      <c r="V1441" s="4">
        <f>Table1[[#This Row],[Net_Profit]]/Table1[[#This Row],[Net_Sales]]</f>
        <v>0.19218444044424882</v>
      </c>
      <c r="W1441" t="s">
        <v>33</v>
      </c>
      <c r="X1441" t="s">
        <v>1413</v>
      </c>
      <c r="Y1441">
        <v>12</v>
      </c>
      <c r="Z1441" t="str">
        <f>IF(Table1[[#This Row],[Month_No]]&lt;=6, "H1","H2")</f>
        <v>H2</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ANALYSIS</vt:lpstr>
      <vt:lpstr>DASHBOARD</vt:lpstr>
      <vt:lpstr>Transactions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ANIMASHAUN SULAIMON</cp:lastModifiedBy>
  <dcterms:created xsi:type="dcterms:W3CDTF">2026-08-07T14:50:32Z</dcterms:created>
  <dcterms:modified xsi:type="dcterms:W3CDTF">2026-08-12T11:28:15Z</dcterms:modified>
</cp:coreProperties>
</file>